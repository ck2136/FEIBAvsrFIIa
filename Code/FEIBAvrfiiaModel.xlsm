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k\Dropbox\Research\Huy\FEIBAvsrFIIa\Code\"/>
    </mc:Choice>
  </mc:AlternateContent>
  <bookViews>
    <workbookView xWindow="0" yWindow="0" windowWidth="24000" windowHeight="9045" activeTab="1"/>
  </bookViews>
  <sheets>
    <sheet name="Title" sheetId="1" r:id="rId1"/>
    <sheet name="Analysis" sheetId="12" r:id="rId2"/>
    <sheet name="Model" sheetId="3" r:id="rId3"/>
    <sheet name="Search" sheetId="11" r:id="rId4"/>
    <sheet name="Parameters" sheetId="2" r:id="rId5"/>
    <sheet name="FEIBAtrace" sheetId="4" r:id="rId6"/>
    <sheet name="rFIIatrace" sheetId="5" r:id="rId7"/>
    <sheet name="Simulation" sheetId="7" r:id="rId8"/>
    <sheet name="CEA curve" sheetId="9" r:id="rId9"/>
    <sheet name="inc CE plane" sheetId="10" r:id="rId10"/>
  </sheets>
  <externalReferences>
    <externalReference r:id="rId11"/>
    <externalReference r:id="rId12"/>
    <externalReference r:id="rId13"/>
    <externalReference r:id="rId14"/>
    <externalReference r:id="rId15"/>
    <externalReference r:id="rId16"/>
  </externalReferences>
  <definedNames>
    <definedName name="______cNP1">[1]Parameters!$B$36</definedName>
    <definedName name="_____cNP1">[1]Parameters!$B$36</definedName>
    <definedName name="____cNP1">[1]Parameters!$B$36</definedName>
    <definedName name="___cNP1">[1]Parameters!$B$36</definedName>
    <definedName name="__cNP1">[1]Parameters!$B$36</definedName>
    <definedName name="_cNP1">[2]Parameters!$B$36</definedName>
    <definedName name="_PA14">[3]Parameters!$B$106</definedName>
    <definedName name="_PA18">[3]Parameters!$B$107</definedName>
    <definedName name="_PA26">[3]Parameters!$B$108</definedName>
    <definedName name="_PA6">[3]Parameters!$B$103</definedName>
    <definedName name="_pH2">[3]Parameters!$B$19</definedName>
    <definedName name="_PPI10">[3]Parameters!$B$97</definedName>
    <definedName name="_PPI18">[3]Parameters!$B$98</definedName>
    <definedName name="_PPI26">[3]Parameters!$B$99</definedName>
    <definedName name="_PPI8">[3]Parameters!$B$96</definedName>
    <definedName name="_xR1">[3]Parameters!$B$111</definedName>
    <definedName name="_xR2">[3]Parameters!$B$112</definedName>
    <definedName name="age" localSheetId="1">[4]Parameters!$B$8</definedName>
    <definedName name="age" localSheetId="6">Parameters!#REF!</definedName>
    <definedName name="age">Parameters!#REF!</definedName>
    <definedName name="ageC" localSheetId="1">[5]Parameters!$B$23</definedName>
    <definedName name="ageC">[2]Parameters!$B$23</definedName>
    <definedName name="amr">[4]Parameters!$B$19</definedName>
    <definedName name="amrc">[4]Parameters!$B$23</definedName>
    <definedName name="amrHOEX">[4]Parameters!$B$20</definedName>
    <definedName name="amrHOEXc">[4]Parameters!#REF!</definedName>
    <definedName name="BS">[3]Parameters!$B$67</definedName>
    <definedName name="cBleedingCont">Parameters!$B$31</definedName>
    <definedName name="CCC">[3]Parameters!$B$105</definedName>
    <definedName name="cDR" localSheetId="1">[4]Parameters!$B$11</definedName>
    <definedName name="cDR">[2]Parameters!$B$11</definedName>
    <definedName name="cEREX">[4]Parameters!$D$39</definedName>
    <definedName name="cFEIBA">Parameters!$B$29</definedName>
    <definedName name="cHOEX">[4]Parameters!$D$40</definedName>
    <definedName name="cICUday">Parameters!$B$32</definedName>
    <definedName name="CIS">[3]Parameters!$B$55</definedName>
    <definedName name="cNES">[4]Parameters!$D$37</definedName>
    <definedName name="cons" localSheetId="1">[5]Parameters!$B$22</definedName>
    <definedName name="cons">[2]Parameters!$B$22</definedName>
    <definedName name="cOSEX">[4]Parameters!$D$38</definedName>
    <definedName name="cPH1_">[4]Parameters!$D$41</definedName>
    <definedName name="cPHr">[4]Parameters!$D$42</definedName>
    <definedName name="cPrimary">[2]Parameters!$B$32</definedName>
    <definedName name="cRatio" localSheetId="1">[4]Simulation!$AF$1</definedName>
    <definedName name="cRatio">Simulation!$X$1</definedName>
    <definedName name="cRevision">[2]Parameters!$B$33</definedName>
    <definedName name="crFVIIa">Parameters!$B$30</definedName>
    <definedName name="CST">[3]Parameters!$B$65</definedName>
    <definedName name="cStandard">[2]Parameters!$B$35</definedName>
    <definedName name="cSuccess">[2]Parameters!$B$34</definedName>
    <definedName name="cycle" localSheetId="1">'[4]UC '!$A$6:$A$1570</definedName>
    <definedName name="cycle">[2]Standard!$A$6:$A$66</definedName>
    <definedName name="DDPPI8">[3]Parameters!$B$102</definedName>
    <definedName name="ECG">[3]Parameters!$B$66</definedName>
    <definedName name="Fee">[3]Parameters!$B$53</definedName>
    <definedName name="FEIBAcost">FEIBAtrace!$H$12</definedName>
    <definedName name="FEIBAQALY">FEIBAtrace!$J$12</definedName>
    <definedName name="gamma" localSheetId="1">[4]Parameters!#REF!</definedName>
    <definedName name="gamma">[2]Parameters!$B$26</definedName>
    <definedName name="GEPA">[3]Parameters!$B$62</definedName>
    <definedName name="GERA" localSheetId="1">[3]Parameters!$B$61</definedName>
    <definedName name="GERA">Parameters!#REF!</definedName>
    <definedName name="GPGA">[3]Parameters!$B$58</definedName>
    <definedName name="GPGER1">[3]Parameters!$B$109</definedName>
    <definedName name="GPGER2">[3]Parameters!$B$110</definedName>
    <definedName name="GPMA">[3]Parameters!$B$60</definedName>
    <definedName name="GPRA">[3]Parameters!$B$59</definedName>
    <definedName name="H2RA">[3]Parameters!$B$54</definedName>
    <definedName name="H2RA18">[3]Parameters!$B$92</definedName>
    <definedName name="H2RA26">[3]Parameters!$B$93</definedName>
    <definedName name="H2RADD">[3]Parameters!$B$89</definedName>
    <definedName name="HR2A18">[3]Parameters!$B$92</definedName>
    <definedName name="lambda" localSheetId="1">[4]Parameters!#REF!</definedName>
    <definedName name="lambda">[2]Parameters!$B$25</definedName>
    <definedName name="LDPPI">[3]Parameters!$B$57</definedName>
    <definedName name="LDPPI18">[3]Parameters!$B$100</definedName>
    <definedName name="LDPPI26">[3]Parameters!$B$101</definedName>
    <definedName name="lifetable" localSheetId="1">'[4]Life tables'!$A$4:$M$123</definedName>
    <definedName name="lifetable">[6]LifeT!$A$4:$J$104</definedName>
    <definedName name="male" localSheetId="1">[4]Parameters!$B$9</definedName>
    <definedName name="male">[2]Parameters!$B$9</definedName>
    <definedName name="maleC" localSheetId="1">[5]Parameters!$B$24</definedName>
    <definedName name="maleC">[2]Parameters!$B$24</definedName>
    <definedName name="mr" localSheetId="1">'[4]UC '!$C$7:$C$1570</definedName>
    <definedName name="mr">[2]Standard!$E$7:$E$66</definedName>
    <definedName name="nCSTR2">[3]Parameters!$B$82</definedName>
    <definedName name="nECGR1">[3]Parameters!$B$76</definedName>
    <definedName name="nECGR2">[3]Parameters!$B$83</definedName>
    <definedName name="NF">[3]Parameters!$B$68</definedName>
    <definedName name="nGER2">[3]Parameters!$B$80</definedName>
    <definedName name="nGPR2">[3]Parameters!$B$79</definedName>
    <definedName name="NP1cost" localSheetId="1">[1]NP1!$M$68</definedName>
    <definedName name="NP1cost">[2]NP1!$M$68</definedName>
    <definedName name="NP1qalys" localSheetId="1">[1]NP1!$O$68</definedName>
    <definedName name="NP1qalys">[2]NP1!$O$68</definedName>
    <definedName name="np1RR" localSheetId="1">[1]NP1!$C$7:$C$66</definedName>
    <definedName name="np1RR">[2]NP1!$C$7:$C$66</definedName>
    <definedName name="NP2cost" localSheetId="1">#REF!</definedName>
    <definedName name="NP2cost">#REF!</definedName>
    <definedName name="NP2lys" localSheetId="1">#REF!</definedName>
    <definedName name="NP2lys">#REF!</definedName>
    <definedName name="NP2qalys" localSheetId="1">#REF!</definedName>
    <definedName name="NP2qalys">#REF!</definedName>
    <definedName name="nUGIER1">[3]Parameters!$B$77</definedName>
    <definedName name="nUGIER2">[3]Parameters!$B$84</definedName>
    <definedName name="nUGISR1">[3]Parameters!$B$78</definedName>
    <definedName name="nUGISR2">[3]Parameters!$B$85</definedName>
    <definedName name="oDR" localSheetId="1">[4]Parameters!$B$12</definedName>
    <definedName name="oDR">[2]Parameters!$B$12</definedName>
    <definedName name="omrPTHR" localSheetId="1">[5]Parameters!$B$16</definedName>
    <definedName name="omrPTHR">[2]Parameters!$B$16</definedName>
    <definedName name="omrRTHR" localSheetId="1">[5]Parameters!$B$17</definedName>
    <definedName name="omrRTHR">[2]Parameters!$B$17</definedName>
    <definedName name="p06H2">[3]Parameters!$B$27</definedName>
    <definedName name="p06LDPPI">[3]Parameters!$B$29</definedName>
    <definedName name="p06PA">[3]Parameters!$B$26</definedName>
    <definedName name="p06PL">[3]Parameters!$B$25</definedName>
    <definedName name="p06PPI">[3]Parameters!$B$28</definedName>
    <definedName name="p06SU">[3]Parameters!$B$30</definedName>
    <definedName name="p612H2">[3]Parameters!$B$33</definedName>
    <definedName name="p612LDPPI">[3]Parameters!$B$35</definedName>
    <definedName name="p612PA">[3]Parameters!$B$32</definedName>
    <definedName name="p612PL">[3]Parameters!$B$31</definedName>
    <definedName name="p612PPI">[3]Parameters!$B$34</definedName>
    <definedName name="pCAPH">[4]Parameters!$D$54</definedName>
    <definedName name="pCAUC">[4]Parameters!$D$55</definedName>
    <definedName name="pContBleedFEIBA">Parameters!$B$16</definedName>
    <definedName name="pContBleedrFVIIa">Parameters!$B$24</definedName>
    <definedName name="pDDH2">[3]Parameters!$B$20</definedName>
    <definedName name="pDDPPI">[3]Parameters!$B$22</definedName>
    <definedName name="pDeathFEIBA">Parameters!$B$15</definedName>
    <definedName name="pDeathrFVIIa">Parameters!$B$23</definedName>
    <definedName name="PHcost">'[4]PH + UC'!$W$1573</definedName>
    <definedName name="PHqalys">'[4]PH + UC'!$Y$1573</definedName>
    <definedName name="pPA">[3]Parameters!$B$18</definedName>
    <definedName name="PPI">[3]Parameters!$B$56</definedName>
    <definedName name="pPPI">[3]Parameters!$B$21</definedName>
    <definedName name="prob" localSheetId="1">[3]Parameters!$B$3</definedName>
    <definedName name="prob">Parameters!$B$3</definedName>
    <definedName name="pStopBleedFEIBA">Parameters!$B$13</definedName>
    <definedName name="pStopBleedrFVIIa">Parameters!$B$22</definedName>
    <definedName name="pThrombosisFEIBA">Parameters!$B$11</definedName>
    <definedName name="pThrombosisrFVIIa2">Parameters!$B$21</definedName>
    <definedName name="pUAPH">[4]Parameters!$D$56</definedName>
    <definedName name="pUAUC">[4]Parameters!$D$57</definedName>
    <definedName name="rFVIIaCost">rFIIatrace!$H$12</definedName>
    <definedName name="rFVIIaQALY">rFIIatrace!$J$12</definedName>
    <definedName name="rrEREX">[4]Parameters!$D$28</definedName>
    <definedName name="rrEREXc">[4]Parameters!$D$32</definedName>
    <definedName name="rrHOEX">[4]Parameters!$D$29</definedName>
    <definedName name="rrHOEXc">[4]Parameters!$D$33</definedName>
    <definedName name="rrNP1" localSheetId="1">[4]Parameters!#REF!</definedName>
    <definedName name="rrNP1">[2]Parameters!$B$27</definedName>
    <definedName name="rrnp2" localSheetId="1">[4]Parameters!#REF!</definedName>
    <definedName name="rrNP2">[2]Parameters!$B$28</definedName>
    <definedName name="rrOSEX">[4]Parameters!$D$27</definedName>
    <definedName name="rrOSEXc">[4]Parameters!$D$31</definedName>
    <definedName name="rrr" localSheetId="1">[5]Parameters!$B$18</definedName>
    <definedName name="rrr">[2]Parameters!$B$18</definedName>
    <definedName name="standardRR" localSheetId="1">#REF!</definedName>
    <definedName name="standardRR">[2]Standard!$C$7:$C$66</definedName>
    <definedName name="STDcost" localSheetId="1">[1]Standard!$M$68</definedName>
    <definedName name="STDcost">[2]Standard!$M$68</definedName>
    <definedName name="STDqalys" localSheetId="1">[1]Standard!$O$68</definedName>
    <definedName name="STDqalys">[2]Standard!$O$68</definedName>
    <definedName name="SWDDH2E">[3]Parameters!$B$48</definedName>
    <definedName name="SWDDPPI">[3]Parameters!$B$42</definedName>
    <definedName name="SWDDPPIE">[3]Parameters!$B$50</definedName>
    <definedName name="SWH2E">[3]Parameters!$B$47</definedName>
    <definedName name="SWNH12">[3]Parameters!$B$44</definedName>
    <definedName name="SWNH8">[3]Parameters!$B$45</definedName>
    <definedName name="SWPA">[3]Parameters!$B$38</definedName>
    <definedName name="SWPAE">[3]Parameters!$B$46</definedName>
    <definedName name="SWPPI">[3]Parameters!$B$41</definedName>
    <definedName name="SWPPIE">[3]Parameters!$B$49</definedName>
    <definedName name="SWSU">[3]Parameters!$B$43</definedName>
    <definedName name="uBleedingCont">Parameters!$B$37</definedName>
    <definedName name="uBleedingStop">Parameters!$B$38</definedName>
    <definedName name="UCcost">'[4]UC '!$W$1573</definedName>
    <definedName name="UCqalys">'[4]UC '!$Y$1573</definedName>
    <definedName name="uEREX">[4]Parameters!$B$49</definedName>
    <definedName name="UGIE">[3]Parameters!$B$63</definedName>
    <definedName name="UGIS">[3]Parameters!$B$64</definedName>
    <definedName name="uHOEX">[4]Parameters!$B$50</definedName>
    <definedName name="uNES">[4]Parameters!$B$47</definedName>
    <definedName name="uOCEX">[4]Parameters!$B$48</definedName>
    <definedName name="uRevision">[2]Parameters!$B$43</definedName>
    <definedName name="uSuccessP">[2]Parameters!$B$41</definedName>
    <definedName name="uSuccessR">[2]Parameters!$B$42</definedName>
    <definedName name="uThrombosis">Parameters!$B$40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 i="2" l="1"/>
  <c r="D13" i="2"/>
  <c r="D32" i="12" l="1"/>
  <c r="D15" i="12"/>
  <c r="D26" i="12" l="1"/>
  <c r="E26" i="12"/>
  <c r="D33" i="12" l="1"/>
  <c r="D29" i="12"/>
  <c r="E30" i="2" l="1"/>
  <c r="G30" i="2" s="1"/>
  <c r="E31" i="2"/>
  <c r="H31" i="2" s="1"/>
  <c r="E32" i="2"/>
  <c r="G32" i="2" s="1"/>
  <c r="E29" i="2"/>
  <c r="G29" i="2" s="1"/>
  <c r="C32" i="2" l="1"/>
  <c r="B32" i="2" s="1"/>
  <c r="J4" i="7" s="1"/>
  <c r="H29" i="2"/>
  <c r="C29" i="2" s="1"/>
  <c r="H32" i="2"/>
  <c r="G31" i="2"/>
  <c r="C31" i="2" s="1"/>
  <c r="H30" i="2"/>
  <c r="C30" i="2" s="1"/>
  <c r="T1007" i="7" l="1"/>
  <c r="S1007" i="7"/>
  <c r="R1007" i="7"/>
  <c r="J8" i="12" s="1"/>
  <c r="Q1007" i="7"/>
  <c r="K8" i="12" s="1"/>
  <c r="P1007" i="7"/>
  <c r="J7" i="12" s="1"/>
  <c r="O1007" i="7"/>
  <c r="K7" i="12" s="1"/>
  <c r="X1005" i="7"/>
  <c r="AB1005" i="7" s="1"/>
  <c r="W1005" i="7"/>
  <c r="V1005" i="7"/>
  <c r="X1004" i="7"/>
  <c r="AB1004" i="7" s="1"/>
  <c r="W1004" i="7"/>
  <c r="V1004" i="7"/>
  <c r="X1003" i="7"/>
  <c r="AB1003" i="7" s="1"/>
  <c r="W1003" i="7"/>
  <c r="V1003" i="7"/>
  <c r="X1002" i="7"/>
  <c r="AB1002" i="7" s="1"/>
  <c r="W1002" i="7"/>
  <c r="V1002" i="7"/>
  <c r="X1001" i="7"/>
  <c r="AB1001" i="7" s="1"/>
  <c r="W1001" i="7"/>
  <c r="V1001" i="7"/>
  <c r="X1000" i="7"/>
  <c r="AB1000" i="7" s="1"/>
  <c r="W1000" i="7"/>
  <c r="V1000" i="7"/>
  <c r="X999" i="7"/>
  <c r="AB999" i="7" s="1"/>
  <c r="W999" i="7"/>
  <c r="V999" i="7"/>
  <c r="X998" i="7"/>
  <c r="AB998" i="7" s="1"/>
  <c r="W998" i="7"/>
  <c r="V998" i="7"/>
  <c r="X997" i="7"/>
  <c r="AB997" i="7" s="1"/>
  <c r="W997" i="7"/>
  <c r="V997" i="7"/>
  <c r="X996" i="7"/>
  <c r="AB996" i="7" s="1"/>
  <c r="W996" i="7"/>
  <c r="V996" i="7"/>
  <c r="X995" i="7"/>
  <c r="AB995" i="7" s="1"/>
  <c r="W995" i="7"/>
  <c r="V995" i="7"/>
  <c r="X994" i="7"/>
  <c r="AB994" i="7" s="1"/>
  <c r="W994" i="7"/>
  <c r="V994" i="7"/>
  <c r="X993" i="7"/>
  <c r="AB993" i="7" s="1"/>
  <c r="W993" i="7"/>
  <c r="V993" i="7"/>
  <c r="X992" i="7"/>
  <c r="AB992" i="7" s="1"/>
  <c r="W992" i="7"/>
  <c r="V992" i="7"/>
  <c r="X991" i="7"/>
  <c r="AB991" i="7" s="1"/>
  <c r="W991" i="7"/>
  <c r="V991" i="7"/>
  <c r="X990" i="7"/>
  <c r="AB990" i="7" s="1"/>
  <c r="W990" i="7"/>
  <c r="V990" i="7"/>
  <c r="X989" i="7"/>
  <c r="AB989" i="7" s="1"/>
  <c r="W989" i="7"/>
  <c r="V989" i="7"/>
  <c r="X988" i="7"/>
  <c r="AB988" i="7" s="1"/>
  <c r="W988" i="7"/>
  <c r="V988" i="7"/>
  <c r="X987" i="7"/>
  <c r="AB987" i="7" s="1"/>
  <c r="W987" i="7"/>
  <c r="V987" i="7"/>
  <c r="X986" i="7"/>
  <c r="AB986" i="7" s="1"/>
  <c r="W986" i="7"/>
  <c r="V986" i="7"/>
  <c r="X985" i="7"/>
  <c r="AB985" i="7" s="1"/>
  <c r="W985" i="7"/>
  <c r="V985" i="7"/>
  <c r="X984" i="7"/>
  <c r="AB984" i="7" s="1"/>
  <c r="W984" i="7"/>
  <c r="V984" i="7"/>
  <c r="X983" i="7"/>
  <c r="AB983" i="7" s="1"/>
  <c r="W983" i="7"/>
  <c r="V983" i="7"/>
  <c r="X982" i="7"/>
  <c r="AB982" i="7" s="1"/>
  <c r="W982" i="7"/>
  <c r="V982" i="7"/>
  <c r="X981" i="7"/>
  <c r="AB981" i="7" s="1"/>
  <c r="W981" i="7"/>
  <c r="V981" i="7"/>
  <c r="X980" i="7"/>
  <c r="AB980" i="7" s="1"/>
  <c r="W980" i="7"/>
  <c r="V980" i="7"/>
  <c r="X979" i="7"/>
  <c r="AB979" i="7" s="1"/>
  <c r="W979" i="7"/>
  <c r="V979" i="7"/>
  <c r="X978" i="7"/>
  <c r="AB978" i="7" s="1"/>
  <c r="W978" i="7"/>
  <c r="V978" i="7"/>
  <c r="X977" i="7"/>
  <c r="AB977" i="7" s="1"/>
  <c r="W977" i="7"/>
  <c r="V977" i="7"/>
  <c r="X976" i="7"/>
  <c r="AB976" i="7" s="1"/>
  <c r="W976" i="7"/>
  <c r="V976" i="7"/>
  <c r="X975" i="7"/>
  <c r="AB975" i="7" s="1"/>
  <c r="W975" i="7"/>
  <c r="V975" i="7"/>
  <c r="X974" i="7"/>
  <c r="AB974" i="7" s="1"/>
  <c r="W974" i="7"/>
  <c r="V974" i="7"/>
  <c r="X973" i="7"/>
  <c r="AB973" i="7" s="1"/>
  <c r="W973" i="7"/>
  <c r="V973" i="7"/>
  <c r="X972" i="7"/>
  <c r="AB972" i="7" s="1"/>
  <c r="W972" i="7"/>
  <c r="V972" i="7"/>
  <c r="X971" i="7"/>
  <c r="AB971" i="7" s="1"/>
  <c r="W971" i="7"/>
  <c r="V971" i="7"/>
  <c r="X970" i="7"/>
  <c r="AB970" i="7" s="1"/>
  <c r="W970" i="7"/>
  <c r="V970" i="7"/>
  <c r="X969" i="7"/>
  <c r="AB969" i="7" s="1"/>
  <c r="W969" i="7"/>
  <c r="V969" i="7"/>
  <c r="X968" i="7"/>
  <c r="AB968" i="7" s="1"/>
  <c r="W968" i="7"/>
  <c r="V968" i="7"/>
  <c r="X967" i="7"/>
  <c r="AB967" i="7" s="1"/>
  <c r="W967" i="7"/>
  <c r="V967" i="7"/>
  <c r="X966" i="7"/>
  <c r="AB966" i="7" s="1"/>
  <c r="W966" i="7"/>
  <c r="V966" i="7"/>
  <c r="X965" i="7"/>
  <c r="AB965" i="7" s="1"/>
  <c r="W965" i="7"/>
  <c r="V965" i="7"/>
  <c r="X964" i="7"/>
  <c r="AB964" i="7" s="1"/>
  <c r="W964" i="7"/>
  <c r="V964" i="7"/>
  <c r="X963" i="7"/>
  <c r="AB963" i="7" s="1"/>
  <c r="W963" i="7"/>
  <c r="V963" i="7"/>
  <c r="X962" i="7"/>
  <c r="AB962" i="7" s="1"/>
  <c r="W962" i="7"/>
  <c r="V962" i="7"/>
  <c r="X961" i="7"/>
  <c r="AB961" i="7" s="1"/>
  <c r="W961" i="7"/>
  <c r="V961" i="7"/>
  <c r="X960" i="7"/>
  <c r="AB960" i="7" s="1"/>
  <c r="W960" i="7"/>
  <c r="V960" i="7"/>
  <c r="X959" i="7"/>
  <c r="AB959" i="7" s="1"/>
  <c r="W959" i="7"/>
  <c r="V959" i="7"/>
  <c r="X958" i="7"/>
  <c r="AB958" i="7" s="1"/>
  <c r="W958" i="7"/>
  <c r="V958" i="7"/>
  <c r="X957" i="7"/>
  <c r="AB957" i="7" s="1"/>
  <c r="W957" i="7"/>
  <c r="V957" i="7"/>
  <c r="X956" i="7"/>
  <c r="AB956" i="7" s="1"/>
  <c r="W956" i="7"/>
  <c r="V956" i="7"/>
  <c r="X955" i="7"/>
  <c r="AB955" i="7" s="1"/>
  <c r="W955" i="7"/>
  <c r="V955" i="7"/>
  <c r="X954" i="7"/>
  <c r="AB954" i="7" s="1"/>
  <c r="W954" i="7"/>
  <c r="V954" i="7"/>
  <c r="X953" i="7"/>
  <c r="AB953" i="7" s="1"/>
  <c r="W953" i="7"/>
  <c r="V953" i="7"/>
  <c r="X952" i="7"/>
  <c r="AB952" i="7" s="1"/>
  <c r="W952" i="7"/>
  <c r="V952" i="7"/>
  <c r="X951" i="7"/>
  <c r="AB951" i="7" s="1"/>
  <c r="W951" i="7"/>
  <c r="V951" i="7"/>
  <c r="X950" i="7"/>
  <c r="AB950" i="7" s="1"/>
  <c r="W950" i="7"/>
  <c r="V950" i="7"/>
  <c r="X949" i="7"/>
  <c r="AB949" i="7" s="1"/>
  <c r="W949" i="7"/>
  <c r="V949" i="7"/>
  <c r="X948" i="7"/>
  <c r="AB948" i="7" s="1"/>
  <c r="W948" i="7"/>
  <c r="V948" i="7"/>
  <c r="X947" i="7"/>
  <c r="AB947" i="7" s="1"/>
  <c r="W947" i="7"/>
  <c r="V947" i="7"/>
  <c r="X946" i="7"/>
  <c r="AB946" i="7" s="1"/>
  <c r="W946" i="7"/>
  <c r="V946" i="7"/>
  <c r="X945" i="7"/>
  <c r="AB945" i="7" s="1"/>
  <c r="W945" i="7"/>
  <c r="V945" i="7"/>
  <c r="X944" i="7"/>
  <c r="AB944" i="7" s="1"/>
  <c r="W944" i="7"/>
  <c r="V944" i="7"/>
  <c r="X943" i="7"/>
  <c r="AB943" i="7" s="1"/>
  <c r="W943" i="7"/>
  <c r="V943" i="7"/>
  <c r="X942" i="7"/>
  <c r="AB942" i="7" s="1"/>
  <c r="W942" i="7"/>
  <c r="V942" i="7"/>
  <c r="X941" i="7"/>
  <c r="AB941" i="7" s="1"/>
  <c r="W941" i="7"/>
  <c r="V941" i="7"/>
  <c r="X940" i="7"/>
  <c r="AB940" i="7" s="1"/>
  <c r="W940" i="7"/>
  <c r="V940" i="7"/>
  <c r="X939" i="7"/>
  <c r="AB939" i="7" s="1"/>
  <c r="W939" i="7"/>
  <c r="V939" i="7"/>
  <c r="X938" i="7"/>
  <c r="AB938" i="7" s="1"/>
  <c r="W938" i="7"/>
  <c r="V938" i="7"/>
  <c r="X937" i="7"/>
  <c r="AB937" i="7" s="1"/>
  <c r="W937" i="7"/>
  <c r="V937" i="7"/>
  <c r="X936" i="7"/>
  <c r="AB936" i="7" s="1"/>
  <c r="W936" i="7"/>
  <c r="V936" i="7"/>
  <c r="X935" i="7"/>
  <c r="AB935" i="7" s="1"/>
  <c r="W935" i="7"/>
  <c r="V935" i="7"/>
  <c r="X934" i="7"/>
  <c r="AB934" i="7" s="1"/>
  <c r="W934" i="7"/>
  <c r="V934" i="7"/>
  <c r="X933" i="7"/>
  <c r="AB933" i="7" s="1"/>
  <c r="W933" i="7"/>
  <c r="V933" i="7"/>
  <c r="X932" i="7"/>
  <c r="AB932" i="7" s="1"/>
  <c r="W932" i="7"/>
  <c r="V932" i="7"/>
  <c r="X931" i="7"/>
  <c r="AB931" i="7" s="1"/>
  <c r="W931" i="7"/>
  <c r="V931" i="7"/>
  <c r="X930" i="7"/>
  <c r="AB930" i="7" s="1"/>
  <c r="W930" i="7"/>
  <c r="V930" i="7"/>
  <c r="X929" i="7"/>
  <c r="AB929" i="7" s="1"/>
  <c r="W929" i="7"/>
  <c r="V929" i="7"/>
  <c r="X928" i="7"/>
  <c r="AB928" i="7" s="1"/>
  <c r="W928" i="7"/>
  <c r="V928" i="7"/>
  <c r="X927" i="7"/>
  <c r="AB927" i="7" s="1"/>
  <c r="W927" i="7"/>
  <c r="V927" i="7"/>
  <c r="X926" i="7"/>
  <c r="AB926" i="7" s="1"/>
  <c r="W926" i="7"/>
  <c r="V926" i="7"/>
  <c r="X925" i="7"/>
  <c r="AB925" i="7" s="1"/>
  <c r="W925" i="7"/>
  <c r="V925" i="7"/>
  <c r="X924" i="7"/>
  <c r="AB924" i="7" s="1"/>
  <c r="W924" i="7"/>
  <c r="V924" i="7"/>
  <c r="X923" i="7"/>
  <c r="AB923" i="7" s="1"/>
  <c r="W923" i="7"/>
  <c r="V923" i="7"/>
  <c r="X922" i="7"/>
  <c r="AB922" i="7" s="1"/>
  <c r="W922" i="7"/>
  <c r="V922" i="7"/>
  <c r="X921" i="7"/>
  <c r="AB921" i="7" s="1"/>
  <c r="W921" i="7"/>
  <c r="V921" i="7"/>
  <c r="X920" i="7"/>
  <c r="AB920" i="7" s="1"/>
  <c r="W920" i="7"/>
  <c r="V920" i="7"/>
  <c r="X919" i="7"/>
  <c r="AB919" i="7" s="1"/>
  <c r="W919" i="7"/>
  <c r="V919" i="7"/>
  <c r="X918" i="7"/>
  <c r="AB918" i="7" s="1"/>
  <c r="W918" i="7"/>
  <c r="V918" i="7"/>
  <c r="X917" i="7"/>
  <c r="AB917" i="7" s="1"/>
  <c r="W917" i="7"/>
  <c r="V917" i="7"/>
  <c r="X916" i="7"/>
  <c r="AB916" i="7" s="1"/>
  <c r="W916" i="7"/>
  <c r="V916" i="7"/>
  <c r="X915" i="7"/>
  <c r="AB915" i="7" s="1"/>
  <c r="W915" i="7"/>
  <c r="V915" i="7"/>
  <c r="X914" i="7"/>
  <c r="AB914" i="7" s="1"/>
  <c r="W914" i="7"/>
  <c r="V914" i="7"/>
  <c r="X913" i="7"/>
  <c r="AB913" i="7" s="1"/>
  <c r="W913" i="7"/>
  <c r="V913" i="7"/>
  <c r="X912" i="7"/>
  <c r="AB912" i="7" s="1"/>
  <c r="W912" i="7"/>
  <c r="V912" i="7"/>
  <c r="X911" i="7"/>
  <c r="AB911" i="7" s="1"/>
  <c r="W911" i="7"/>
  <c r="V911" i="7"/>
  <c r="X910" i="7"/>
  <c r="AB910" i="7" s="1"/>
  <c r="W910" i="7"/>
  <c r="V910" i="7"/>
  <c r="X909" i="7"/>
  <c r="AB909" i="7" s="1"/>
  <c r="W909" i="7"/>
  <c r="V909" i="7"/>
  <c r="X908" i="7"/>
  <c r="AB908" i="7" s="1"/>
  <c r="W908" i="7"/>
  <c r="V908" i="7"/>
  <c r="X907" i="7"/>
  <c r="AB907" i="7" s="1"/>
  <c r="W907" i="7"/>
  <c r="V907" i="7"/>
  <c r="X906" i="7"/>
  <c r="AB906" i="7" s="1"/>
  <c r="W906" i="7"/>
  <c r="V906" i="7"/>
  <c r="X905" i="7"/>
  <c r="AB905" i="7" s="1"/>
  <c r="W905" i="7"/>
  <c r="V905" i="7"/>
  <c r="X904" i="7"/>
  <c r="AB904" i="7" s="1"/>
  <c r="W904" i="7"/>
  <c r="V904" i="7"/>
  <c r="X903" i="7"/>
  <c r="AB903" i="7" s="1"/>
  <c r="W903" i="7"/>
  <c r="V903" i="7"/>
  <c r="X902" i="7"/>
  <c r="AB902" i="7" s="1"/>
  <c r="W902" i="7"/>
  <c r="V902" i="7"/>
  <c r="X901" i="7"/>
  <c r="AB901" i="7" s="1"/>
  <c r="W901" i="7"/>
  <c r="V901" i="7"/>
  <c r="X900" i="7"/>
  <c r="AB900" i="7" s="1"/>
  <c r="W900" i="7"/>
  <c r="V900" i="7"/>
  <c r="X899" i="7"/>
  <c r="AB899" i="7" s="1"/>
  <c r="W899" i="7"/>
  <c r="V899" i="7"/>
  <c r="X898" i="7"/>
  <c r="AB898" i="7" s="1"/>
  <c r="W898" i="7"/>
  <c r="V898" i="7"/>
  <c r="X897" i="7"/>
  <c r="AB897" i="7" s="1"/>
  <c r="W897" i="7"/>
  <c r="V897" i="7"/>
  <c r="X896" i="7"/>
  <c r="AB896" i="7" s="1"/>
  <c r="W896" i="7"/>
  <c r="V896" i="7"/>
  <c r="X895" i="7"/>
  <c r="AB895" i="7" s="1"/>
  <c r="W895" i="7"/>
  <c r="V895" i="7"/>
  <c r="X894" i="7"/>
  <c r="AB894" i="7" s="1"/>
  <c r="W894" i="7"/>
  <c r="V894" i="7"/>
  <c r="X893" i="7"/>
  <c r="AB893" i="7" s="1"/>
  <c r="W893" i="7"/>
  <c r="V893" i="7"/>
  <c r="X892" i="7"/>
  <c r="AB892" i="7" s="1"/>
  <c r="W892" i="7"/>
  <c r="V892" i="7"/>
  <c r="X891" i="7"/>
  <c r="AB891" i="7" s="1"/>
  <c r="W891" i="7"/>
  <c r="V891" i="7"/>
  <c r="X890" i="7"/>
  <c r="AB890" i="7" s="1"/>
  <c r="W890" i="7"/>
  <c r="V890" i="7"/>
  <c r="X889" i="7"/>
  <c r="AB889" i="7" s="1"/>
  <c r="W889" i="7"/>
  <c r="V889" i="7"/>
  <c r="X888" i="7"/>
  <c r="AB888" i="7" s="1"/>
  <c r="W888" i="7"/>
  <c r="V888" i="7"/>
  <c r="X887" i="7"/>
  <c r="AB887" i="7" s="1"/>
  <c r="W887" i="7"/>
  <c r="V887" i="7"/>
  <c r="X886" i="7"/>
  <c r="AB886" i="7" s="1"/>
  <c r="W886" i="7"/>
  <c r="V886" i="7"/>
  <c r="X885" i="7"/>
  <c r="AB885" i="7" s="1"/>
  <c r="W885" i="7"/>
  <c r="V885" i="7"/>
  <c r="X884" i="7"/>
  <c r="AB884" i="7" s="1"/>
  <c r="W884" i="7"/>
  <c r="V884" i="7"/>
  <c r="X883" i="7"/>
  <c r="AB883" i="7" s="1"/>
  <c r="W883" i="7"/>
  <c r="V883" i="7"/>
  <c r="X882" i="7"/>
  <c r="AB882" i="7" s="1"/>
  <c r="W882" i="7"/>
  <c r="V882" i="7"/>
  <c r="X881" i="7"/>
  <c r="AB881" i="7" s="1"/>
  <c r="W881" i="7"/>
  <c r="V881" i="7"/>
  <c r="X880" i="7"/>
  <c r="AB880" i="7" s="1"/>
  <c r="W880" i="7"/>
  <c r="V880" i="7"/>
  <c r="X879" i="7"/>
  <c r="AB879" i="7" s="1"/>
  <c r="W879" i="7"/>
  <c r="V879" i="7"/>
  <c r="X878" i="7"/>
  <c r="AB878" i="7" s="1"/>
  <c r="W878" i="7"/>
  <c r="V878" i="7"/>
  <c r="X877" i="7"/>
  <c r="AB877" i="7" s="1"/>
  <c r="W877" i="7"/>
  <c r="V877" i="7"/>
  <c r="X876" i="7"/>
  <c r="AB876" i="7" s="1"/>
  <c r="W876" i="7"/>
  <c r="V876" i="7"/>
  <c r="X875" i="7"/>
  <c r="AB875" i="7" s="1"/>
  <c r="W875" i="7"/>
  <c r="V875" i="7"/>
  <c r="X874" i="7"/>
  <c r="AB874" i="7" s="1"/>
  <c r="W874" i="7"/>
  <c r="V874" i="7"/>
  <c r="X873" i="7"/>
  <c r="AB873" i="7" s="1"/>
  <c r="W873" i="7"/>
  <c r="V873" i="7"/>
  <c r="X872" i="7"/>
  <c r="AB872" i="7" s="1"/>
  <c r="W872" i="7"/>
  <c r="V872" i="7"/>
  <c r="X871" i="7"/>
  <c r="AB871" i="7" s="1"/>
  <c r="W871" i="7"/>
  <c r="V871" i="7"/>
  <c r="X870" i="7"/>
  <c r="AB870" i="7" s="1"/>
  <c r="W870" i="7"/>
  <c r="V870" i="7"/>
  <c r="X869" i="7"/>
  <c r="AB869" i="7" s="1"/>
  <c r="W869" i="7"/>
  <c r="V869" i="7"/>
  <c r="X868" i="7"/>
  <c r="AB868" i="7" s="1"/>
  <c r="W868" i="7"/>
  <c r="V868" i="7"/>
  <c r="X867" i="7"/>
  <c r="AB867" i="7" s="1"/>
  <c r="W867" i="7"/>
  <c r="V867" i="7"/>
  <c r="X866" i="7"/>
  <c r="AB866" i="7" s="1"/>
  <c r="W866" i="7"/>
  <c r="V866" i="7"/>
  <c r="X865" i="7"/>
  <c r="AB865" i="7" s="1"/>
  <c r="W865" i="7"/>
  <c r="V865" i="7"/>
  <c r="X864" i="7"/>
  <c r="AB864" i="7" s="1"/>
  <c r="W864" i="7"/>
  <c r="V864" i="7"/>
  <c r="X863" i="7"/>
  <c r="AB863" i="7" s="1"/>
  <c r="W863" i="7"/>
  <c r="V863" i="7"/>
  <c r="X862" i="7"/>
  <c r="AB862" i="7" s="1"/>
  <c r="W862" i="7"/>
  <c r="V862" i="7"/>
  <c r="X861" i="7"/>
  <c r="AB861" i="7" s="1"/>
  <c r="W861" i="7"/>
  <c r="V861" i="7"/>
  <c r="X860" i="7"/>
  <c r="AB860" i="7" s="1"/>
  <c r="W860" i="7"/>
  <c r="V860" i="7"/>
  <c r="X859" i="7"/>
  <c r="AB859" i="7" s="1"/>
  <c r="W859" i="7"/>
  <c r="V859" i="7"/>
  <c r="X858" i="7"/>
  <c r="AB858" i="7" s="1"/>
  <c r="W858" i="7"/>
  <c r="V858" i="7"/>
  <c r="X857" i="7"/>
  <c r="AB857" i="7" s="1"/>
  <c r="W857" i="7"/>
  <c r="V857" i="7"/>
  <c r="X856" i="7"/>
  <c r="AB856" i="7" s="1"/>
  <c r="W856" i="7"/>
  <c r="V856" i="7"/>
  <c r="X855" i="7"/>
  <c r="AB855" i="7" s="1"/>
  <c r="W855" i="7"/>
  <c r="V855" i="7"/>
  <c r="X854" i="7"/>
  <c r="AB854" i="7" s="1"/>
  <c r="W854" i="7"/>
  <c r="V854" i="7"/>
  <c r="X853" i="7"/>
  <c r="AB853" i="7" s="1"/>
  <c r="W853" i="7"/>
  <c r="V853" i="7"/>
  <c r="X852" i="7"/>
  <c r="AB852" i="7" s="1"/>
  <c r="W852" i="7"/>
  <c r="V852" i="7"/>
  <c r="X851" i="7"/>
  <c r="AB851" i="7" s="1"/>
  <c r="W851" i="7"/>
  <c r="V851" i="7"/>
  <c r="X850" i="7"/>
  <c r="AB850" i="7" s="1"/>
  <c r="W850" i="7"/>
  <c r="V850" i="7"/>
  <c r="X849" i="7"/>
  <c r="AB849" i="7" s="1"/>
  <c r="W849" i="7"/>
  <c r="V849" i="7"/>
  <c r="X848" i="7"/>
  <c r="AB848" i="7" s="1"/>
  <c r="W848" i="7"/>
  <c r="V848" i="7"/>
  <c r="X847" i="7"/>
  <c r="AB847" i="7" s="1"/>
  <c r="W847" i="7"/>
  <c r="V847" i="7"/>
  <c r="X846" i="7"/>
  <c r="AB846" i="7" s="1"/>
  <c r="W846" i="7"/>
  <c r="V846" i="7"/>
  <c r="X845" i="7"/>
  <c r="AB845" i="7" s="1"/>
  <c r="W845" i="7"/>
  <c r="V845" i="7"/>
  <c r="X844" i="7"/>
  <c r="AB844" i="7" s="1"/>
  <c r="W844" i="7"/>
  <c r="V844" i="7"/>
  <c r="X843" i="7"/>
  <c r="AB843" i="7" s="1"/>
  <c r="W843" i="7"/>
  <c r="V843" i="7"/>
  <c r="X842" i="7"/>
  <c r="AB842" i="7" s="1"/>
  <c r="W842" i="7"/>
  <c r="V842" i="7"/>
  <c r="X841" i="7"/>
  <c r="AB841" i="7" s="1"/>
  <c r="W841" i="7"/>
  <c r="V841" i="7"/>
  <c r="X840" i="7"/>
  <c r="AB840" i="7" s="1"/>
  <c r="W840" i="7"/>
  <c r="V840" i="7"/>
  <c r="X839" i="7"/>
  <c r="AB839" i="7" s="1"/>
  <c r="W839" i="7"/>
  <c r="V839" i="7"/>
  <c r="X838" i="7"/>
  <c r="AB838" i="7" s="1"/>
  <c r="W838" i="7"/>
  <c r="V838" i="7"/>
  <c r="X837" i="7"/>
  <c r="AB837" i="7" s="1"/>
  <c r="W837" i="7"/>
  <c r="V837" i="7"/>
  <c r="X836" i="7"/>
  <c r="AB836" i="7" s="1"/>
  <c r="W836" i="7"/>
  <c r="V836" i="7"/>
  <c r="X835" i="7"/>
  <c r="AB835" i="7" s="1"/>
  <c r="W835" i="7"/>
  <c r="V835" i="7"/>
  <c r="X834" i="7"/>
  <c r="AB834" i="7" s="1"/>
  <c r="W834" i="7"/>
  <c r="V834" i="7"/>
  <c r="X833" i="7"/>
  <c r="AB833" i="7" s="1"/>
  <c r="W833" i="7"/>
  <c r="V833" i="7"/>
  <c r="X832" i="7"/>
  <c r="AB832" i="7" s="1"/>
  <c r="W832" i="7"/>
  <c r="V832" i="7"/>
  <c r="X831" i="7"/>
  <c r="AB831" i="7" s="1"/>
  <c r="W831" i="7"/>
  <c r="V831" i="7"/>
  <c r="X830" i="7"/>
  <c r="AB830" i="7" s="1"/>
  <c r="W830" i="7"/>
  <c r="V830" i="7"/>
  <c r="X829" i="7"/>
  <c r="AB829" i="7" s="1"/>
  <c r="W829" i="7"/>
  <c r="V829" i="7"/>
  <c r="X828" i="7"/>
  <c r="AB828" i="7" s="1"/>
  <c r="W828" i="7"/>
  <c r="V828" i="7"/>
  <c r="X827" i="7"/>
  <c r="AB827" i="7" s="1"/>
  <c r="W827" i="7"/>
  <c r="V827" i="7"/>
  <c r="X826" i="7"/>
  <c r="AB826" i="7" s="1"/>
  <c r="W826" i="7"/>
  <c r="V826" i="7"/>
  <c r="X825" i="7"/>
  <c r="AB825" i="7" s="1"/>
  <c r="W825" i="7"/>
  <c r="V825" i="7"/>
  <c r="X824" i="7"/>
  <c r="AB824" i="7" s="1"/>
  <c r="W824" i="7"/>
  <c r="V824" i="7"/>
  <c r="X823" i="7"/>
  <c r="AB823" i="7" s="1"/>
  <c r="W823" i="7"/>
  <c r="V823" i="7"/>
  <c r="X822" i="7"/>
  <c r="AB822" i="7" s="1"/>
  <c r="W822" i="7"/>
  <c r="V822" i="7"/>
  <c r="X821" i="7"/>
  <c r="AB821" i="7" s="1"/>
  <c r="W821" i="7"/>
  <c r="V821" i="7"/>
  <c r="X820" i="7"/>
  <c r="AB820" i="7" s="1"/>
  <c r="W820" i="7"/>
  <c r="V820" i="7"/>
  <c r="X819" i="7"/>
  <c r="AB819" i="7" s="1"/>
  <c r="W819" i="7"/>
  <c r="V819" i="7"/>
  <c r="X818" i="7"/>
  <c r="AB818" i="7" s="1"/>
  <c r="W818" i="7"/>
  <c r="V818" i="7"/>
  <c r="X817" i="7"/>
  <c r="AB817" i="7" s="1"/>
  <c r="W817" i="7"/>
  <c r="V817" i="7"/>
  <c r="X816" i="7"/>
  <c r="AB816" i="7" s="1"/>
  <c r="W816" i="7"/>
  <c r="V816" i="7"/>
  <c r="X815" i="7"/>
  <c r="AB815" i="7" s="1"/>
  <c r="W815" i="7"/>
  <c r="V815" i="7"/>
  <c r="X814" i="7"/>
  <c r="AB814" i="7" s="1"/>
  <c r="W814" i="7"/>
  <c r="V814" i="7"/>
  <c r="X813" i="7"/>
  <c r="AB813" i="7" s="1"/>
  <c r="W813" i="7"/>
  <c r="V813" i="7"/>
  <c r="X812" i="7"/>
  <c r="AB812" i="7" s="1"/>
  <c r="W812" i="7"/>
  <c r="V812" i="7"/>
  <c r="X811" i="7"/>
  <c r="AB811" i="7" s="1"/>
  <c r="W811" i="7"/>
  <c r="V811" i="7"/>
  <c r="X810" i="7"/>
  <c r="AB810" i="7" s="1"/>
  <c r="W810" i="7"/>
  <c r="V810" i="7"/>
  <c r="X809" i="7"/>
  <c r="AB809" i="7" s="1"/>
  <c r="W809" i="7"/>
  <c r="V809" i="7"/>
  <c r="X808" i="7"/>
  <c r="AB808" i="7" s="1"/>
  <c r="W808" i="7"/>
  <c r="V808" i="7"/>
  <c r="X807" i="7"/>
  <c r="AB807" i="7" s="1"/>
  <c r="W807" i="7"/>
  <c r="V807" i="7"/>
  <c r="X806" i="7"/>
  <c r="AB806" i="7" s="1"/>
  <c r="W806" i="7"/>
  <c r="V806" i="7"/>
  <c r="X805" i="7"/>
  <c r="AB805" i="7" s="1"/>
  <c r="W805" i="7"/>
  <c r="V805" i="7"/>
  <c r="X804" i="7"/>
  <c r="AB804" i="7" s="1"/>
  <c r="W804" i="7"/>
  <c r="V804" i="7"/>
  <c r="X803" i="7"/>
  <c r="AB803" i="7" s="1"/>
  <c r="W803" i="7"/>
  <c r="V803" i="7"/>
  <c r="X802" i="7"/>
  <c r="AB802" i="7" s="1"/>
  <c r="W802" i="7"/>
  <c r="V802" i="7"/>
  <c r="X801" i="7"/>
  <c r="AB801" i="7" s="1"/>
  <c r="W801" i="7"/>
  <c r="V801" i="7"/>
  <c r="X800" i="7"/>
  <c r="AB800" i="7" s="1"/>
  <c r="W800" i="7"/>
  <c r="V800" i="7"/>
  <c r="X799" i="7"/>
  <c r="AB799" i="7" s="1"/>
  <c r="W799" i="7"/>
  <c r="V799" i="7"/>
  <c r="X798" i="7"/>
  <c r="AB798" i="7" s="1"/>
  <c r="W798" i="7"/>
  <c r="V798" i="7"/>
  <c r="X797" i="7"/>
  <c r="AB797" i="7" s="1"/>
  <c r="W797" i="7"/>
  <c r="V797" i="7"/>
  <c r="X796" i="7"/>
  <c r="AB796" i="7" s="1"/>
  <c r="W796" i="7"/>
  <c r="V796" i="7"/>
  <c r="X795" i="7"/>
  <c r="AB795" i="7" s="1"/>
  <c r="W795" i="7"/>
  <c r="V795" i="7"/>
  <c r="X794" i="7"/>
  <c r="AB794" i="7" s="1"/>
  <c r="W794" i="7"/>
  <c r="V794" i="7"/>
  <c r="X793" i="7"/>
  <c r="AB793" i="7" s="1"/>
  <c r="W793" i="7"/>
  <c r="V793" i="7"/>
  <c r="X792" i="7"/>
  <c r="AB792" i="7" s="1"/>
  <c r="W792" i="7"/>
  <c r="V792" i="7"/>
  <c r="X791" i="7"/>
  <c r="AB791" i="7" s="1"/>
  <c r="W791" i="7"/>
  <c r="V791" i="7"/>
  <c r="X790" i="7"/>
  <c r="AB790" i="7" s="1"/>
  <c r="W790" i="7"/>
  <c r="V790" i="7"/>
  <c r="X789" i="7"/>
  <c r="AB789" i="7" s="1"/>
  <c r="W789" i="7"/>
  <c r="V789" i="7"/>
  <c r="X788" i="7"/>
  <c r="AB788" i="7" s="1"/>
  <c r="W788" i="7"/>
  <c r="V788" i="7"/>
  <c r="X787" i="7"/>
  <c r="AB787" i="7" s="1"/>
  <c r="W787" i="7"/>
  <c r="V787" i="7"/>
  <c r="X786" i="7"/>
  <c r="AB786" i="7" s="1"/>
  <c r="W786" i="7"/>
  <c r="V786" i="7"/>
  <c r="X785" i="7"/>
  <c r="AB785" i="7" s="1"/>
  <c r="W785" i="7"/>
  <c r="V785" i="7"/>
  <c r="X784" i="7"/>
  <c r="AB784" i="7" s="1"/>
  <c r="W784" i="7"/>
  <c r="V784" i="7"/>
  <c r="X783" i="7"/>
  <c r="AB783" i="7" s="1"/>
  <c r="W783" i="7"/>
  <c r="V783" i="7"/>
  <c r="X782" i="7"/>
  <c r="AB782" i="7" s="1"/>
  <c r="W782" i="7"/>
  <c r="V782" i="7"/>
  <c r="X781" i="7"/>
  <c r="AB781" i="7" s="1"/>
  <c r="W781" i="7"/>
  <c r="V781" i="7"/>
  <c r="X780" i="7"/>
  <c r="AB780" i="7" s="1"/>
  <c r="W780" i="7"/>
  <c r="V780" i="7"/>
  <c r="X779" i="7"/>
  <c r="AB779" i="7" s="1"/>
  <c r="W779" i="7"/>
  <c r="V779" i="7"/>
  <c r="X778" i="7"/>
  <c r="AB778" i="7" s="1"/>
  <c r="W778" i="7"/>
  <c r="V778" i="7"/>
  <c r="X777" i="7"/>
  <c r="AB777" i="7" s="1"/>
  <c r="W777" i="7"/>
  <c r="V777" i="7"/>
  <c r="X776" i="7"/>
  <c r="AB776" i="7" s="1"/>
  <c r="W776" i="7"/>
  <c r="V776" i="7"/>
  <c r="X775" i="7"/>
  <c r="AB775" i="7" s="1"/>
  <c r="W775" i="7"/>
  <c r="V775" i="7"/>
  <c r="X774" i="7"/>
  <c r="AB774" i="7" s="1"/>
  <c r="W774" i="7"/>
  <c r="V774" i="7"/>
  <c r="X773" i="7"/>
  <c r="AB773" i="7" s="1"/>
  <c r="W773" i="7"/>
  <c r="V773" i="7"/>
  <c r="X772" i="7"/>
  <c r="AB772" i="7" s="1"/>
  <c r="W772" i="7"/>
  <c r="V772" i="7"/>
  <c r="X771" i="7"/>
  <c r="AB771" i="7" s="1"/>
  <c r="W771" i="7"/>
  <c r="V771" i="7"/>
  <c r="X770" i="7"/>
  <c r="AB770" i="7" s="1"/>
  <c r="W770" i="7"/>
  <c r="V770" i="7"/>
  <c r="X769" i="7"/>
  <c r="AB769" i="7" s="1"/>
  <c r="W769" i="7"/>
  <c r="V769" i="7"/>
  <c r="X768" i="7"/>
  <c r="AB768" i="7" s="1"/>
  <c r="W768" i="7"/>
  <c r="V768" i="7"/>
  <c r="X767" i="7"/>
  <c r="AB767" i="7" s="1"/>
  <c r="W767" i="7"/>
  <c r="V767" i="7"/>
  <c r="X766" i="7"/>
  <c r="AB766" i="7" s="1"/>
  <c r="W766" i="7"/>
  <c r="V766" i="7"/>
  <c r="X765" i="7"/>
  <c r="AB765" i="7" s="1"/>
  <c r="W765" i="7"/>
  <c r="V765" i="7"/>
  <c r="X764" i="7"/>
  <c r="AB764" i="7" s="1"/>
  <c r="W764" i="7"/>
  <c r="V764" i="7"/>
  <c r="X763" i="7"/>
  <c r="AB763" i="7" s="1"/>
  <c r="W763" i="7"/>
  <c r="V763" i="7"/>
  <c r="X762" i="7"/>
  <c r="AB762" i="7" s="1"/>
  <c r="W762" i="7"/>
  <c r="V762" i="7"/>
  <c r="X761" i="7"/>
  <c r="AB761" i="7" s="1"/>
  <c r="W761" i="7"/>
  <c r="V761" i="7"/>
  <c r="X760" i="7"/>
  <c r="AB760" i="7" s="1"/>
  <c r="W760" i="7"/>
  <c r="V760" i="7"/>
  <c r="X759" i="7"/>
  <c r="AB759" i="7" s="1"/>
  <c r="W759" i="7"/>
  <c r="V759" i="7"/>
  <c r="X758" i="7"/>
  <c r="AB758" i="7" s="1"/>
  <c r="W758" i="7"/>
  <c r="V758" i="7"/>
  <c r="X757" i="7"/>
  <c r="AB757" i="7" s="1"/>
  <c r="W757" i="7"/>
  <c r="V757" i="7"/>
  <c r="X756" i="7"/>
  <c r="AB756" i="7" s="1"/>
  <c r="W756" i="7"/>
  <c r="V756" i="7"/>
  <c r="X755" i="7"/>
  <c r="AB755" i="7" s="1"/>
  <c r="W755" i="7"/>
  <c r="V755" i="7"/>
  <c r="X754" i="7"/>
  <c r="AB754" i="7" s="1"/>
  <c r="W754" i="7"/>
  <c r="V754" i="7"/>
  <c r="X753" i="7"/>
  <c r="AB753" i="7" s="1"/>
  <c r="W753" i="7"/>
  <c r="V753" i="7"/>
  <c r="X752" i="7"/>
  <c r="AB752" i="7" s="1"/>
  <c r="W752" i="7"/>
  <c r="V752" i="7"/>
  <c r="X751" i="7"/>
  <c r="AB751" i="7" s="1"/>
  <c r="W751" i="7"/>
  <c r="V751" i="7"/>
  <c r="X750" i="7"/>
  <c r="AB750" i="7" s="1"/>
  <c r="W750" i="7"/>
  <c r="V750" i="7"/>
  <c r="X749" i="7"/>
  <c r="AB749" i="7" s="1"/>
  <c r="W749" i="7"/>
  <c r="V749" i="7"/>
  <c r="X748" i="7"/>
  <c r="AB748" i="7" s="1"/>
  <c r="W748" i="7"/>
  <c r="V748" i="7"/>
  <c r="X747" i="7"/>
  <c r="AB747" i="7" s="1"/>
  <c r="W747" i="7"/>
  <c r="V747" i="7"/>
  <c r="X746" i="7"/>
  <c r="AB746" i="7" s="1"/>
  <c r="W746" i="7"/>
  <c r="V746" i="7"/>
  <c r="X745" i="7"/>
  <c r="AB745" i="7" s="1"/>
  <c r="W745" i="7"/>
  <c r="V745" i="7"/>
  <c r="X744" i="7"/>
  <c r="AB744" i="7" s="1"/>
  <c r="W744" i="7"/>
  <c r="V744" i="7"/>
  <c r="X743" i="7"/>
  <c r="AB743" i="7" s="1"/>
  <c r="W743" i="7"/>
  <c r="V743" i="7"/>
  <c r="X742" i="7"/>
  <c r="AB742" i="7" s="1"/>
  <c r="W742" i="7"/>
  <c r="V742" i="7"/>
  <c r="X741" i="7"/>
  <c r="AB741" i="7" s="1"/>
  <c r="W741" i="7"/>
  <c r="V741" i="7"/>
  <c r="X740" i="7"/>
  <c r="AB740" i="7" s="1"/>
  <c r="W740" i="7"/>
  <c r="V740" i="7"/>
  <c r="X739" i="7"/>
  <c r="AB739" i="7" s="1"/>
  <c r="W739" i="7"/>
  <c r="V739" i="7"/>
  <c r="X738" i="7"/>
  <c r="AB738" i="7" s="1"/>
  <c r="W738" i="7"/>
  <c r="V738" i="7"/>
  <c r="X737" i="7"/>
  <c r="AB737" i="7" s="1"/>
  <c r="W737" i="7"/>
  <c r="V737" i="7"/>
  <c r="X736" i="7"/>
  <c r="AB736" i="7" s="1"/>
  <c r="W736" i="7"/>
  <c r="V736" i="7"/>
  <c r="X735" i="7"/>
  <c r="AB735" i="7" s="1"/>
  <c r="W735" i="7"/>
  <c r="V735" i="7"/>
  <c r="X734" i="7"/>
  <c r="AB734" i="7" s="1"/>
  <c r="W734" i="7"/>
  <c r="V734" i="7"/>
  <c r="X733" i="7"/>
  <c r="AB733" i="7" s="1"/>
  <c r="W733" i="7"/>
  <c r="V733" i="7"/>
  <c r="X732" i="7"/>
  <c r="AB732" i="7" s="1"/>
  <c r="W732" i="7"/>
  <c r="V732" i="7"/>
  <c r="X731" i="7"/>
  <c r="AB731" i="7" s="1"/>
  <c r="W731" i="7"/>
  <c r="V731" i="7"/>
  <c r="X730" i="7"/>
  <c r="AB730" i="7" s="1"/>
  <c r="W730" i="7"/>
  <c r="V730" i="7"/>
  <c r="X729" i="7"/>
  <c r="AB729" i="7" s="1"/>
  <c r="W729" i="7"/>
  <c r="V729" i="7"/>
  <c r="X728" i="7"/>
  <c r="AB728" i="7" s="1"/>
  <c r="W728" i="7"/>
  <c r="V728" i="7"/>
  <c r="X727" i="7"/>
  <c r="AB727" i="7" s="1"/>
  <c r="W727" i="7"/>
  <c r="V727" i="7"/>
  <c r="X726" i="7"/>
  <c r="AB726" i="7" s="1"/>
  <c r="W726" i="7"/>
  <c r="V726" i="7"/>
  <c r="X725" i="7"/>
  <c r="AB725" i="7" s="1"/>
  <c r="W725" i="7"/>
  <c r="V725" i="7"/>
  <c r="X724" i="7"/>
  <c r="AB724" i="7" s="1"/>
  <c r="W724" i="7"/>
  <c r="V724" i="7"/>
  <c r="X723" i="7"/>
  <c r="AB723" i="7" s="1"/>
  <c r="W723" i="7"/>
  <c r="V723" i="7"/>
  <c r="X722" i="7"/>
  <c r="AB722" i="7" s="1"/>
  <c r="W722" i="7"/>
  <c r="V722" i="7"/>
  <c r="X721" i="7"/>
  <c r="AB721" i="7" s="1"/>
  <c r="W721" i="7"/>
  <c r="V721" i="7"/>
  <c r="X720" i="7"/>
  <c r="AB720" i="7" s="1"/>
  <c r="W720" i="7"/>
  <c r="V720" i="7"/>
  <c r="X719" i="7"/>
  <c r="AB719" i="7" s="1"/>
  <c r="W719" i="7"/>
  <c r="V719" i="7"/>
  <c r="X718" i="7"/>
  <c r="AB718" i="7" s="1"/>
  <c r="W718" i="7"/>
  <c r="V718" i="7"/>
  <c r="X717" i="7"/>
  <c r="AB717" i="7" s="1"/>
  <c r="W717" i="7"/>
  <c r="V717" i="7"/>
  <c r="X716" i="7"/>
  <c r="AB716" i="7" s="1"/>
  <c r="W716" i="7"/>
  <c r="V716" i="7"/>
  <c r="X715" i="7"/>
  <c r="AB715" i="7" s="1"/>
  <c r="W715" i="7"/>
  <c r="V715" i="7"/>
  <c r="X714" i="7"/>
  <c r="AB714" i="7" s="1"/>
  <c r="W714" i="7"/>
  <c r="V714" i="7"/>
  <c r="X713" i="7"/>
  <c r="AB713" i="7" s="1"/>
  <c r="W713" i="7"/>
  <c r="V713" i="7"/>
  <c r="X712" i="7"/>
  <c r="AB712" i="7" s="1"/>
  <c r="W712" i="7"/>
  <c r="V712" i="7"/>
  <c r="X711" i="7"/>
  <c r="AB711" i="7" s="1"/>
  <c r="W711" i="7"/>
  <c r="V711" i="7"/>
  <c r="X710" i="7"/>
  <c r="AB710" i="7" s="1"/>
  <c r="W710" i="7"/>
  <c r="V710" i="7"/>
  <c r="X709" i="7"/>
  <c r="AB709" i="7" s="1"/>
  <c r="W709" i="7"/>
  <c r="V709" i="7"/>
  <c r="X708" i="7"/>
  <c r="AB708" i="7" s="1"/>
  <c r="W708" i="7"/>
  <c r="V708" i="7"/>
  <c r="X707" i="7"/>
  <c r="AB707" i="7" s="1"/>
  <c r="W707" i="7"/>
  <c r="V707" i="7"/>
  <c r="X706" i="7"/>
  <c r="AB706" i="7" s="1"/>
  <c r="W706" i="7"/>
  <c r="V706" i="7"/>
  <c r="X705" i="7"/>
  <c r="AB705" i="7" s="1"/>
  <c r="W705" i="7"/>
  <c r="V705" i="7"/>
  <c r="X704" i="7"/>
  <c r="AB704" i="7" s="1"/>
  <c r="W704" i="7"/>
  <c r="V704" i="7"/>
  <c r="X703" i="7"/>
  <c r="AB703" i="7" s="1"/>
  <c r="W703" i="7"/>
  <c r="V703" i="7"/>
  <c r="X702" i="7"/>
  <c r="AB702" i="7" s="1"/>
  <c r="W702" i="7"/>
  <c r="V702" i="7"/>
  <c r="X701" i="7"/>
  <c r="AB701" i="7" s="1"/>
  <c r="W701" i="7"/>
  <c r="V701" i="7"/>
  <c r="X700" i="7"/>
  <c r="AB700" i="7" s="1"/>
  <c r="W700" i="7"/>
  <c r="V700" i="7"/>
  <c r="X699" i="7"/>
  <c r="AB699" i="7" s="1"/>
  <c r="W699" i="7"/>
  <c r="V699" i="7"/>
  <c r="X698" i="7"/>
  <c r="AB698" i="7" s="1"/>
  <c r="W698" i="7"/>
  <c r="V698" i="7"/>
  <c r="X697" i="7"/>
  <c r="AB697" i="7" s="1"/>
  <c r="W697" i="7"/>
  <c r="V697" i="7"/>
  <c r="X696" i="7"/>
  <c r="AB696" i="7" s="1"/>
  <c r="W696" i="7"/>
  <c r="V696" i="7"/>
  <c r="X695" i="7"/>
  <c r="AB695" i="7" s="1"/>
  <c r="W695" i="7"/>
  <c r="V695" i="7"/>
  <c r="X694" i="7"/>
  <c r="AB694" i="7" s="1"/>
  <c r="W694" i="7"/>
  <c r="V694" i="7"/>
  <c r="X693" i="7"/>
  <c r="AB693" i="7" s="1"/>
  <c r="W693" i="7"/>
  <c r="V693" i="7"/>
  <c r="X692" i="7"/>
  <c r="AB692" i="7" s="1"/>
  <c r="W692" i="7"/>
  <c r="V692" i="7"/>
  <c r="X691" i="7"/>
  <c r="AB691" i="7" s="1"/>
  <c r="W691" i="7"/>
  <c r="V691" i="7"/>
  <c r="X690" i="7"/>
  <c r="AB690" i="7" s="1"/>
  <c r="W690" i="7"/>
  <c r="V690" i="7"/>
  <c r="X689" i="7"/>
  <c r="AB689" i="7" s="1"/>
  <c r="W689" i="7"/>
  <c r="V689" i="7"/>
  <c r="X688" i="7"/>
  <c r="AB688" i="7" s="1"/>
  <c r="W688" i="7"/>
  <c r="V688" i="7"/>
  <c r="X687" i="7"/>
  <c r="AB687" i="7" s="1"/>
  <c r="W687" i="7"/>
  <c r="V687" i="7"/>
  <c r="X686" i="7"/>
  <c r="AB686" i="7" s="1"/>
  <c r="W686" i="7"/>
  <c r="V686" i="7"/>
  <c r="X685" i="7"/>
  <c r="AB685" i="7" s="1"/>
  <c r="W685" i="7"/>
  <c r="V685" i="7"/>
  <c r="X684" i="7"/>
  <c r="AB684" i="7" s="1"/>
  <c r="W684" i="7"/>
  <c r="V684" i="7"/>
  <c r="X683" i="7"/>
  <c r="AB683" i="7" s="1"/>
  <c r="W683" i="7"/>
  <c r="V683" i="7"/>
  <c r="X682" i="7"/>
  <c r="AB682" i="7" s="1"/>
  <c r="W682" i="7"/>
  <c r="V682" i="7"/>
  <c r="X681" i="7"/>
  <c r="AB681" i="7" s="1"/>
  <c r="W681" i="7"/>
  <c r="V681" i="7"/>
  <c r="X680" i="7"/>
  <c r="AB680" i="7" s="1"/>
  <c r="W680" i="7"/>
  <c r="V680" i="7"/>
  <c r="X679" i="7"/>
  <c r="AB679" i="7" s="1"/>
  <c r="W679" i="7"/>
  <c r="V679" i="7"/>
  <c r="X678" i="7"/>
  <c r="AB678" i="7" s="1"/>
  <c r="W678" i="7"/>
  <c r="V678" i="7"/>
  <c r="X677" i="7"/>
  <c r="AB677" i="7" s="1"/>
  <c r="W677" i="7"/>
  <c r="V677" i="7"/>
  <c r="X676" i="7"/>
  <c r="AB676" i="7" s="1"/>
  <c r="W676" i="7"/>
  <c r="V676" i="7"/>
  <c r="X675" i="7"/>
  <c r="AB675" i="7" s="1"/>
  <c r="W675" i="7"/>
  <c r="V675" i="7"/>
  <c r="X674" i="7"/>
  <c r="AB674" i="7" s="1"/>
  <c r="W674" i="7"/>
  <c r="V674" i="7"/>
  <c r="X673" i="7"/>
  <c r="AB673" i="7" s="1"/>
  <c r="W673" i="7"/>
  <c r="V673" i="7"/>
  <c r="X672" i="7"/>
  <c r="AB672" i="7" s="1"/>
  <c r="W672" i="7"/>
  <c r="V672" i="7"/>
  <c r="X671" i="7"/>
  <c r="AB671" i="7" s="1"/>
  <c r="W671" i="7"/>
  <c r="V671" i="7"/>
  <c r="X670" i="7"/>
  <c r="AB670" i="7" s="1"/>
  <c r="W670" i="7"/>
  <c r="V670" i="7"/>
  <c r="X669" i="7"/>
  <c r="AB669" i="7" s="1"/>
  <c r="W669" i="7"/>
  <c r="V669" i="7"/>
  <c r="X668" i="7"/>
  <c r="AB668" i="7" s="1"/>
  <c r="W668" i="7"/>
  <c r="V668" i="7"/>
  <c r="X667" i="7"/>
  <c r="AB667" i="7" s="1"/>
  <c r="W667" i="7"/>
  <c r="V667" i="7"/>
  <c r="X666" i="7"/>
  <c r="AB666" i="7" s="1"/>
  <c r="W666" i="7"/>
  <c r="V666" i="7"/>
  <c r="X665" i="7"/>
  <c r="AB665" i="7" s="1"/>
  <c r="W665" i="7"/>
  <c r="V665" i="7"/>
  <c r="X664" i="7"/>
  <c r="AB664" i="7" s="1"/>
  <c r="W664" i="7"/>
  <c r="V664" i="7"/>
  <c r="X663" i="7"/>
  <c r="AB663" i="7" s="1"/>
  <c r="W663" i="7"/>
  <c r="V663" i="7"/>
  <c r="X662" i="7"/>
  <c r="AB662" i="7" s="1"/>
  <c r="W662" i="7"/>
  <c r="V662" i="7"/>
  <c r="X661" i="7"/>
  <c r="AB661" i="7" s="1"/>
  <c r="W661" i="7"/>
  <c r="V661" i="7"/>
  <c r="X660" i="7"/>
  <c r="AB660" i="7" s="1"/>
  <c r="W660" i="7"/>
  <c r="V660" i="7"/>
  <c r="X659" i="7"/>
  <c r="AB659" i="7" s="1"/>
  <c r="W659" i="7"/>
  <c r="V659" i="7"/>
  <c r="X658" i="7"/>
  <c r="AB658" i="7" s="1"/>
  <c r="W658" i="7"/>
  <c r="V658" i="7"/>
  <c r="X657" i="7"/>
  <c r="AB657" i="7" s="1"/>
  <c r="W657" i="7"/>
  <c r="V657" i="7"/>
  <c r="X656" i="7"/>
  <c r="AB656" i="7" s="1"/>
  <c r="W656" i="7"/>
  <c r="V656" i="7"/>
  <c r="X655" i="7"/>
  <c r="AB655" i="7" s="1"/>
  <c r="W655" i="7"/>
  <c r="V655" i="7"/>
  <c r="X654" i="7"/>
  <c r="AB654" i="7" s="1"/>
  <c r="W654" i="7"/>
  <c r="V654" i="7"/>
  <c r="X653" i="7"/>
  <c r="AB653" i="7" s="1"/>
  <c r="W653" i="7"/>
  <c r="V653" i="7"/>
  <c r="X652" i="7"/>
  <c r="AB652" i="7" s="1"/>
  <c r="W652" i="7"/>
  <c r="V652" i="7"/>
  <c r="X651" i="7"/>
  <c r="AB651" i="7" s="1"/>
  <c r="W651" i="7"/>
  <c r="V651" i="7"/>
  <c r="X650" i="7"/>
  <c r="AB650" i="7" s="1"/>
  <c r="W650" i="7"/>
  <c r="V650" i="7"/>
  <c r="X649" i="7"/>
  <c r="AB649" i="7" s="1"/>
  <c r="W649" i="7"/>
  <c r="V649" i="7"/>
  <c r="X648" i="7"/>
  <c r="AB648" i="7" s="1"/>
  <c r="W648" i="7"/>
  <c r="V648" i="7"/>
  <c r="X647" i="7"/>
  <c r="AB647" i="7" s="1"/>
  <c r="W647" i="7"/>
  <c r="V647" i="7"/>
  <c r="X646" i="7"/>
  <c r="AB646" i="7" s="1"/>
  <c r="W646" i="7"/>
  <c r="V646" i="7"/>
  <c r="X645" i="7"/>
  <c r="AB645" i="7" s="1"/>
  <c r="W645" i="7"/>
  <c r="V645" i="7"/>
  <c r="X644" i="7"/>
  <c r="AB644" i="7" s="1"/>
  <c r="W644" i="7"/>
  <c r="V644" i="7"/>
  <c r="X643" i="7"/>
  <c r="AB643" i="7" s="1"/>
  <c r="W643" i="7"/>
  <c r="V643" i="7"/>
  <c r="X642" i="7"/>
  <c r="AB642" i="7" s="1"/>
  <c r="W642" i="7"/>
  <c r="V642" i="7"/>
  <c r="X641" i="7"/>
  <c r="AB641" i="7" s="1"/>
  <c r="W641" i="7"/>
  <c r="V641" i="7"/>
  <c r="X640" i="7"/>
  <c r="AB640" i="7" s="1"/>
  <c r="W640" i="7"/>
  <c r="V640" i="7"/>
  <c r="X639" i="7"/>
  <c r="AB639" i="7" s="1"/>
  <c r="W639" i="7"/>
  <c r="V639" i="7"/>
  <c r="X638" i="7"/>
  <c r="AB638" i="7" s="1"/>
  <c r="W638" i="7"/>
  <c r="V638" i="7"/>
  <c r="X637" i="7"/>
  <c r="AB637" i="7" s="1"/>
  <c r="W637" i="7"/>
  <c r="V637" i="7"/>
  <c r="X636" i="7"/>
  <c r="AB636" i="7" s="1"/>
  <c r="W636" i="7"/>
  <c r="V636" i="7"/>
  <c r="X635" i="7"/>
  <c r="AB635" i="7" s="1"/>
  <c r="W635" i="7"/>
  <c r="V635" i="7"/>
  <c r="X634" i="7"/>
  <c r="AB634" i="7" s="1"/>
  <c r="W634" i="7"/>
  <c r="V634" i="7"/>
  <c r="X633" i="7"/>
  <c r="AB633" i="7" s="1"/>
  <c r="W633" i="7"/>
  <c r="V633" i="7"/>
  <c r="X632" i="7"/>
  <c r="AB632" i="7" s="1"/>
  <c r="W632" i="7"/>
  <c r="V632" i="7"/>
  <c r="X631" i="7"/>
  <c r="AB631" i="7" s="1"/>
  <c r="W631" i="7"/>
  <c r="V631" i="7"/>
  <c r="X630" i="7"/>
  <c r="AB630" i="7" s="1"/>
  <c r="W630" i="7"/>
  <c r="V630" i="7"/>
  <c r="X629" i="7"/>
  <c r="AB629" i="7" s="1"/>
  <c r="W629" i="7"/>
  <c r="V629" i="7"/>
  <c r="X628" i="7"/>
  <c r="AB628" i="7" s="1"/>
  <c r="W628" i="7"/>
  <c r="V628" i="7"/>
  <c r="X627" i="7"/>
  <c r="AB627" i="7" s="1"/>
  <c r="W627" i="7"/>
  <c r="V627" i="7"/>
  <c r="X626" i="7"/>
  <c r="AB626" i="7" s="1"/>
  <c r="W626" i="7"/>
  <c r="V626" i="7"/>
  <c r="X625" i="7"/>
  <c r="AB625" i="7" s="1"/>
  <c r="W625" i="7"/>
  <c r="V625" i="7"/>
  <c r="X624" i="7"/>
  <c r="AB624" i="7" s="1"/>
  <c r="W624" i="7"/>
  <c r="V624" i="7"/>
  <c r="X623" i="7"/>
  <c r="AB623" i="7" s="1"/>
  <c r="W623" i="7"/>
  <c r="V623" i="7"/>
  <c r="X622" i="7"/>
  <c r="AB622" i="7" s="1"/>
  <c r="W622" i="7"/>
  <c r="V622" i="7"/>
  <c r="X621" i="7"/>
  <c r="AB621" i="7" s="1"/>
  <c r="W621" i="7"/>
  <c r="V621" i="7"/>
  <c r="X620" i="7"/>
  <c r="AB620" i="7" s="1"/>
  <c r="W620" i="7"/>
  <c r="V620" i="7"/>
  <c r="X619" i="7"/>
  <c r="AB619" i="7" s="1"/>
  <c r="W619" i="7"/>
  <c r="V619" i="7"/>
  <c r="X618" i="7"/>
  <c r="AB618" i="7" s="1"/>
  <c r="W618" i="7"/>
  <c r="V618" i="7"/>
  <c r="X617" i="7"/>
  <c r="AB617" i="7" s="1"/>
  <c r="W617" i="7"/>
  <c r="V617" i="7"/>
  <c r="X616" i="7"/>
  <c r="AB616" i="7" s="1"/>
  <c r="W616" i="7"/>
  <c r="V616" i="7"/>
  <c r="X615" i="7"/>
  <c r="AB615" i="7" s="1"/>
  <c r="W615" i="7"/>
  <c r="V615" i="7"/>
  <c r="X614" i="7"/>
  <c r="AB614" i="7" s="1"/>
  <c r="W614" i="7"/>
  <c r="V614" i="7"/>
  <c r="X613" i="7"/>
  <c r="AB613" i="7" s="1"/>
  <c r="W613" i="7"/>
  <c r="V613" i="7"/>
  <c r="X612" i="7"/>
  <c r="AB612" i="7" s="1"/>
  <c r="W612" i="7"/>
  <c r="V612" i="7"/>
  <c r="X611" i="7"/>
  <c r="AB611" i="7" s="1"/>
  <c r="W611" i="7"/>
  <c r="V611" i="7"/>
  <c r="X610" i="7"/>
  <c r="AB610" i="7" s="1"/>
  <c r="W610" i="7"/>
  <c r="V610" i="7"/>
  <c r="X609" i="7"/>
  <c r="AB609" i="7" s="1"/>
  <c r="W609" i="7"/>
  <c r="V609" i="7"/>
  <c r="X608" i="7"/>
  <c r="AB608" i="7" s="1"/>
  <c r="W608" i="7"/>
  <c r="V608" i="7"/>
  <c r="X607" i="7"/>
  <c r="AB607" i="7" s="1"/>
  <c r="W607" i="7"/>
  <c r="V607" i="7"/>
  <c r="X606" i="7"/>
  <c r="AB606" i="7" s="1"/>
  <c r="W606" i="7"/>
  <c r="V606" i="7"/>
  <c r="X605" i="7"/>
  <c r="AB605" i="7" s="1"/>
  <c r="W605" i="7"/>
  <c r="V605" i="7"/>
  <c r="X604" i="7"/>
  <c r="AB604" i="7" s="1"/>
  <c r="W604" i="7"/>
  <c r="V604" i="7"/>
  <c r="X603" i="7"/>
  <c r="AB603" i="7" s="1"/>
  <c r="W603" i="7"/>
  <c r="V603" i="7"/>
  <c r="X602" i="7"/>
  <c r="AB602" i="7" s="1"/>
  <c r="W602" i="7"/>
  <c r="V602" i="7"/>
  <c r="X601" i="7"/>
  <c r="AB601" i="7" s="1"/>
  <c r="W601" i="7"/>
  <c r="V601" i="7"/>
  <c r="X600" i="7"/>
  <c r="AB600" i="7" s="1"/>
  <c r="W600" i="7"/>
  <c r="V600" i="7"/>
  <c r="X599" i="7"/>
  <c r="AB599" i="7" s="1"/>
  <c r="W599" i="7"/>
  <c r="V599" i="7"/>
  <c r="X598" i="7"/>
  <c r="AB598" i="7" s="1"/>
  <c r="W598" i="7"/>
  <c r="V598" i="7"/>
  <c r="X597" i="7"/>
  <c r="AB597" i="7" s="1"/>
  <c r="W597" i="7"/>
  <c r="V597" i="7"/>
  <c r="X596" i="7"/>
  <c r="AB596" i="7" s="1"/>
  <c r="W596" i="7"/>
  <c r="V596" i="7"/>
  <c r="X595" i="7"/>
  <c r="AB595" i="7" s="1"/>
  <c r="W595" i="7"/>
  <c r="V595" i="7"/>
  <c r="X594" i="7"/>
  <c r="AB594" i="7" s="1"/>
  <c r="W594" i="7"/>
  <c r="V594" i="7"/>
  <c r="X593" i="7"/>
  <c r="AB593" i="7" s="1"/>
  <c r="W593" i="7"/>
  <c r="V593" i="7"/>
  <c r="X592" i="7"/>
  <c r="AB592" i="7" s="1"/>
  <c r="W592" i="7"/>
  <c r="V592" i="7"/>
  <c r="X591" i="7"/>
  <c r="AB591" i="7" s="1"/>
  <c r="W591" i="7"/>
  <c r="V591" i="7"/>
  <c r="X590" i="7"/>
  <c r="AB590" i="7" s="1"/>
  <c r="W590" i="7"/>
  <c r="V590" i="7"/>
  <c r="X589" i="7"/>
  <c r="AB589" i="7" s="1"/>
  <c r="W589" i="7"/>
  <c r="V589" i="7"/>
  <c r="X588" i="7"/>
  <c r="AB588" i="7" s="1"/>
  <c r="W588" i="7"/>
  <c r="V588" i="7"/>
  <c r="X587" i="7"/>
  <c r="AB587" i="7" s="1"/>
  <c r="W587" i="7"/>
  <c r="V587" i="7"/>
  <c r="X586" i="7"/>
  <c r="AB586" i="7" s="1"/>
  <c r="W586" i="7"/>
  <c r="V586" i="7"/>
  <c r="X585" i="7"/>
  <c r="AB585" i="7" s="1"/>
  <c r="W585" i="7"/>
  <c r="V585" i="7"/>
  <c r="X584" i="7"/>
  <c r="AB584" i="7" s="1"/>
  <c r="W584" i="7"/>
  <c r="V584" i="7"/>
  <c r="X583" i="7"/>
  <c r="AB583" i="7" s="1"/>
  <c r="W583" i="7"/>
  <c r="V583" i="7"/>
  <c r="X582" i="7"/>
  <c r="AB582" i="7" s="1"/>
  <c r="W582" i="7"/>
  <c r="V582" i="7"/>
  <c r="X581" i="7"/>
  <c r="AB581" i="7" s="1"/>
  <c r="W581" i="7"/>
  <c r="V581" i="7"/>
  <c r="X580" i="7"/>
  <c r="AB580" i="7" s="1"/>
  <c r="W580" i="7"/>
  <c r="V580" i="7"/>
  <c r="X579" i="7"/>
  <c r="AB579" i="7" s="1"/>
  <c r="W579" i="7"/>
  <c r="V579" i="7"/>
  <c r="X578" i="7"/>
  <c r="AB578" i="7" s="1"/>
  <c r="W578" i="7"/>
  <c r="V578" i="7"/>
  <c r="X577" i="7"/>
  <c r="AB577" i="7" s="1"/>
  <c r="W577" i="7"/>
  <c r="V577" i="7"/>
  <c r="X576" i="7"/>
  <c r="AB576" i="7" s="1"/>
  <c r="W576" i="7"/>
  <c r="V576" i="7"/>
  <c r="X575" i="7"/>
  <c r="AB575" i="7" s="1"/>
  <c r="W575" i="7"/>
  <c r="V575" i="7"/>
  <c r="X574" i="7"/>
  <c r="AB574" i="7" s="1"/>
  <c r="W574" i="7"/>
  <c r="V574" i="7"/>
  <c r="X573" i="7"/>
  <c r="AB573" i="7" s="1"/>
  <c r="W573" i="7"/>
  <c r="V573" i="7"/>
  <c r="X572" i="7"/>
  <c r="AB572" i="7" s="1"/>
  <c r="W572" i="7"/>
  <c r="V572" i="7"/>
  <c r="X571" i="7"/>
  <c r="AB571" i="7" s="1"/>
  <c r="W571" i="7"/>
  <c r="V571" i="7"/>
  <c r="X570" i="7"/>
  <c r="AB570" i="7" s="1"/>
  <c r="W570" i="7"/>
  <c r="V570" i="7"/>
  <c r="X569" i="7"/>
  <c r="AB569" i="7" s="1"/>
  <c r="W569" i="7"/>
  <c r="V569" i="7"/>
  <c r="X568" i="7"/>
  <c r="AB568" i="7" s="1"/>
  <c r="W568" i="7"/>
  <c r="V568" i="7"/>
  <c r="X567" i="7"/>
  <c r="AB567" i="7" s="1"/>
  <c r="W567" i="7"/>
  <c r="V567" i="7"/>
  <c r="X566" i="7"/>
  <c r="AB566" i="7" s="1"/>
  <c r="W566" i="7"/>
  <c r="V566" i="7"/>
  <c r="X565" i="7"/>
  <c r="AB565" i="7" s="1"/>
  <c r="W565" i="7"/>
  <c r="V565" i="7"/>
  <c r="X564" i="7"/>
  <c r="AB564" i="7" s="1"/>
  <c r="W564" i="7"/>
  <c r="V564" i="7"/>
  <c r="X563" i="7"/>
  <c r="AB563" i="7" s="1"/>
  <c r="W563" i="7"/>
  <c r="V563" i="7"/>
  <c r="X562" i="7"/>
  <c r="AB562" i="7" s="1"/>
  <c r="W562" i="7"/>
  <c r="V562" i="7"/>
  <c r="X561" i="7"/>
  <c r="AB561" i="7" s="1"/>
  <c r="W561" i="7"/>
  <c r="V561" i="7"/>
  <c r="X560" i="7"/>
  <c r="AB560" i="7" s="1"/>
  <c r="W560" i="7"/>
  <c r="V560" i="7"/>
  <c r="X559" i="7"/>
  <c r="AB559" i="7" s="1"/>
  <c r="W559" i="7"/>
  <c r="V559" i="7"/>
  <c r="X558" i="7"/>
  <c r="AB558" i="7" s="1"/>
  <c r="W558" i="7"/>
  <c r="V558" i="7"/>
  <c r="X557" i="7"/>
  <c r="AB557" i="7" s="1"/>
  <c r="W557" i="7"/>
  <c r="V557" i="7"/>
  <c r="X556" i="7"/>
  <c r="AB556" i="7" s="1"/>
  <c r="W556" i="7"/>
  <c r="V556" i="7"/>
  <c r="X555" i="7"/>
  <c r="AB555" i="7" s="1"/>
  <c r="W555" i="7"/>
  <c r="V555" i="7"/>
  <c r="X554" i="7"/>
  <c r="AB554" i="7" s="1"/>
  <c r="W554" i="7"/>
  <c r="V554" i="7"/>
  <c r="X553" i="7"/>
  <c r="AB553" i="7" s="1"/>
  <c r="W553" i="7"/>
  <c r="V553" i="7"/>
  <c r="X552" i="7"/>
  <c r="AB552" i="7" s="1"/>
  <c r="W552" i="7"/>
  <c r="V552" i="7"/>
  <c r="X551" i="7"/>
  <c r="AB551" i="7" s="1"/>
  <c r="W551" i="7"/>
  <c r="V551" i="7"/>
  <c r="X550" i="7"/>
  <c r="AB550" i="7" s="1"/>
  <c r="W550" i="7"/>
  <c r="V550" i="7"/>
  <c r="X549" i="7"/>
  <c r="AB549" i="7" s="1"/>
  <c r="W549" i="7"/>
  <c r="V549" i="7"/>
  <c r="X548" i="7"/>
  <c r="AB548" i="7" s="1"/>
  <c r="W548" i="7"/>
  <c r="V548" i="7"/>
  <c r="X547" i="7"/>
  <c r="AB547" i="7" s="1"/>
  <c r="W547" i="7"/>
  <c r="V547" i="7"/>
  <c r="X546" i="7"/>
  <c r="AB546" i="7" s="1"/>
  <c r="W546" i="7"/>
  <c r="V546" i="7"/>
  <c r="X545" i="7"/>
  <c r="AB545" i="7" s="1"/>
  <c r="W545" i="7"/>
  <c r="V545" i="7"/>
  <c r="X544" i="7"/>
  <c r="AB544" i="7" s="1"/>
  <c r="W544" i="7"/>
  <c r="V544" i="7"/>
  <c r="X543" i="7"/>
  <c r="AB543" i="7" s="1"/>
  <c r="W543" i="7"/>
  <c r="V543" i="7"/>
  <c r="X542" i="7"/>
  <c r="AB542" i="7" s="1"/>
  <c r="W542" i="7"/>
  <c r="V542" i="7"/>
  <c r="X541" i="7"/>
  <c r="AB541" i="7" s="1"/>
  <c r="W541" i="7"/>
  <c r="V541" i="7"/>
  <c r="X540" i="7"/>
  <c r="AB540" i="7" s="1"/>
  <c r="W540" i="7"/>
  <c r="V540" i="7"/>
  <c r="X539" i="7"/>
  <c r="AB539" i="7" s="1"/>
  <c r="W539" i="7"/>
  <c r="V539" i="7"/>
  <c r="X538" i="7"/>
  <c r="AB538" i="7" s="1"/>
  <c r="W538" i="7"/>
  <c r="V538" i="7"/>
  <c r="X537" i="7"/>
  <c r="AB537" i="7" s="1"/>
  <c r="W537" i="7"/>
  <c r="V537" i="7"/>
  <c r="X536" i="7"/>
  <c r="AB536" i="7" s="1"/>
  <c r="W536" i="7"/>
  <c r="V536" i="7"/>
  <c r="X535" i="7"/>
  <c r="AB535" i="7" s="1"/>
  <c r="W535" i="7"/>
  <c r="V535" i="7"/>
  <c r="X534" i="7"/>
  <c r="AB534" i="7" s="1"/>
  <c r="W534" i="7"/>
  <c r="V534" i="7"/>
  <c r="X533" i="7"/>
  <c r="AB533" i="7" s="1"/>
  <c r="W533" i="7"/>
  <c r="V533" i="7"/>
  <c r="X532" i="7"/>
  <c r="AB532" i="7" s="1"/>
  <c r="W532" i="7"/>
  <c r="V532" i="7"/>
  <c r="X531" i="7"/>
  <c r="AB531" i="7" s="1"/>
  <c r="W531" i="7"/>
  <c r="V531" i="7"/>
  <c r="X530" i="7"/>
  <c r="AB530" i="7" s="1"/>
  <c r="W530" i="7"/>
  <c r="V530" i="7"/>
  <c r="X529" i="7"/>
  <c r="AB529" i="7" s="1"/>
  <c r="W529" i="7"/>
  <c r="V529" i="7"/>
  <c r="X528" i="7"/>
  <c r="AB528" i="7" s="1"/>
  <c r="W528" i="7"/>
  <c r="V528" i="7"/>
  <c r="X527" i="7"/>
  <c r="AB527" i="7" s="1"/>
  <c r="W527" i="7"/>
  <c r="V527" i="7"/>
  <c r="X526" i="7"/>
  <c r="AB526" i="7" s="1"/>
  <c r="W526" i="7"/>
  <c r="V526" i="7"/>
  <c r="X525" i="7"/>
  <c r="AB525" i="7" s="1"/>
  <c r="W525" i="7"/>
  <c r="V525" i="7"/>
  <c r="X524" i="7"/>
  <c r="AB524" i="7" s="1"/>
  <c r="W524" i="7"/>
  <c r="V524" i="7"/>
  <c r="X523" i="7"/>
  <c r="AB523" i="7" s="1"/>
  <c r="W523" i="7"/>
  <c r="V523" i="7"/>
  <c r="X522" i="7"/>
  <c r="AB522" i="7" s="1"/>
  <c r="W522" i="7"/>
  <c r="V522" i="7"/>
  <c r="X521" i="7"/>
  <c r="AB521" i="7" s="1"/>
  <c r="W521" i="7"/>
  <c r="V521" i="7"/>
  <c r="X520" i="7"/>
  <c r="AB520" i="7" s="1"/>
  <c r="W520" i="7"/>
  <c r="V520" i="7"/>
  <c r="X519" i="7"/>
  <c r="AB519" i="7" s="1"/>
  <c r="W519" i="7"/>
  <c r="V519" i="7"/>
  <c r="X518" i="7"/>
  <c r="AB518" i="7" s="1"/>
  <c r="W518" i="7"/>
  <c r="V518" i="7"/>
  <c r="X517" i="7"/>
  <c r="AB517" i="7" s="1"/>
  <c r="W517" i="7"/>
  <c r="V517" i="7"/>
  <c r="X516" i="7"/>
  <c r="AB516" i="7" s="1"/>
  <c r="W516" i="7"/>
  <c r="V516" i="7"/>
  <c r="X515" i="7"/>
  <c r="AB515" i="7" s="1"/>
  <c r="W515" i="7"/>
  <c r="V515" i="7"/>
  <c r="X514" i="7"/>
  <c r="AB514" i="7" s="1"/>
  <c r="W514" i="7"/>
  <c r="V514" i="7"/>
  <c r="X513" i="7"/>
  <c r="AB513" i="7" s="1"/>
  <c r="W513" i="7"/>
  <c r="V513" i="7"/>
  <c r="X512" i="7"/>
  <c r="AB512" i="7" s="1"/>
  <c r="W512" i="7"/>
  <c r="V512" i="7"/>
  <c r="X511" i="7"/>
  <c r="AB511" i="7" s="1"/>
  <c r="W511" i="7"/>
  <c r="V511" i="7"/>
  <c r="X510" i="7"/>
  <c r="AB510" i="7" s="1"/>
  <c r="W510" i="7"/>
  <c r="V510" i="7"/>
  <c r="X509" i="7"/>
  <c r="AB509" i="7" s="1"/>
  <c r="W509" i="7"/>
  <c r="V509" i="7"/>
  <c r="X508" i="7"/>
  <c r="AB508" i="7" s="1"/>
  <c r="W508" i="7"/>
  <c r="V508" i="7"/>
  <c r="X507" i="7"/>
  <c r="AB507" i="7" s="1"/>
  <c r="W507" i="7"/>
  <c r="V507" i="7"/>
  <c r="X506" i="7"/>
  <c r="AB506" i="7" s="1"/>
  <c r="W506" i="7"/>
  <c r="V506" i="7"/>
  <c r="X505" i="7"/>
  <c r="AB505" i="7" s="1"/>
  <c r="W505" i="7"/>
  <c r="V505" i="7"/>
  <c r="X504" i="7"/>
  <c r="AB504" i="7" s="1"/>
  <c r="W504" i="7"/>
  <c r="V504" i="7"/>
  <c r="X503" i="7"/>
  <c r="AB503" i="7" s="1"/>
  <c r="W503" i="7"/>
  <c r="V503" i="7"/>
  <c r="X502" i="7"/>
  <c r="AB502" i="7" s="1"/>
  <c r="W502" i="7"/>
  <c r="V502" i="7"/>
  <c r="X501" i="7"/>
  <c r="AB501" i="7" s="1"/>
  <c r="W501" i="7"/>
  <c r="V501" i="7"/>
  <c r="X500" i="7"/>
  <c r="AB500" i="7" s="1"/>
  <c r="W500" i="7"/>
  <c r="V500" i="7"/>
  <c r="X499" i="7"/>
  <c r="AB499" i="7" s="1"/>
  <c r="W499" i="7"/>
  <c r="V499" i="7"/>
  <c r="X498" i="7"/>
  <c r="AB498" i="7" s="1"/>
  <c r="W498" i="7"/>
  <c r="V498" i="7"/>
  <c r="X497" i="7"/>
  <c r="AB497" i="7" s="1"/>
  <c r="W497" i="7"/>
  <c r="V497" i="7"/>
  <c r="X496" i="7"/>
  <c r="AB496" i="7" s="1"/>
  <c r="W496" i="7"/>
  <c r="V496" i="7"/>
  <c r="X495" i="7"/>
  <c r="AB495" i="7" s="1"/>
  <c r="W495" i="7"/>
  <c r="V495" i="7"/>
  <c r="X494" i="7"/>
  <c r="AB494" i="7" s="1"/>
  <c r="W494" i="7"/>
  <c r="V494" i="7"/>
  <c r="X493" i="7"/>
  <c r="AB493" i="7" s="1"/>
  <c r="W493" i="7"/>
  <c r="V493" i="7"/>
  <c r="X492" i="7"/>
  <c r="AB492" i="7" s="1"/>
  <c r="W492" i="7"/>
  <c r="V492" i="7"/>
  <c r="X491" i="7"/>
  <c r="AB491" i="7" s="1"/>
  <c r="W491" i="7"/>
  <c r="V491" i="7"/>
  <c r="X490" i="7"/>
  <c r="AB490" i="7" s="1"/>
  <c r="W490" i="7"/>
  <c r="V490" i="7"/>
  <c r="X489" i="7"/>
  <c r="AB489" i="7" s="1"/>
  <c r="W489" i="7"/>
  <c r="V489" i="7"/>
  <c r="X488" i="7"/>
  <c r="AB488" i="7" s="1"/>
  <c r="W488" i="7"/>
  <c r="V488" i="7"/>
  <c r="X487" i="7"/>
  <c r="AB487" i="7" s="1"/>
  <c r="W487" i="7"/>
  <c r="V487" i="7"/>
  <c r="X486" i="7"/>
  <c r="AB486" i="7" s="1"/>
  <c r="W486" i="7"/>
  <c r="V486" i="7"/>
  <c r="X485" i="7"/>
  <c r="AB485" i="7" s="1"/>
  <c r="W485" i="7"/>
  <c r="V485" i="7"/>
  <c r="X484" i="7"/>
  <c r="AB484" i="7" s="1"/>
  <c r="W484" i="7"/>
  <c r="V484" i="7"/>
  <c r="X483" i="7"/>
  <c r="AB483" i="7" s="1"/>
  <c r="W483" i="7"/>
  <c r="V483" i="7"/>
  <c r="X482" i="7"/>
  <c r="AB482" i="7" s="1"/>
  <c r="W482" i="7"/>
  <c r="V482" i="7"/>
  <c r="X481" i="7"/>
  <c r="AB481" i="7" s="1"/>
  <c r="W481" i="7"/>
  <c r="V481" i="7"/>
  <c r="X480" i="7"/>
  <c r="AB480" i="7" s="1"/>
  <c r="W480" i="7"/>
  <c r="V480" i="7"/>
  <c r="X479" i="7"/>
  <c r="AB479" i="7" s="1"/>
  <c r="W479" i="7"/>
  <c r="V479" i="7"/>
  <c r="X478" i="7"/>
  <c r="AB478" i="7" s="1"/>
  <c r="W478" i="7"/>
  <c r="V478" i="7"/>
  <c r="X477" i="7"/>
  <c r="AB477" i="7" s="1"/>
  <c r="W477" i="7"/>
  <c r="V477" i="7"/>
  <c r="X476" i="7"/>
  <c r="AB476" i="7" s="1"/>
  <c r="W476" i="7"/>
  <c r="V476" i="7"/>
  <c r="X475" i="7"/>
  <c r="AB475" i="7" s="1"/>
  <c r="W475" i="7"/>
  <c r="V475" i="7"/>
  <c r="X474" i="7"/>
  <c r="AB474" i="7" s="1"/>
  <c r="W474" i="7"/>
  <c r="V474" i="7"/>
  <c r="X473" i="7"/>
  <c r="AB473" i="7" s="1"/>
  <c r="W473" i="7"/>
  <c r="V473" i="7"/>
  <c r="X472" i="7"/>
  <c r="AB472" i="7" s="1"/>
  <c r="W472" i="7"/>
  <c r="V472" i="7"/>
  <c r="X471" i="7"/>
  <c r="AB471" i="7" s="1"/>
  <c r="W471" i="7"/>
  <c r="V471" i="7"/>
  <c r="X470" i="7"/>
  <c r="AB470" i="7" s="1"/>
  <c r="W470" i="7"/>
  <c r="V470" i="7"/>
  <c r="X469" i="7"/>
  <c r="AB469" i="7" s="1"/>
  <c r="W469" i="7"/>
  <c r="V469" i="7"/>
  <c r="X468" i="7"/>
  <c r="AB468" i="7" s="1"/>
  <c r="W468" i="7"/>
  <c r="V468" i="7"/>
  <c r="X467" i="7"/>
  <c r="AB467" i="7" s="1"/>
  <c r="W467" i="7"/>
  <c r="V467" i="7"/>
  <c r="X466" i="7"/>
  <c r="AB466" i="7" s="1"/>
  <c r="W466" i="7"/>
  <c r="V466" i="7"/>
  <c r="X465" i="7"/>
  <c r="AB465" i="7" s="1"/>
  <c r="W465" i="7"/>
  <c r="V465" i="7"/>
  <c r="X464" i="7"/>
  <c r="AB464" i="7" s="1"/>
  <c r="W464" i="7"/>
  <c r="V464" i="7"/>
  <c r="X463" i="7"/>
  <c r="AB463" i="7" s="1"/>
  <c r="W463" i="7"/>
  <c r="V463" i="7"/>
  <c r="X462" i="7"/>
  <c r="AB462" i="7" s="1"/>
  <c r="W462" i="7"/>
  <c r="V462" i="7"/>
  <c r="X461" i="7"/>
  <c r="AB461" i="7" s="1"/>
  <c r="W461" i="7"/>
  <c r="V461" i="7"/>
  <c r="X460" i="7"/>
  <c r="AB460" i="7" s="1"/>
  <c r="W460" i="7"/>
  <c r="V460" i="7"/>
  <c r="X459" i="7"/>
  <c r="AB459" i="7" s="1"/>
  <c r="W459" i="7"/>
  <c r="V459" i="7"/>
  <c r="X458" i="7"/>
  <c r="AB458" i="7" s="1"/>
  <c r="W458" i="7"/>
  <c r="V458" i="7"/>
  <c r="X457" i="7"/>
  <c r="AB457" i="7" s="1"/>
  <c r="W457" i="7"/>
  <c r="V457" i="7"/>
  <c r="X456" i="7"/>
  <c r="AB456" i="7" s="1"/>
  <c r="W456" i="7"/>
  <c r="V456" i="7"/>
  <c r="X455" i="7"/>
  <c r="AB455" i="7" s="1"/>
  <c r="W455" i="7"/>
  <c r="V455" i="7"/>
  <c r="X454" i="7"/>
  <c r="AB454" i="7" s="1"/>
  <c r="W454" i="7"/>
  <c r="V454" i="7"/>
  <c r="X453" i="7"/>
  <c r="AB453" i="7" s="1"/>
  <c r="W453" i="7"/>
  <c r="V453" i="7"/>
  <c r="X452" i="7"/>
  <c r="AB452" i="7" s="1"/>
  <c r="W452" i="7"/>
  <c r="V452" i="7"/>
  <c r="X451" i="7"/>
  <c r="AB451" i="7" s="1"/>
  <c r="W451" i="7"/>
  <c r="V451" i="7"/>
  <c r="X450" i="7"/>
  <c r="AB450" i="7" s="1"/>
  <c r="W450" i="7"/>
  <c r="V450" i="7"/>
  <c r="X449" i="7"/>
  <c r="AB449" i="7" s="1"/>
  <c r="W449" i="7"/>
  <c r="V449" i="7"/>
  <c r="X448" i="7"/>
  <c r="AB448" i="7" s="1"/>
  <c r="W448" i="7"/>
  <c r="V448" i="7"/>
  <c r="X447" i="7"/>
  <c r="AB447" i="7" s="1"/>
  <c r="W447" i="7"/>
  <c r="V447" i="7"/>
  <c r="X446" i="7"/>
  <c r="AB446" i="7" s="1"/>
  <c r="W446" i="7"/>
  <c r="V446" i="7"/>
  <c r="X445" i="7"/>
  <c r="AB445" i="7" s="1"/>
  <c r="W445" i="7"/>
  <c r="V445" i="7"/>
  <c r="X444" i="7"/>
  <c r="AB444" i="7" s="1"/>
  <c r="W444" i="7"/>
  <c r="V444" i="7"/>
  <c r="X443" i="7"/>
  <c r="AB443" i="7" s="1"/>
  <c r="W443" i="7"/>
  <c r="V443" i="7"/>
  <c r="X442" i="7"/>
  <c r="AB442" i="7" s="1"/>
  <c r="W442" i="7"/>
  <c r="V442" i="7"/>
  <c r="X441" i="7"/>
  <c r="AB441" i="7" s="1"/>
  <c r="W441" i="7"/>
  <c r="V441" i="7"/>
  <c r="X440" i="7"/>
  <c r="AB440" i="7" s="1"/>
  <c r="W440" i="7"/>
  <c r="V440" i="7"/>
  <c r="X439" i="7"/>
  <c r="AB439" i="7" s="1"/>
  <c r="W439" i="7"/>
  <c r="V439" i="7"/>
  <c r="X438" i="7"/>
  <c r="AB438" i="7" s="1"/>
  <c r="W438" i="7"/>
  <c r="V438" i="7"/>
  <c r="X437" i="7"/>
  <c r="AB437" i="7" s="1"/>
  <c r="W437" i="7"/>
  <c r="V437" i="7"/>
  <c r="X436" i="7"/>
  <c r="AB436" i="7" s="1"/>
  <c r="W436" i="7"/>
  <c r="V436" i="7"/>
  <c r="X435" i="7"/>
  <c r="AB435" i="7" s="1"/>
  <c r="W435" i="7"/>
  <c r="V435" i="7"/>
  <c r="X434" i="7"/>
  <c r="AB434" i="7" s="1"/>
  <c r="W434" i="7"/>
  <c r="V434" i="7"/>
  <c r="X433" i="7"/>
  <c r="AB433" i="7" s="1"/>
  <c r="W433" i="7"/>
  <c r="V433" i="7"/>
  <c r="X432" i="7"/>
  <c r="AB432" i="7" s="1"/>
  <c r="W432" i="7"/>
  <c r="V432" i="7"/>
  <c r="X431" i="7"/>
  <c r="AB431" i="7" s="1"/>
  <c r="W431" i="7"/>
  <c r="V431" i="7"/>
  <c r="X430" i="7"/>
  <c r="AB430" i="7" s="1"/>
  <c r="W430" i="7"/>
  <c r="V430" i="7"/>
  <c r="X429" i="7"/>
  <c r="AB429" i="7" s="1"/>
  <c r="W429" i="7"/>
  <c r="V429" i="7"/>
  <c r="X428" i="7"/>
  <c r="AB428" i="7" s="1"/>
  <c r="W428" i="7"/>
  <c r="V428" i="7"/>
  <c r="X427" i="7"/>
  <c r="AB427" i="7" s="1"/>
  <c r="W427" i="7"/>
  <c r="V427" i="7"/>
  <c r="X426" i="7"/>
  <c r="AB426" i="7" s="1"/>
  <c r="W426" i="7"/>
  <c r="V426" i="7"/>
  <c r="X425" i="7"/>
  <c r="AB425" i="7" s="1"/>
  <c r="W425" i="7"/>
  <c r="V425" i="7"/>
  <c r="X424" i="7"/>
  <c r="AB424" i="7" s="1"/>
  <c r="W424" i="7"/>
  <c r="V424" i="7"/>
  <c r="X423" i="7"/>
  <c r="AB423" i="7" s="1"/>
  <c r="W423" i="7"/>
  <c r="V423" i="7"/>
  <c r="X422" i="7"/>
  <c r="AB422" i="7" s="1"/>
  <c r="W422" i="7"/>
  <c r="V422" i="7"/>
  <c r="X421" i="7"/>
  <c r="AB421" i="7" s="1"/>
  <c r="W421" i="7"/>
  <c r="V421" i="7"/>
  <c r="X420" i="7"/>
  <c r="AB420" i="7" s="1"/>
  <c r="W420" i="7"/>
  <c r="V420" i="7"/>
  <c r="X419" i="7"/>
  <c r="AB419" i="7" s="1"/>
  <c r="W419" i="7"/>
  <c r="V419" i="7"/>
  <c r="X418" i="7"/>
  <c r="AB418" i="7" s="1"/>
  <c r="W418" i="7"/>
  <c r="V418" i="7"/>
  <c r="X417" i="7"/>
  <c r="AB417" i="7" s="1"/>
  <c r="W417" i="7"/>
  <c r="V417" i="7"/>
  <c r="X416" i="7"/>
  <c r="AB416" i="7" s="1"/>
  <c r="W416" i="7"/>
  <c r="V416" i="7"/>
  <c r="X415" i="7"/>
  <c r="AB415" i="7" s="1"/>
  <c r="W415" i="7"/>
  <c r="V415" i="7"/>
  <c r="X414" i="7"/>
  <c r="AB414" i="7" s="1"/>
  <c r="W414" i="7"/>
  <c r="V414" i="7"/>
  <c r="X413" i="7"/>
  <c r="AB413" i="7" s="1"/>
  <c r="W413" i="7"/>
  <c r="V413" i="7"/>
  <c r="X412" i="7"/>
  <c r="AB412" i="7" s="1"/>
  <c r="W412" i="7"/>
  <c r="V412" i="7"/>
  <c r="X411" i="7"/>
  <c r="AB411" i="7" s="1"/>
  <c r="W411" i="7"/>
  <c r="V411" i="7"/>
  <c r="X410" i="7"/>
  <c r="AB410" i="7" s="1"/>
  <c r="W410" i="7"/>
  <c r="V410" i="7"/>
  <c r="X409" i="7"/>
  <c r="AB409" i="7" s="1"/>
  <c r="W409" i="7"/>
  <c r="V409" i="7"/>
  <c r="X408" i="7"/>
  <c r="AB408" i="7" s="1"/>
  <c r="W408" i="7"/>
  <c r="V408" i="7"/>
  <c r="X407" i="7"/>
  <c r="AB407" i="7" s="1"/>
  <c r="W407" i="7"/>
  <c r="V407" i="7"/>
  <c r="X406" i="7"/>
  <c r="AB406" i="7" s="1"/>
  <c r="W406" i="7"/>
  <c r="V406" i="7"/>
  <c r="X405" i="7"/>
  <c r="AB405" i="7" s="1"/>
  <c r="W405" i="7"/>
  <c r="V405" i="7"/>
  <c r="X404" i="7"/>
  <c r="AB404" i="7" s="1"/>
  <c r="W404" i="7"/>
  <c r="V404" i="7"/>
  <c r="X403" i="7"/>
  <c r="AB403" i="7" s="1"/>
  <c r="W403" i="7"/>
  <c r="V403" i="7"/>
  <c r="X402" i="7"/>
  <c r="AB402" i="7" s="1"/>
  <c r="W402" i="7"/>
  <c r="V402" i="7"/>
  <c r="X401" i="7"/>
  <c r="AB401" i="7" s="1"/>
  <c r="W401" i="7"/>
  <c r="V401" i="7"/>
  <c r="X400" i="7"/>
  <c r="AB400" i="7" s="1"/>
  <c r="W400" i="7"/>
  <c r="V400" i="7"/>
  <c r="X399" i="7"/>
  <c r="AB399" i="7" s="1"/>
  <c r="W399" i="7"/>
  <c r="V399" i="7"/>
  <c r="X398" i="7"/>
  <c r="AB398" i="7" s="1"/>
  <c r="W398" i="7"/>
  <c r="V398" i="7"/>
  <c r="X397" i="7"/>
  <c r="AB397" i="7" s="1"/>
  <c r="W397" i="7"/>
  <c r="V397" i="7"/>
  <c r="X396" i="7"/>
  <c r="AB396" i="7" s="1"/>
  <c r="W396" i="7"/>
  <c r="V396" i="7"/>
  <c r="X395" i="7"/>
  <c r="AB395" i="7" s="1"/>
  <c r="W395" i="7"/>
  <c r="V395" i="7"/>
  <c r="X394" i="7"/>
  <c r="AB394" i="7" s="1"/>
  <c r="W394" i="7"/>
  <c r="V394" i="7"/>
  <c r="X393" i="7"/>
  <c r="AB393" i="7" s="1"/>
  <c r="W393" i="7"/>
  <c r="V393" i="7"/>
  <c r="X392" i="7"/>
  <c r="AB392" i="7" s="1"/>
  <c r="W392" i="7"/>
  <c r="V392" i="7"/>
  <c r="X391" i="7"/>
  <c r="AB391" i="7" s="1"/>
  <c r="W391" i="7"/>
  <c r="V391" i="7"/>
  <c r="X390" i="7"/>
  <c r="AB390" i="7" s="1"/>
  <c r="W390" i="7"/>
  <c r="V390" i="7"/>
  <c r="X389" i="7"/>
  <c r="AB389" i="7" s="1"/>
  <c r="W389" i="7"/>
  <c r="V389" i="7"/>
  <c r="X388" i="7"/>
  <c r="AB388" i="7" s="1"/>
  <c r="W388" i="7"/>
  <c r="V388" i="7"/>
  <c r="X387" i="7"/>
  <c r="AB387" i="7" s="1"/>
  <c r="W387" i="7"/>
  <c r="V387" i="7"/>
  <c r="X386" i="7"/>
  <c r="AB386" i="7" s="1"/>
  <c r="W386" i="7"/>
  <c r="V386" i="7"/>
  <c r="X385" i="7"/>
  <c r="AB385" i="7" s="1"/>
  <c r="W385" i="7"/>
  <c r="V385" i="7"/>
  <c r="X384" i="7"/>
  <c r="AB384" i="7" s="1"/>
  <c r="W384" i="7"/>
  <c r="V384" i="7"/>
  <c r="X383" i="7"/>
  <c r="AB383" i="7" s="1"/>
  <c r="W383" i="7"/>
  <c r="V383" i="7"/>
  <c r="X382" i="7"/>
  <c r="AB382" i="7" s="1"/>
  <c r="W382" i="7"/>
  <c r="V382" i="7"/>
  <c r="X381" i="7"/>
  <c r="AB381" i="7" s="1"/>
  <c r="W381" i="7"/>
  <c r="V381" i="7"/>
  <c r="X380" i="7"/>
  <c r="AB380" i="7" s="1"/>
  <c r="W380" i="7"/>
  <c r="V380" i="7"/>
  <c r="X379" i="7"/>
  <c r="AB379" i="7" s="1"/>
  <c r="W379" i="7"/>
  <c r="V379" i="7"/>
  <c r="X378" i="7"/>
  <c r="AB378" i="7" s="1"/>
  <c r="W378" i="7"/>
  <c r="V378" i="7"/>
  <c r="X377" i="7"/>
  <c r="AB377" i="7" s="1"/>
  <c r="W377" i="7"/>
  <c r="V377" i="7"/>
  <c r="X376" i="7"/>
  <c r="AB376" i="7" s="1"/>
  <c r="W376" i="7"/>
  <c r="V376" i="7"/>
  <c r="X375" i="7"/>
  <c r="AB375" i="7" s="1"/>
  <c r="W375" i="7"/>
  <c r="V375" i="7"/>
  <c r="X374" i="7"/>
  <c r="AB374" i="7" s="1"/>
  <c r="W374" i="7"/>
  <c r="V374" i="7"/>
  <c r="X373" i="7"/>
  <c r="AB373" i="7" s="1"/>
  <c r="W373" i="7"/>
  <c r="V373" i="7"/>
  <c r="X372" i="7"/>
  <c r="AB372" i="7" s="1"/>
  <c r="W372" i="7"/>
  <c r="V372" i="7"/>
  <c r="X371" i="7"/>
  <c r="AB371" i="7" s="1"/>
  <c r="W371" i="7"/>
  <c r="V371" i="7"/>
  <c r="X370" i="7"/>
  <c r="AB370" i="7" s="1"/>
  <c r="W370" i="7"/>
  <c r="V370" i="7"/>
  <c r="X369" i="7"/>
  <c r="AB369" i="7" s="1"/>
  <c r="W369" i="7"/>
  <c r="V369" i="7"/>
  <c r="X368" i="7"/>
  <c r="AB368" i="7" s="1"/>
  <c r="W368" i="7"/>
  <c r="V368" i="7"/>
  <c r="X367" i="7"/>
  <c r="AB367" i="7" s="1"/>
  <c r="W367" i="7"/>
  <c r="V367" i="7"/>
  <c r="X366" i="7"/>
  <c r="AB366" i="7" s="1"/>
  <c r="W366" i="7"/>
  <c r="V366" i="7"/>
  <c r="X365" i="7"/>
  <c r="AB365" i="7" s="1"/>
  <c r="W365" i="7"/>
  <c r="V365" i="7"/>
  <c r="X364" i="7"/>
  <c r="AB364" i="7" s="1"/>
  <c r="W364" i="7"/>
  <c r="V364" i="7"/>
  <c r="X363" i="7"/>
  <c r="AB363" i="7" s="1"/>
  <c r="W363" i="7"/>
  <c r="V363" i="7"/>
  <c r="X362" i="7"/>
  <c r="AB362" i="7" s="1"/>
  <c r="W362" i="7"/>
  <c r="V362" i="7"/>
  <c r="X361" i="7"/>
  <c r="AB361" i="7" s="1"/>
  <c r="W361" i="7"/>
  <c r="V361" i="7"/>
  <c r="X360" i="7"/>
  <c r="AB360" i="7" s="1"/>
  <c r="W360" i="7"/>
  <c r="V360" i="7"/>
  <c r="X359" i="7"/>
  <c r="AB359" i="7" s="1"/>
  <c r="W359" i="7"/>
  <c r="V359" i="7"/>
  <c r="X358" i="7"/>
  <c r="AB358" i="7" s="1"/>
  <c r="W358" i="7"/>
  <c r="V358" i="7"/>
  <c r="X357" i="7"/>
  <c r="AB357" i="7" s="1"/>
  <c r="W357" i="7"/>
  <c r="V357" i="7"/>
  <c r="X356" i="7"/>
  <c r="AB356" i="7" s="1"/>
  <c r="W356" i="7"/>
  <c r="V356" i="7"/>
  <c r="X355" i="7"/>
  <c r="AB355" i="7" s="1"/>
  <c r="W355" i="7"/>
  <c r="V355" i="7"/>
  <c r="X354" i="7"/>
  <c r="AB354" i="7" s="1"/>
  <c r="W354" i="7"/>
  <c r="V354" i="7"/>
  <c r="X353" i="7"/>
  <c r="AB353" i="7" s="1"/>
  <c r="W353" i="7"/>
  <c r="V353" i="7"/>
  <c r="X352" i="7"/>
  <c r="AB352" i="7" s="1"/>
  <c r="W352" i="7"/>
  <c r="V352" i="7"/>
  <c r="X351" i="7"/>
  <c r="AB351" i="7" s="1"/>
  <c r="W351" i="7"/>
  <c r="V351" i="7"/>
  <c r="X350" i="7"/>
  <c r="AB350" i="7" s="1"/>
  <c r="W350" i="7"/>
  <c r="V350" i="7"/>
  <c r="X349" i="7"/>
  <c r="AB349" i="7" s="1"/>
  <c r="W349" i="7"/>
  <c r="V349" i="7"/>
  <c r="X348" i="7"/>
  <c r="AB348" i="7" s="1"/>
  <c r="W348" i="7"/>
  <c r="V348" i="7"/>
  <c r="X347" i="7"/>
  <c r="AB347" i="7" s="1"/>
  <c r="W347" i="7"/>
  <c r="V347" i="7"/>
  <c r="X346" i="7"/>
  <c r="AB346" i="7" s="1"/>
  <c r="W346" i="7"/>
  <c r="V346" i="7"/>
  <c r="X345" i="7"/>
  <c r="AB345" i="7" s="1"/>
  <c r="W345" i="7"/>
  <c r="V345" i="7"/>
  <c r="X344" i="7"/>
  <c r="AB344" i="7" s="1"/>
  <c r="W344" i="7"/>
  <c r="V344" i="7"/>
  <c r="X343" i="7"/>
  <c r="AB343" i="7" s="1"/>
  <c r="W343" i="7"/>
  <c r="V343" i="7"/>
  <c r="X342" i="7"/>
  <c r="AB342" i="7" s="1"/>
  <c r="W342" i="7"/>
  <c r="V342" i="7"/>
  <c r="X341" i="7"/>
  <c r="AB341" i="7" s="1"/>
  <c r="W341" i="7"/>
  <c r="V341" i="7"/>
  <c r="X340" i="7"/>
  <c r="AB340" i="7" s="1"/>
  <c r="W340" i="7"/>
  <c r="V340" i="7"/>
  <c r="X339" i="7"/>
  <c r="AB339" i="7" s="1"/>
  <c r="W339" i="7"/>
  <c r="V339" i="7"/>
  <c r="X338" i="7"/>
  <c r="AB338" i="7" s="1"/>
  <c r="W338" i="7"/>
  <c r="V338" i="7"/>
  <c r="X337" i="7"/>
  <c r="AB337" i="7" s="1"/>
  <c r="W337" i="7"/>
  <c r="V337" i="7"/>
  <c r="X336" i="7"/>
  <c r="AB336" i="7" s="1"/>
  <c r="W336" i="7"/>
  <c r="V336" i="7"/>
  <c r="X335" i="7"/>
  <c r="AB335" i="7" s="1"/>
  <c r="W335" i="7"/>
  <c r="V335" i="7"/>
  <c r="X334" i="7"/>
  <c r="AB334" i="7" s="1"/>
  <c r="W334" i="7"/>
  <c r="V334" i="7"/>
  <c r="X333" i="7"/>
  <c r="AB333" i="7" s="1"/>
  <c r="W333" i="7"/>
  <c r="V333" i="7"/>
  <c r="X332" i="7"/>
  <c r="AB332" i="7" s="1"/>
  <c r="W332" i="7"/>
  <c r="V332" i="7"/>
  <c r="X331" i="7"/>
  <c r="AB331" i="7" s="1"/>
  <c r="W331" i="7"/>
  <c r="V331" i="7"/>
  <c r="X330" i="7"/>
  <c r="AB330" i="7" s="1"/>
  <c r="W330" i="7"/>
  <c r="V330" i="7"/>
  <c r="X329" i="7"/>
  <c r="AB329" i="7" s="1"/>
  <c r="W329" i="7"/>
  <c r="V329" i="7"/>
  <c r="X328" i="7"/>
  <c r="AB328" i="7" s="1"/>
  <c r="W328" i="7"/>
  <c r="V328" i="7"/>
  <c r="X327" i="7"/>
  <c r="AB327" i="7" s="1"/>
  <c r="W327" i="7"/>
  <c r="V327" i="7"/>
  <c r="X326" i="7"/>
  <c r="AB326" i="7" s="1"/>
  <c r="W326" i="7"/>
  <c r="V326" i="7"/>
  <c r="X325" i="7"/>
  <c r="AB325" i="7" s="1"/>
  <c r="W325" i="7"/>
  <c r="V325" i="7"/>
  <c r="X324" i="7"/>
  <c r="AB324" i="7" s="1"/>
  <c r="W324" i="7"/>
  <c r="V324" i="7"/>
  <c r="X323" i="7"/>
  <c r="AB323" i="7" s="1"/>
  <c r="W323" i="7"/>
  <c r="V323" i="7"/>
  <c r="X322" i="7"/>
  <c r="AB322" i="7" s="1"/>
  <c r="W322" i="7"/>
  <c r="V322" i="7"/>
  <c r="X321" i="7"/>
  <c r="AB321" i="7" s="1"/>
  <c r="W321" i="7"/>
  <c r="V321" i="7"/>
  <c r="X320" i="7"/>
  <c r="AB320" i="7" s="1"/>
  <c r="W320" i="7"/>
  <c r="V320" i="7"/>
  <c r="X319" i="7"/>
  <c r="AB319" i="7" s="1"/>
  <c r="W319" i="7"/>
  <c r="V319" i="7"/>
  <c r="X318" i="7"/>
  <c r="AB318" i="7" s="1"/>
  <c r="W318" i="7"/>
  <c r="V318" i="7"/>
  <c r="X317" i="7"/>
  <c r="AB317" i="7" s="1"/>
  <c r="W317" i="7"/>
  <c r="V317" i="7"/>
  <c r="X316" i="7"/>
  <c r="AB316" i="7" s="1"/>
  <c r="W316" i="7"/>
  <c r="V316" i="7"/>
  <c r="X315" i="7"/>
  <c r="AB315" i="7" s="1"/>
  <c r="W315" i="7"/>
  <c r="V315" i="7"/>
  <c r="X314" i="7"/>
  <c r="AB314" i="7" s="1"/>
  <c r="W314" i="7"/>
  <c r="V314" i="7"/>
  <c r="X313" i="7"/>
  <c r="AB313" i="7" s="1"/>
  <c r="W313" i="7"/>
  <c r="V313" i="7"/>
  <c r="X312" i="7"/>
  <c r="AB312" i="7" s="1"/>
  <c r="W312" i="7"/>
  <c r="V312" i="7"/>
  <c r="X311" i="7"/>
  <c r="AB311" i="7" s="1"/>
  <c r="W311" i="7"/>
  <c r="V311" i="7"/>
  <c r="X310" i="7"/>
  <c r="AB310" i="7" s="1"/>
  <c r="W310" i="7"/>
  <c r="V310" i="7"/>
  <c r="X309" i="7"/>
  <c r="AB309" i="7" s="1"/>
  <c r="W309" i="7"/>
  <c r="V309" i="7"/>
  <c r="X308" i="7"/>
  <c r="AB308" i="7" s="1"/>
  <c r="W308" i="7"/>
  <c r="V308" i="7"/>
  <c r="X307" i="7"/>
  <c r="AB307" i="7" s="1"/>
  <c r="W307" i="7"/>
  <c r="V307" i="7"/>
  <c r="X306" i="7"/>
  <c r="AB306" i="7" s="1"/>
  <c r="W306" i="7"/>
  <c r="V306" i="7"/>
  <c r="X305" i="7"/>
  <c r="AB305" i="7" s="1"/>
  <c r="W305" i="7"/>
  <c r="V305" i="7"/>
  <c r="X304" i="7"/>
  <c r="AB304" i="7" s="1"/>
  <c r="W304" i="7"/>
  <c r="V304" i="7"/>
  <c r="X303" i="7"/>
  <c r="AB303" i="7" s="1"/>
  <c r="W303" i="7"/>
  <c r="V303" i="7"/>
  <c r="X302" i="7"/>
  <c r="AB302" i="7" s="1"/>
  <c r="W302" i="7"/>
  <c r="V302" i="7"/>
  <c r="X301" i="7"/>
  <c r="AB301" i="7" s="1"/>
  <c r="W301" i="7"/>
  <c r="V301" i="7"/>
  <c r="X300" i="7"/>
  <c r="AB300" i="7" s="1"/>
  <c r="W300" i="7"/>
  <c r="V300" i="7"/>
  <c r="X299" i="7"/>
  <c r="AB299" i="7" s="1"/>
  <c r="W299" i="7"/>
  <c r="V299" i="7"/>
  <c r="X298" i="7"/>
  <c r="AB298" i="7" s="1"/>
  <c r="W298" i="7"/>
  <c r="V298" i="7"/>
  <c r="X297" i="7"/>
  <c r="AB297" i="7" s="1"/>
  <c r="W297" i="7"/>
  <c r="V297" i="7"/>
  <c r="X296" i="7"/>
  <c r="AB296" i="7" s="1"/>
  <c r="W296" i="7"/>
  <c r="V296" i="7"/>
  <c r="X295" i="7"/>
  <c r="AB295" i="7" s="1"/>
  <c r="W295" i="7"/>
  <c r="V295" i="7"/>
  <c r="X294" i="7"/>
  <c r="AB294" i="7" s="1"/>
  <c r="W294" i="7"/>
  <c r="V294" i="7"/>
  <c r="X293" i="7"/>
  <c r="AB293" i="7" s="1"/>
  <c r="W293" i="7"/>
  <c r="V293" i="7"/>
  <c r="X292" i="7"/>
  <c r="AB292" i="7" s="1"/>
  <c r="W292" i="7"/>
  <c r="V292" i="7"/>
  <c r="X291" i="7"/>
  <c r="AB291" i="7" s="1"/>
  <c r="W291" i="7"/>
  <c r="V291" i="7"/>
  <c r="X290" i="7"/>
  <c r="AB290" i="7" s="1"/>
  <c r="W290" i="7"/>
  <c r="V290" i="7"/>
  <c r="X289" i="7"/>
  <c r="AB289" i="7" s="1"/>
  <c r="W289" i="7"/>
  <c r="V289" i="7"/>
  <c r="X288" i="7"/>
  <c r="AB288" i="7" s="1"/>
  <c r="W288" i="7"/>
  <c r="V288" i="7"/>
  <c r="X287" i="7"/>
  <c r="AB287" i="7" s="1"/>
  <c r="W287" i="7"/>
  <c r="V287" i="7"/>
  <c r="X286" i="7"/>
  <c r="AB286" i="7" s="1"/>
  <c r="W286" i="7"/>
  <c r="V286" i="7"/>
  <c r="X285" i="7"/>
  <c r="AB285" i="7" s="1"/>
  <c r="W285" i="7"/>
  <c r="V285" i="7"/>
  <c r="X284" i="7"/>
  <c r="AB284" i="7" s="1"/>
  <c r="W284" i="7"/>
  <c r="V284" i="7"/>
  <c r="X283" i="7"/>
  <c r="AB283" i="7" s="1"/>
  <c r="W283" i="7"/>
  <c r="V283" i="7"/>
  <c r="X282" i="7"/>
  <c r="AB282" i="7" s="1"/>
  <c r="W282" i="7"/>
  <c r="V282" i="7"/>
  <c r="X281" i="7"/>
  <c r="AB281" i="7" s="1"/>
  <c r="W281" i="7"/>
  <c r="V281" i="7"/>
  <c r="X280" i="7"/>
  <c r="AB280" i="7" s="1"/>
  <c r="W280" i="7"/>
  <c r="V280" i="7"/>
  <c r="X279" i="7"/>
  <c r="AB279" i="7" s="1"/>
  <c r="W279" i="7"/>
  <c r="V279" i="7"/>
  <c r="X278" i="7"/>
  <c r="AB278" i="7" s="1"/>
  <c r="W278" i="7"/>
  <c r="V278" i="7"/>
  <c r="X277" i="7"/>
  <c r="AB277" i="7" s="1"/>
  <c r="W277" i="7"/>
  <c r="V277" i="7"/>
  <c r="X276" i="7"/>
  <c r="AB276" i="7" s="1"/>
  <c r="W276" i="7"/>
  <c r="V276" i="7"/>
  <c r="X275" i="7"/>
  <c r="AB275" i="7" s="1"/>
  <c r="W275" i="7"/>
  <c r="V275" i="7"/>
  <c r="X274" i="7"/>
  <c r="AB274" i="7" s="1"/>
  <c r="W274" i="7"/>
  <c r="V274" i="7"/>
  <c r="X273" i="7"/>
  <c r="AB273" i="7" s="1"/>
  <c r="W273" i="7"/>
  <c r="V273" i="7"/>
  <c r="X272" i="7"/>
  <c r="AB272" i="7" s="1"/>
  <c r="W272" i="7"/>
  <c r="V272" i="7"/>
  <c r="X271" i="7"/>
  <c r="AB271" i="7" s="1"/>
  <c r="W271" i="7"/>
  <c r="V271" i="7"/>
  <c r="X270" i="7"/>
  <c r="AB270" i="7" s="1"/>
  <c r="W270" i="7"/>
  <c r="V270" i="7"/>
  <c r="X269" i="7"/>
  <c r="AB269" i="7" s="1"/>
  <c r="W269" i="7"/>
  <c r="V269" i="7"/>
  <c r="X268" i="7"/>
  <c r="AB268" i="7" s="1"/>
  <c r="W268" i="7"/>
  <c r="V268" i="7"/>
  <c r="X267" i="7"/>
  <c r="AB267" i="7" s="1"/>
  <c r="W267" i="7"/>
  <c r="V267" i="7"/>
  <c r="X266" i="7"/>
  <c r="AB266" i="7" s="1"/>
  <c r="W266" i="7"/>
  <c r="V266" i="7"/>
  <c r="X265" i="7"/>
  <c r="AB265" i="7" s="1"/>
  <c r="W265" i="7"/>
  <c r="V265" i="7"/>
  <c r="X264" i="7"/>
  <c r="AB264" i="7" s="1"/>
  <c r="W264" i="7"/>
  <c r="V264" i="7"/>
  <c r="X263" i="7"/>
  <c r="AB263" i="7" s="1"/>
  <c r="W263" i="7"/>
  <c r="V263" i="7"/>
  <c r="X262" i="7"/>
  <c r="AB262" i="7" s="1"/>
  <c r="W262" i="7"/>
  <c r="V262" i="7"/>
  <c r="X261" i="7"/>
  <c r="AB261" i="7" s="1"/>
  <c r="W261" i="7"/>
  <c r="V261" i="7"/>
  <c r="X260" i="7"/>
  <c r="AB260" i="7" s="1"/>
  <c r="W260" i="7"/>
  <c r="V260" i="7"/>
  <c r="X259" i="7"/>
  <c r="AB259" i="7" s="1"/>
  <c r="W259" i="7"/>
  <c r="V259" i="7"/>
  <c r="X258" i="7"/>
  <c r="AB258" i="7" s="1"/>
  <c r="W258" i="7"/>
  <c r="V258" i="7"/>
  <c r="X257" i="7"/>
  <c r="AB257" i="7" s="1"/>
  <c r="W257" i="7"/>
  <c r="V257" i="7"/>
  <c r="X256" i="7"/>
  <c r="AB256" i="7" s="1"/>
  <c r="W256" i="7"/>
  <c r="V256" i="7"/>
  <c r="X255" i="7"/>
  <c r="AB255" i="7" s="1"/>
  <c r="W255" i="7"/>
  <c r="V255" i="7"/>
  <c r="X254" i="7"/>
  <c r="AB254" i="7" s="1"/>
  <c r="W254" i="7"/>
  <c r="V254" i="7"/>
  <c r="X253" i="7"/>
  <c r="AB253" i="7" s="1"/>
  <c r="W253" i="7"/>
  <c r="V253" i="7"/>
  <c r="X252" i="7"/>
  <c r="AB252" i="7" s="1"/>
  <c r="W252" i="7"/>
  <c r="V252" i="7"/>
  <c r="X251" i="7"/>
  <c r="AB251" i="7" s="1"/>
  <c r="W251" i="7"/>
  <c r="V251" i="7"/>
  <c r="X250" i="7"/>
  <c r="AB250" i="7" s="1"/>
  <c r="W250" i="7"/>
  <c r="V250" i="7"/>
  <c r="X249" i="7"/>
  <c r="AB249" i="7" s="1"/>
  <c r="W249" i="7"/>
  <c r="V249" i="7"/>
  <c r="X248" i="7"/>
  <c r="AB248" i="7" s="1"/>
  <c r="W248" i="7"/>
  <c r="V248" i="7"/>
  <c r="X247" i="7"/>
  <c r="AB247" i="7" s="1"/>
  <c r="W247" i="7"/>
  <c r="V247" i="7"/>
  <c r="X246" i="7"/>
  <c r="AB246" i="7" s="1"/>
  <c r="W246" i="7"/>
  <c r="V246" i="7"/>
  <c r="X245" i="7"/>
  <c r="AB245" i="7" s="1"/>
  <c r="W245" i="7"/>
  <c r="V245" i="7"/>
  <c r="X244" i="7"/>
  <c r="AB244" i="7" s="1"/>
  <c r="W244" i="7"/>
  <c r="V244" i="7"/>
  <c r="X243" i="7"/>
  <c r="AB243" i="7" s="1"/>
  <c r="W243" i="7"/>
  <c r="V243" i="7"/>
  <c r="X242" i="7"/>
  <c r="AB242" i="7" s="1"/>
  <c r="W242" i="7"/>
  <c r="V242" i="7"/>
  <c r="X241" i="7"/>
  <c r="AB241" i="7" s="1"/>
  <c r="W241" i="7"/>
  <c r="V241" i="7"/>
  <c r="X240" i="7"/>
  <c r="AB240" i="7" s="1"/>
  <c r="W240" i="7"/>
  <c r="V240" i="7"/>
  <c r="X239" i="7"/>
  <c r="AB239" i="7" s="1"/>
  <c r="W239" i="7"/>
  <c r="V239" i="7"/>
  <c r="X238" i="7"/>
  <c r="AB238" i="7" s="1"/>
  <c r="W238" i="7"/>
  <c r="V238" i="7"/>
  <c r="X237" i="7"/>
  <c r="AB237" i="7" s="1"/>
  <c r="W237" i="7"/>
  <c r="V237" i="7"/>
  <c r="X236" i="7"/>
  <c r="AB236" i="7" s="1"/>
  <c r="W236" i="7"/>
  <c r="V236" i="7"/>
  <c r="X235" i="7"/>
  <c r="AB235" i="7" s="1"/>
  <c r="W235" i="7"/>
  <c r="V235" i="7"/>
  <c r="X234" i="7"/>
  <c r="AB234" i="7" s="1"/>
  <c r="W234" i="7"/>
  <c r="V234" i="7"/>
  <c r="X233" i="7"/>
  <c r="AB233" i="7" s="1"/>
  <c r="W233" i="7"/>
  <c r="V233" i="7"/>
  <c r="X232" i="7"/>
  <c r="AB232" i="7" s="1"/>
  <c r="W232" i="7"/>
  <c r="V232" i="7"/>
  <c r="X231" i="7"/>
  <c r="AB231" i="7" s="1"/>
  <c r="W231" i="7"/>
  <c r="V231" i="7"/>
  <c r="X230" i="7"/>
  <c r="AB230" i="7" s="1"/>
  <c r="W230" i="7"/>
  <c r="V230" i="7"/>
  <c r="X229" i="7"/>
  <c r="AB229" i="7" s="1"/>
  <c r="W229" i="7"/>
  <c r="V229" i="7"/>
  <c r="X228" i="7"/>
  <c r="AB228" i="7" s="1"/>
  <c r="W228" i="7"/>
  <c r="V228" i="7"/>
  <c r="X227" i="7"/>
  <c r="AB227" i="7" s="1"/>
  <c r="W227" i="7"/>
  <c r="V227" i="7"/>
  <c r="X226" i="7"/>
  <c r="AB226" i="7" s="1"/>
  <c r="W226" i="7"/>
  <c r="V226" i="7"/>
  <c r="X225" i="7"/>
  <c r="AB225" i="7" s="1"/>
  <c r="W225" i="7"/>
  <c r="V225" i="7"/>
  <c r="X224" i="7"/>
  <c r="AB224" i="7" s="1"/>
  <c r="W224" i="7"/>
  <c r="V224" i="7"/>
  <c r="X223" i="7"/>
  <c r="AB223" i="7" s="1"/>
  <c r="W223" i="7"/>
  <c r="V223" i="7"/>
  <c r="X222" i="7"/>
  <c r="AB222" i="7" s="1"/>
  <c r="W222" i="7"/>
  <c r="V222" i="7"/>
  <c r="X221" i="7"/>
  <c r="AB221" i="7" s="1"/>
  <c r="W221" i="7"/>
  <c r="V221" i="7"/>
  <c r="X220" i="7"/>
  <c r="AB220" i="7" s="1"/>
  <c r="W220" i="7"/>
  <c r="V220" i="7"/>
  <c r="X219" i="7"/>
  <c r="AB219" i="7" s="1"/>
  <c r="W219" i="7"/>
  <c r="V219" i="7"/>
  <c r="X218" i="7"/>
  <c r="AB218" i="7" s="1"/>
  <c r="W218" i="7"/>
  <c r="V218" i="7"/>
  <c r="X217" i="7"/>
  <c r="AB217" i="7" s="1"/>
  <c r="W217" i="7"/>
  <c r="V217" i="7"/>
  <c r="X216" i="7"/>
  <c r="AB216" i="7" s="1"/>
  <c r="W216" i="7"/>
  <c r="V216" i="7"/>
  <c r="X215" i="7"/>
  <c r="AB215" i="7" s="1"/>
  <c r="W215" i="7"/>
  <c r="V215" i="7"/>
  <c r="X214" i="7"/>
  <c r="AB214" i="7" s="1"/>
  <c r="W214" i="7"/>
  <c r="V214" i="7"/>
  <c r="X213" i="7"/>
  <c r="AB213" i="7" s="1"/>
  <c r="W213" i="7"/>
  <c r="V213" i="7"/>
  <c r="X212" i="7"/>
  <c r="AB212" i="7" s="1"/>
  <c r="W212" i="7"/>
  <c r="V212" i="7"/>
  <c r="X211" i="7"/>
  <c r="AB211" i="7" s="1"/>
  <c r="W211" i="7"/>
  <c r="V211" i="7"/>
  <c r="X210" i="7"/>
  <c r="AB210" i="7" s="1"/>
  <c r="W210" i="7"/>
  <c r="V210" i="7"/>
  <c r="X209" i="7"/>
  <c r="AB209" i="7" s="1"/>
  <c r="W209" i="7"/>
  <c r="V209" i="7"/>
  <c r="X208" i="7"/>
  <c r="AB208" i="7" s="1"/>
  <c r="W208" i="7"/>
  <c r="V208" i="7"/>
  <c r="X207" i="7"/>
  <c r="AB207" i="7" s="1"/>
  <c r="W207" i="7"/>
  <c r="V207" i="7"/>
  <c r="X206" i="7"/>
  <c r="AB206" i="7" s="1"/>
  <c r="W206" i="7"/>
  <c r="V206" i="7"/>
  <c r="X205" i="7"/>
  <c r="AB205" i="7" s="1"/>
  <c r="W205" i="7"/>
  <c r="V205" i="7"/>
  <c r="X204" i="7"/>
  <c r="AB204" i="7" s="1"/>
  <c r="W204" i="7"/>
  <c r="V204" i="7"/>
  <c r="X203" i="7"/>
  <c r="AB203" i="7" s="1"/>
  <c r="W203" i="7"/>
  <c r="V203" i="7"/>
  <c r="X202" i="7"/>
  <c r="AB202" i="7" s="1"/>
  <c r="W202" i="7"/>
  <c r="V202" i="7"/>
  <c r="X201" i="7"/>
  <c r="AB201" i="7" s="1"/>
  <c r="W201" i="7"/>
  <c r="V201" i="7"/>
  <c r="X200" i="7"/>
  <c r="AB200" i="7" s="1"/>
  <c r="W200" i="7"/>
  <c r="V200" i="7"/>
  <c r="X199" i="7"/>
  <c r="AB199" i="7" s="1"/>
  <c r="W199" i="7"/>
  <c r="V199" i="7"/>
  <c r="X198" i="7"/>
  <c r="AB198" i="7" s="1"/>
  <c r="W198" i="7"/>
  <c r="V198" i="7"/>
  <c r="X197" i="7"/>
  <c r="AB197" i="7" s="1"/>
  <c r="W197" i="7"/>
  <c r="V197" i="7"/>
  <c r="X196" i="7"/>
  <c r="AB196" i="7" s="1"/>
  <c r="W196" i="7"/>
  <c r="V196" i="7"/>
  <c r="X195" i="7"/>
  <c r="AB195" i="7" s="1"/>
  <c r="W195" i="7"/>
  <c r="V195" i="7"/>
  <c r="X194" i="7"/>
  <c r="AB194" i="7" s="1"/>
  <c r="W194" i="7"/>
  <c r="V194" i="7"/>
  <c r="X193" i="7"/>
  <c r="AB193" i="7" s="1"/>
  <c r="W193" i="7"/>
  <c r="V193" i="7"/>
  <c r="X192" i="7"/>
  <c r="AB192" i="7" s="1"/>
  <c r="W192" i="7"/>
  <c r="V192" i="7"/>
  <c r="X191" i="7"/>
  <c r="AB191" i="7" s="1"/>
  <c r="W191" i="7"/>
  <c r="V191" i="7"/>
  <c r="X190" i="7"/>
  <c r="AB190" i="7" s="1"/>
  <c r="W190" i="7"/>
  <c r="V190" i="7"/>
  <c r="X189" i="7"/>
  <c r="AB189" i="7" s="1"/>
  <c r="W189" i="7"/>
  <c r="V189" i="7"/>
  <c r="X188" i="7"/>
  <c r="AB188" i="7" s="1"/>
  <c r="W188" i="7"/>
  <c r="V188" i="7"/>
  <c r="X187" i="7"/>
  <c r="AB187" i="7" s="1"/>
  <c r="W187" i="7"/>
  <c r="V187" i="7"/>
  <c r="X186" i="7"/>
  <c r="AB186" i="7" s="1"/>
  <c r="W186" i="7"/>
  <c r="V186" i="7"/>
  <c r="X185" i="7"/>
  <c r="AB185" i="7" s="1"/>
  <c r="W185" i="7"/>
  <c r="V185" i="7"/>
  <c r="X184" i="7"/>
  <c r="AB184" i="7" s="1"/>
  <c r="W184" i="7"/>
  <c r="V184" i="7"/>
  <c r="X183" i="7"/>
  <c r="AB183" i="7" s="1"/>
  <c r="W183" i="7"/>
  <c r="V183" i="7"/>
  <c r="X182" i="7"/>
  <c r="AB182" i="7" s="1"/>
  <c r="W182" i="7"/>
  <c r="V182" i="7"/>
  <c r="X181" i="7"/>
  <c r="AB181" i="7" s="1"/>
  <c r="W181" i="7"/>
  <c r="V181" i="7"/>
  <c r="X180" i="7"/>
  <c r="AB180" i="7" s="1"/>
  <c r="W180" i="7"/>
  <c r="V180" i="7"/>
  <c r="X179" i="7"/>
  <c r="AB179" i="7" s="1"/>
  <c r="W179" i="7"/>
  <c r="V179" i="7"/>
  <c r="X178" i="7"/>
  <c r="AB178" i="7" s="1"/>
  <c r="W178" i="7"/>
  <c r="V178" i="7"/>
  <c r="X177" i="7"/>
  <c r="AB177" i="7" s="1"/>
  <c r="W177" i="7"/>
  <c r="V177" i="7"/>
  <c r="X176" i="7"/>
  <c r="AB176" i="7" s="1"/>
  <c r="W176" i="7"/>
  <c r="V176" i="7"/>
  <c r="X175" i="7"/>
  <c r="AB175" i="7" s="1"/>
  <c r="W175" i="7"/>
  <c r="V175" i="7"/>
  <c r="X174" i="7"/>
  <c r="AB174" i="7" s="1"/>
  <c r="W174" i="7"/>
  <c r="V174" i="7"/>
  <c r="X173" i="7"/>
  <c r="AB173" i="7" s="1"/>
  <c r="W173" i="7"/>
  <c r="V173" i="7"/>
  <c r="X172" i="7"/>
  <c r="AB172" i="7" s="1"/>
  <c r="W172" i="7"/>
  <c r="V172" i="7"/>
  <c r="X171" i="7"/>
  <c r="AB171" i="7" s="1"/>
  <c r="W171" i="7"/>
  <c r="V171" i="7"/>
  <c r="X170" i="7"/>
  <c r="AB170" i="7" s="1"/>
  <c r="W170" i="7"/>
  <c r="V170" i="7"/>
  <c r="X169" i="7"/>
  <c r="AB169" i="7" s="1"/>
  <c r="W169" i="7"/>
  <c r="V169" i="7"/>
  <c r="X168" i="7"/>
  <c r="AB168" i="7" s="1"/>
  <c r="W168" i="7"/>
  <c r="V168" i="7"/>
  <c r="X167" i="7"/>
  <c r="AB167" i="7" s="1"/>
  <c r="W167" i="7"/>
  <c r="V167" i="7"/>
  <c r="X166" i="7"/>
  <c r="AB166" i="7" s="1"/>
  <c r="W166" i="7"/>
  <c r="V166" i="7"/>
  <c r="X165" i="7"/>
  <c r="AB165" i="7" s="1"/>
  <c r="W165" i="7"/>
  <c r="V165" i="7"/>
  <c r="X164" i="7"/>
  <c r="AB164" i="7" s="1"/>
  <c r="W164" i="7"/>
  <c r="V164" i="7"/>
  <c r="X163" i="7"/>
  <c r="AB163" i="7" s="1"/>
  <c r="W163" i="7"/>
  <c r="V163" i="7"/>
  <c r="X162" i="7"/>
  <c r="AB162" i="7" s="1"/>
  <c r="W162" i="7"/>
  <c r="V162" i="7"/>
  <c r="X161" i="7"/>
  <c r="AB161" i="7" s="1"/>
  <c r="W161" i="7"/>
  <c r="V161" i="7"/>
  <c r="X160" i="7"/>
  <c r="AB160" i="7" s="1"/>
  <c r="W160" i="7"/>
  <c r="V160" i="7"/>
  <c r="X159" i="7"/>
  <c r="AB159" i="7" s="1"/>
  <c r="W159" i="7"/>
  <c r="V159" i="7"/>
  <c r="X158" i="7"/>
  <c r="AB158" i="7" s="1"/>
  <c r="W158" i="7"/>
  <c r="V158" i="7"/>
  <c r="X157" i="7"/>
  <c r="AB157" i="7" s="1"/>
  <c r="W157" i="7"/>
  <c r="V157" i="7"/>
  <c r="X156" i="7"/>
  <c r="AB156" i="7" s="1"/>
  <c r="W156" i="7"/>
  <c r="V156" i="7"/>
  <c r="X155" i="7"/>
  <c r="AB155" i="7" s="1"/>
  <c r="W155" i="7"/>
  <c r="V155" i="7"/>
  <c r="X154" i="7"/>
  <c r="AB154" i="7" s="1"/>
  <c r="W154" i="7"/>
  <c r="V154" i="7"/>
  <c r="X153" i="7"/>
  <c r="AB153" i="7" s="1"/>
  <c r="W153" i="7"/>
  <c r="V153" i="7"/>
  <c r="X152" i="7"/>
  <c r="AB152" i="7" s="1"/>
  <c r="W152" i="7"/>
  <c r="V152" i="7"/>
  <c r="X151" i="7"/>
  <c r="AB151" i="7" s="1"/>
  <c r="W151" i="7"/>
  <c r="V151" i="7"/>
  <c r="X150" i="7"/>
  <c r="AB150" i="7" s="1"/>
  <c r="W150" i="7"/>
  <c r="V150" i="7"/>
  <c r="X149" i="7"/>
  <c r="AB149" i="7" s="1"/>
  <c r="W149" i="7"/>
  <c r="V149" i="7"/>
  <c r="X148" i="7"/>
  <c r="AB148" i="7" s="1"/>
  <c r="W148" i="7"/>
  <c r="V148" i="7"/>
  <c r="X147" i="7"/>
  <c r="AB147" i="7" s="1"/>
  <c r="W147" i="7"/>
  <c r="V147" i="7"/>
  <c r="X146" i="7"/>
  <c r="AB146" i="7" s="1"/>
  <c r="W146" i="7"/>
  <c r="V146" i="7"/>
  <c r="X145" i="7"/>
  <c r="AB145" i="7" s="1"/>
  <c r="W145" i="7"/>
  <c r="V145" i="7"/>
  <c r="X144" i="7"/>
  <c r="AB144" i="7" s="1"/>
  <c r="W144" i="7"/>
  <c r="V144" i="7"/>
  <c r="X143" i="7"/>
  <c r="AB143" i="7" s="1"/>
  <c r="W143" i="7"/>
  <c r="V143" i="7"/>
  <c r="X142" i="7"/>
  <c r="AB142" i="7" s="1"/>
  <c r="W142" i="7"/>
  <c r="V142" i="7"/>
  <c r="X141" i="7"/>
  <c r="AB141" i="7" s="1"/>
  <c r="W141" i="7"/>
  <c r="V141" i="7"/>
  <c r="X140" i="7"/>
  <c r="AB140" i="7" s="1"/>
  <c r="W140" i="7"/>
  <c r="V140" i="7"/>
  <c r="X139" i="7"/>
  <c r="AB139" i="7" s="1"/>
  <c r="W139" i="7"/>
  <c r="V139" i="7"/>
  <c r="X138" i="7"/>
  <c r="AB138" i="7" s="1"/>
  <c r="W138" i="7"/>
  <c r="V138" i="7"/>
  <c r="X137" i="7"/>
  <c r="AB137" i="7" s="1"/>
  <c r="W137" i="7"/>
  <c r="V137" i="7"/>
  <c r="X136" i="7"/>
  <c r="AB136" i="7" s="1"/>
  <c r="W136" i="7"/>
  <c r="V136" i="7"/>
  <c r="X135" i="7"/>
  <c r="AB135" i="7" s="1"/>
  <c r="W135" i="7"/>
  <c r="V135" i="7"/>
  <c r="X134" i="7"/>
  <c r="AB134" i="7" s="1"/>
  <c r="W134" i="7"/>
  <c r="V134" i="7"/>
  <c r="X133" i="7"/>
  <c r="AB133" i="7" s="1"/>
  <c r="W133" i="7"/>
  <c r="V133" i="7"/>
  <c r="X132" i="7"/>
  <c r="AB132" i="7" s="1"/>
  <c r="W132" i="7"/>
  <c r="V132" i="7"/>
  <c r="X131" i="7"/>
  <c r="AB131" i="7" s="1"/>
  <c r="W131" i="7"/>
  <c r="V131" i="7"/>
  <c r="X130" i="7"/>
  <c r="AB130" i="7" s="1"/>
  <c r="W130" i="7"/>
  <c r="V130" i="7"/>
  <c r="X129" i="7"/>
  <c r="AB129" i="7" s="1"/>
  <c r="W129" i="7"/>
  <c r="V129" i="7"/>
  <c r="X128" i="7"/>
  <c r="AB128" i="7" s="1"/>
  <c r="W128" i="7"/>
  <c r="V128" i="7"/>
  <c r="X127" i="7"/>
  <c r="AB127" i="7" s="1"/>
  <c r="W127" i="7"/>
  <c r="V127" i="7"/>
  <c r="X126" i="7"/>
  <c r="AB126" i="7" s="1"/>
  <c r="W126" i="7"/>
  <c r="V126" i="7"/>
  <c r="X125" i="7"/>
  <c r="AB125" i="7" s="1"/>
  <c r="W125" i="7"/>
  <c r="V125" i="7"/>
  <c r="X124" i="7"/>
  <c r="AB124" i="7" s="1"/>
  <c r="W124" i="7"/>
  <c r="V124" i="7"/>
  <c r="X123" i="7"/>
  <c r="AB123" i="7" s="1"/>
  <c r="W123" i="7"/>
  <c r="V123" i="7"/>
  <c r="X122" i="7"/>
  <c r="AB122" i="7" s="1"/>
  <c r="W122" i="7"/>
  <c r="V122" i="7"/>
  <c r="X121" i="7"/>
  <c r="AB121" i="7" s="1"/>
  <c r="W121" i="7"/>
  <c r="V121" i="7"/>
  <c r="X120" i="7"/>
  <c r="AB120" i="7" s="1"/>
  <c r="W120" i="7"/>
  <c r="V120" i="7"/>
  <c r="X119" i="7"/>
  <c r="AB119" i="7" s="1"/>
  <c r="W119" i="7"/>
  <c r="V119" i="7"/>
  <c r="X118" i="7"/>
  <c r="AB118" i="7" s="1"/>
  <c r="W118" i="7"/>
  <c r="V118" i="7"/>
  <c r="X117" i="7"/>
  <c r="AB117" i="7" s="1"/>
  <c r="W117" i="7"/>
  <c r="V117" i="7"/>
  <c r="X116" i="7"/>
  <c r="AB116" i="7" s="1"/>
  <c r="W116" i="7"/>
  <c r="V116" i="7"/>
  <c r="X115" i="7"/>
  <c r="AB115" i="7" s="1"/>
  <c r="W115" i="7"/>
  <c r="V115" i="7"/>
  <c r="X114" i="7"/>
  <c r="AB114" i="7" s="1"/>
  <c r="W114" i="7"/>
  <c r="V114" i="7"/>
  <c r="X113" i="7"/>
  <c r="AB113" i="7" s="1"/>
  <c r="W113" i="7"/>
  <c r="V113" i="7"/>
  <c r="X112" i="7"/>
  <c r="AB112" i="7" s="1"/>
  <c r="W112" i="7"/>
  <c r="V112" i="7"/>
  <c r="X111" i="7"/>
  <c r="AB111" i="7" s="1"/>
  <c r="W111" i="7"/>
  <c r="V111" i="7"/>
  <c r="X110" i="7"/>
  <c r="AB110" i="7" s="1"/>
  <c r="W110" i="7"/>
  <c r="V110" i="7"/>
  <c r="X109" i="7"/>
  <c r="AB109" i="7" s="1"/>
  <c r="W109" i="7"/>
  <c r="V109" i="7"/>
  <c r="X108" i="7"/>
  <c r="AB108" i="7" s="1"/>
  <c r="W108" i="7"/>
  <c r="V108" i="7"/>
  <c r="X107" i="7"/>
  <c r="AB107" i="7" s="1"/>
  <c r="W107" i="7"/>
  <c r="V107" i="7"/>
  <c r="X106" i="7"/>
  <c r="AB106" i="7" s="1"/>
  <c r="W106" i="7"/>
  <c r="V106" i="7"/>
  <c r="X105" i="7"/>
  <c r="AB105" i="7" s="1"/>
  <c r="W105" i="7"/>
  <c r="V105" i="7"/>
  <c r="X104" i="7"/>
  <c r="AB104" i="7" s="1"/>
  <c r="W104" i="7"/>
  <c r="V104" i="7"/>
  <c r="X103" i="7"/>
  <c r="AB103" i="7" s="1"/>
  <c r="W103" i="7"/>
  <c r="V103" i="7"/>
  <c r="X102" i="7"/>
  <c r="AB102" i="7" s="1"/>
  <c r="W102" i="7"/>
  <c r="V102" i="7"/>
  <c r="X101" i="7"/>
  <c r="AB101" i="7" s="1"/>
  <c r="W101" i="7"/>
  <c r="V101" i="7"/>
  <c r="X100" i="7"/>
  <c r="AB100" i="7" s="1"/>
  <c r="W100" i="7"/>
  <c r="V100" i="7"/>
  <c r="X99" i="7"/>
  <c r="AB99" i="7" s="1"/>
  <c r="W99" i="7"/>
  <c r="V99" i="7"/>
  <c r="X98" i="7"/>
  <c r="AB98" i="7" s="1"/>
  <c r="W98" i="7"/>
  <c r="V98" i="7"/>
  <c r="X97" i="7"/>
  <c r="AB97" i="7" s="1"/>
  <c r="W97" i="7"/>
  <c r="V97" i="7"/>
  <c r="X96" i="7"/>
  <c r="AB96" i="7" s="1"/>
  <c r="W96" i="7"/>
  <c r="V96" i="7"/>
  <c r="X95" i="7"/>
  <c r="AB95" i="7" s="1"/>
  <c r="W95" i="7"/>
  <c r="V95" i="7"/>
  <c r="X94" i="7"/>
  <c r="AB94" i="7" s="1"/>
  <c r="W94" i="7"/>
  <c r="V94" i="7"/>
  <c r="X93" i="7"/>
  <c r="AB93" i="7" s="1"/>
  <c r="W93" i="7"/>
  <c r="V93" i="7"/>
  <c r="X92" i="7"/>
  <c r="AB92" i="7" s="1"/>
  <c r="W92" i="7"/>
  <c r="V92" i="7"/>
  <c r="X91" i="7"/>
  <c r="AB91" i="7" s="1"/>
  <c r="W91" i="7"/>
  <c r="V91" i="7"/>
  <c r="X90" i="7"/>
  <c r="AB90" i="7" s="1"/>
  <c r="W90" i="7"/>
  <c r="V90" i="7"/>
  <c r="X89" i="7"/>
  <c r="AB89" i="7" s="1"/>
  <c r="W89" i="7"/>
  <c r="V89" i="7"/>
  <c r="X88" i="7"/>
  <c r="AB88" i="7" s="1"/>
  <c r="W88" i="7"/>
  <c r="V88" i="7"/>
  <c r="X87" i="7"/>
  <c r="AB87" i="7" s="1"/>
  <c r="W87" i="7"/>
  <c r="V87" i="7"/>
  <c r="X86" i="7"/>
  <c r="AB86" i="7" s="1"/>
  <c r="W86" i="7"/>
  <c r="V86" i="7"/>
  <c r="X85" i="7"/>
  <c r="AB85" i="7" s="1"/>
  <c r="W85" i="7"/>
  <c r="V85" i="7"/>
  <c r="X84" i="7"/>
  <c r="AB84" i="7" s="1"/>
  <c r="W84" i="7"/>
  <c r="V84" i="7"/>
  <c r="X83" i="7"/>
  <c r="AB83" i="7" s="1"/>
  <c r="W83" i="7"/>
  <c r="V83" i="7"/>
  <c r="X82" i="7"/>
  <c r="AB82" i="7" s="1"/>
  <c r="W82" i="7"/>
  <c r="V82" i="7"/>
  <c r="X81" i="7"/>
  <c r="AB81" i="7" s="1"/>
  <c r="W81" i="7"/>
  <c r="V81" i="7"/>
  <c r="X80" i="7"/>
  <c r="AB80" i="7" s="1"/>
  <c r="W80" i="7"/>
  <c r="V80" i="7"/>
  <c r="X79" i="7"/>
  <c r="AB79" i="7" s="1"/>
  <c r="W79" i="7"/>
  <c r="V79" i="7"/>
  <c r="X78" i="7"/>
  <c r="AB78" i="7" s="1"/>
  <c r="W78" i="7"/>
  <c r="V78" i="7"/>
  <c r="X77" i="7"/>
  <c r="AB77" i="7" s="1"/>
  <c r="W77" i="7"/>
  <c r="V77" i="7"/>
  <c r="X76" i="7"/>
  <c r="AB76" i="7" s="1"/>
  <c r="W76" i="7"/>
  <c r="V76" i="7"/>
  <c r="X75" i="7"/>
  <c r="AB75" i="7" s="1"/>
  <c r="W75" i="7"/>
  <c r="V75" i="7"/>
  <c r="X74" i="7"/>
  <c r="AB74" i="7" s="1"/>
  <c r="W74" i="7"/>
  <c r="V74" i="7"/>
  <c r="X73" i="7"/>
  <c r="AB73" i="7" s="1"/>
  <c r="W73" i="7"/>
  <c r="V73" i="7"/>
  <c r="X72" i="7"/>
  <c r="AB72" i="7" s="1"/>
  <c r="W72" i="7"/>
  <c r="V72" i="7"/>
  <c r="X71" i="7"/>
  <c r="AB71" i="7" s="1"/>
  <c r="W71" i="7"/>
  <c r="V71" i="7"/>
  <c r="X70" i="7"/>
  <c r="AB70" i="7" s="1"/>
  <c r="W70" i="7"/>
  <c r="V70" i="7"/>
  <c r="X69" i="7"/>
  <c r="AB69" i="7" s="1"/>
  <c r="W69" i="7"/>
  <c r="V69" i="7"/>
  <c r="X68" i="7"/>
  <c r="AB68" i="7" s="1"/>
  <c r="W68" i="7"/>
  <c r="V68" i="7"/>
  <c r="X67" i="7"/>
  <c r="AB67" i="7" s="1"/>
  <c r="W67" i="7"/>
  <c r="V67" i="7"/>
  <c r="X66" i="7"/>
  <c r="AB66" i="7" s="1"/>
  <c r="W66" i="7"/>
  <c r="V66" i="7"/>
  <c r="X65" i="7"/>
  <c r="AB65" i="7" s="1"/>
  <c r="W65" i="7"/>
  <c r="V65" i="7"/>
  <c r="X64" i="7"/>
  <c r="AB64" i="7" s="1"/>
  <c r="W64" i="7"/>
  <c r="V64" i="7"/>
  <c r="X63" i="7"/>
  <c r="AB63" i="7" s="1"/>
  <c r="W63" i="7"/>
  <c r="V63" i="7"/>
  <c r="X62" i="7"/>
  <c r="AB62" i="7" s="1"/>
  <c r="W62" i="7"/>
  <c r="V62" i="7"/>
  <c r="X61" i="7"/>
  <c r="AB61" i="7" s="1"/>
  <c r="W61" i="7"/>
  <c r="V61" i="7"/>
  <c r="X60" i="7"/>
  <c r="AB60" i="7" s="1"/>
  <c r="W60" i="7"/>
  <c r="V60" i="7"/>
  <c r="X59" i="7"/>
  <c r="AB59" i="7" s="1"/>
  <c r="W59" i="7"/>
  <c r="V59" i="7"/>
  <c r="X58" i="7"/>
  <c r="AB58" i="7" s="1"/>
  <c r="W58" i="7"/>
  <c r="V58" i="7"/>
  <c r="X57" i="7"/>
  <c r="AB57" i="7" s="1"/>
  <c r="W57" i="7"/>
  <c r="V57" i="7"/>
  <c r="X56" i="7"/>
  <c r="AB56" i="7" s="1"/>
  <c r="W56" i="7"/>
  <c r="V56" i="7"/>
  <c r="X55" i="7"/>
  <c r="AB55" i="7" s="1"/>
  <c r="W55" i="7"/>
  <c r="V55" i="7"/>
  <c r="X54" i="7"/>
  <c r="AB54" i="7" s="1"/>
  <c r="W54" i="7"/>
  <c r="V54" i="7"/>
  <c r="X53" i="7"/>
  <c r="AB53" i="7" s="1"/>
  <c r="W53" i="7"/>
  <c r="V53" i="7"/>
  <c r="X52" i="7"/>
  <c r="AB52" i="7" s="1"/>
  <c r="W52" i="7"/>
  <c r="V52" i="7"/>
  <c r="X51" i="7"/>
  <c r="AB51" i="7" s="1"/>
  <c r="W51" i="7"/>
  <c r="V51" i="7"/>
  <c r="X50" i="7"/>
  <c r="AB50" i="7" s="1"/>
  <c r="W50" i="7"/>
  <c r="V50" i="7"/>
  <c r="X49" i="7"/>
  <c r="AB49" i="7" s="1"/>
  <c r="W49" i="7"/>
  <c r="V49" i="7"/>
  <c r="X48" i="7"/>
  <c r="AB48" i="7" s="1"/>
  <c r="W48" i="7"/>
  <c r="V48" i="7"/>
  <c r="X47" i="7"/>
  <c r="AB47" i="7" s="1"/>
  <c r="W47" i="7"/>
  <c r="V47" i="7"/>
  <c r="X46" i="7"/>
  <c r="AB46" i="7" s="1"/>
  <c r="W46" i="7"/>
  <c r="V46" i="7"/>
  <c r="X45" i="7"/>
  <c r="AB45" i="7" s="1"/>
  <c r="W45" i="7"/>
  <c r="V45" i="7"/>
  <c r="X44" i="7"/>
  <c r="AB44" i="7" s="1"/>
  <c r="W44" i="7"/>
  <c r="V44" i="7"/>
  <c r="X43" i="7"/>
  <c r="AB43" i="7" s="1"/>
  <c r="W43" i="7"/>
  <c r="V43" i="7"/>
  <c r="X42" i="7"/>
  <c r="AB42" i="7" s="1"/>
  <c r="W42" i="7"/>
  <c r="V42" i="7"/>
  <c r="X41" i="7"/>
  <c r="AB41" i="7" s="1"/>
  <c r="W41" i="7"/>
  <c r="V41" i="7"/>
  <c r="X40" i="7"/>
  <c r="AB40" i="7" s="1"/>
  <c r="W40" i="7"/>
  <c r="V40" i="7"/>
  <c r="X39" i="7"/>
  <c r="AB39" i="7" s="1"/>
  <c r="W39" i="7"/>
  <c r="V39" i="7"/>
  <c r="X38" i="7"/>
  <c r="AB38" i="7" s="1"/>
  <c r="W38" i="7"/>
  <c r="V38" i="7"/>
  <c r="X37" i="7"/>
  <c r="AB37" i="7" s="1"/>
  <c r="W37" i="7"/>
  <c r="V37" i="7"/>
  <c r="X36" i="7"/>
  <c r="AB36" i="7" s="1"/>
  <c r="W36" i="7"/>
  <c r="V36" i="7"/>
  <c r="X35" i="7"/>
  <c r="AB35" i="7" s="1"/>
  <c r="W35" i="7"/>
  <c r="V35" i="7"/>
  <c r="X34" i="7"/>
  <c r="AB34" i="7" s="1"/>
  <c r="W34" i="7"/>
  <c r="V34" i="7"/>
  <c r="X33" i="7"/>
  <c r="AB33" i="7" s="1"/>
  <c r="W33" i="7"/>
  <c r="V33" i="7"/>
  <c r="X32" i="7"/>
  <c r="AB32" i="7" s="1"/>
  <c r="W32" i="7"/>
  <c r="V32" i="7"/>
  <c r="X31" i="7"/>
  <c r="AB31" i="7" s="1"/>
  <c r="W31" i="7"/>
  <c r="V31" i="7"/>
  <c r="X30" i="7"/>
  <c r="AB30" i="7" s="1"/>
  <c r="W30" i="7"/>
  <c r="V30" i="7"/>
  <c r="X29" i="7"/>
  <c r="AB29" i="7" s="1"/>
  <c r="W29" i="7"/>
  <c r="V29" i="7"/>
  <c r="X28" i="7"/>
  <c r="AB28" i="7" s="1"/>
  <c r="W28" i="7"/>
  <c r="V28" i="7"/>
  <c r="X27" i="7"/>
  <c r="AB27" i="7" s="1"/>
  <c r="W27" i="7"/>
  <c r="V27" i="7"/>
  <c r="X26" i="7"/>
  <c r="AB26" i="7" s="1"/>
  <c r="W26" i="7"/>
  <c r="V26" i="7"/>
  <c r="X25" i="7"/>
  <c r="AB25" i="7" s="1"/>
  <c r="W25" i="7"/>
  <c r="V25" i="7"/>
  <c r="X24" i="7"/>
  <c r="AB24" i="7" s="1"/>
  <c r="W24" i="7"/>
  <c r="V24" i="7"/>
  <c r="X23" i="7"/>
  <c r="AB23" i="7" s="1"/>
  <c r="W23" i="7"/>
  <c r="V23" i="7"/>
  <c r="X22" i="7"/>
  <c r="AB22" i="7" s="1"/>
  <c r="W22" i="7"/>
  <c r="V22" i="7"/>
  <c r="X21" i="7"/>
  <c r="AB21" i="7" s="1"/>
  <c r="W21" i="7"/>
  <c r="V21" i="7"/>
  <c r="X20" i="7"/>
  <c r="AB20" i="7" s="1"/>
  <c r="W20" i="7"/>
  <c r="V20" i="7"/>
  <c r="X19" i="7"/>
  <c r="AB19" i="7" s="1"/>
  <c r="W19" i="7"/>
  <c r="V19" i="7"/>
  <c r="X18" i="7"/>
  <c r="AB18" i="7" s="1"/>
  <c r="W18" i="7"/>
  <c r="V18" i="7"/>
  <c r="X17" i="7"/>
  <c r="AB17" i="7" s="1"/>
  <c r="W17" i="7"/>
  <c r="V17" i="7"/>
  <c r="X16" i="7"/>
  <c r="AB16" i="7" s="1"/>
  <c r="W16" i="7"/>
  <c r="V16" i="7"/>
  <c r="X15" i="7"/>
  <c r="AB15" i="7" s="1"/>
  <c r="W15" i="7"/>
  <c r="V15" i="7"/>
  <c r="X14" i="7"/>
  <c r="AB14" i="7" s="1"/>
  <c r="W14" i="7"/>
  <c r="V14" i="7"/>
  <c r="X13" i="7"/>
  <c r="AB13" i="7" s="1"/>
  <c r="W13" i="7"/>
  <c r="V13" i="7"/>
  <c r="X12" i="7"/>
  <c r="AB12" i="7" s="1"/>
  <c r="W12" i="7"/>
  <c r="V12" i="7"/>
  <c r="X11" i="7"/>
  <c r="AB11" i="7" s="1"/>
  <c r="W11" i="7"/>
  <c r="V11" i="7"/>
  <c r="X10" i="7"/>
  <c r="AB10" i="7" s="1"/>
  <c r="W10" i="7"/>
  <c r="V10" i="7"/>
  <c r="X9" i="7"/>
  <c r="AB9" i="7" s="1"/>
  <c r="W9" i="7"/>
  <c r="V9" i="7"/>
  <c r="X8" i="7"/>
  <c r="AB8" i="7" s="1"/>
  <c r="W8" i="7"/>
  <c r="V8" i="7"/>
  <c r="X7" i="7"/>
  <c r="AB7" i="7" s="1"/>
  <c r="W7" i="7"/>
  <c r="V7" i="7"/>
  <c r="X6" i="7"/>
  <c r="AB6" i="7" s="1"/>
  <c r="W6" i="7"/>
  <c r="V6" i="7"/>
  <c r="AA976" i="7" l="1"/>
  <c r="AA980" i="7"/>
  <c r="Z992" i="7"/>
  <c r="Z996" i="7"/>
  <c r="Z1004" i="7"/>
  <c r="AA970" i="7"/>
  <c r="AA954" i="7"/>
  <c r="K9" i="12"/>
  <c r="J9" i="12"/>
  <c r="AA544" i="7"/>
  <c r="AA904" i="7"/>
  <c r="AA912" i="7"/>
  <c r="AA916" i="7"/>
  <c r="AA920" i="7"/>
  <c r="AA974" i="7"/>
  <c r="AA978" i="7"/>
  <c r="AA982" i="7"/>
  <c r="Z994" i="7"/>
  <c r="Z998" i="7"/>
  <c r="Z1002" i="7"/>
  <c r="AA909" i="7"/>
  <c r="Z576" i="7"/>
  <c r="Z580" i="7"/>
  <c r="Z584" i="7"/>
  <c r="Z588" i="7"/>
  <c r="Z592" i="7"/>
  <c r="Z596" i="7"/>
  <c r="Z600" i="7"/>
  <c r="Z612" i="7"/>
  <c r="Z616" i="7"/>
  <c r="Z860" i="7"/>
  <c r="AA900" i="7"/>
  <c r="AA803" i="7"/>
  <c r="AA807" i="7"/>
  <c r="Z620" i="7"/>
  <c r="Z656" i="7"/>
  <c r="AA676" i="7"/>
  <c r="AA680" i="7"/>
  <c r="AA692" i="7"/>
  <c r="AA188" i="7"/>
  <c r="AA196" i="7"/>
  <c r="AA212" i="7"/>
  <c r="Z388" i="7"/>
  <c r="Z396" i="7"/>
  <c r="Z404" i="7"/>
  <c r="Z436" i="7"/>
  <c r="AA438" i="7"/>
  <c r="Z446" i="7"/>
  <c r="Z462" i="7"/>
  <c r="AA374" i="7"/>
  <c r="Z874" i="7"/>
  <c r="Z878" i="7"/>
  <c r="Z882" i="7"/>
  <c r="Z886" i="7"/>
  <c r="Z890" i="7"/>
  <c r="Z218" i="7"/>
  <c r="AA379" i="7"/>
  <c r="AA419" i="7"/>
  <c r="Z372" i="7"/>
  <c r="Z186" i="7"/>
  <c r="Z6" i="7"/>
  <c r="Z14" i="7"/>
  <c r="Z22" i="7"/>
  <c r="Z34" i="7"/>
  <c r="Z42" i="7"/>
  <c r="Z50" i="7"/>
  <c r="Z58" i="7"/>
  <c r="Z66" i="7"/>
  <c r="Z74" i="7"/>
  <c r="Z82" i="7"/>
  <c r="Z90" i="7"/>
  <c r="Z98" i="7"/>
  <c r="Z106" i="7"/>
  <c r="Z114" i="7"/>
  <c r="Z122" i="7"/>
  <c r="Z130" i="7"/>
  <c r="Z146" i="7"/>
  <c r="AA168" i="7"/>
  <c r="AA176" i="7"/>
  <c r="AA181" i="7"/>
  <c r="Z190" i="7"/>
  <c r="Z194" i="7"/>
  <c r="Z214" i="7"/>
  <c r="Z250" i="7"/>
  <c r="AA451" i="7"/>
  <c r="AA467" i="7"/>
  <c r="Z487" i="7"/>
  <c r="Z503" i="7"/>
  <c r="Z527" i="7"/>
  <c r="AA547" i="7"/>
  <c r="Z599" i="7"/>
  <c r="Z603" i="7"/>
  <c r="Z607" i="7"/>
  <c r="Z611" i="7"/>
  <c r="Z615" i="7"/>
  <c r="Z619" i="7"/>
  <c r="Z623" i="7"/>
  <c r="AA651" i="7"/>
  <c r="AA655" i="7"/>
  <c r="Z675" i="7"/>
  <c r="Z691" i="7"/>
  <c r="Z783" i="7"/>
  <c r="Z787" i="7"/>
  <c r="AA864" i="7"/>
  <c r="AA9" i="7"/>
  <c r="AA12" i="7"/>
  <c r="AA17" i="7"/>
  <c r="AA20" i="7"/>
  <c r="AA25" i="7"/>
  <c r="AA32" i="7"/>
  <c r="AA37" i="7"/>
  <c r="AA40" i="7"/>
  <c r="AA45" i="7"/>
  <c r="AA48" i="7"/>
  <c r="AA53" i="7"/>
  <c r="AA56" i="7"/>
  <c r="AA64" i="7"/>
  <c r="AA69" i="7"/>
  <c r="AA72" i="7"/>
  <c r="AA77" i="7"/>
  <c r="AA80" i="7"/>
  <c r="AA85" i="7"/>
  <c r="AA88" i="7"/>
  <c r="AA93" i="7"/>
  <c r="AA96" i="7"/>
  <c r="AA101" i="7"/>
  <c r="AA104" i="7"/>
  <c r="AA112" i="7"/>
  <c r="AA117" i="7"/>
  <c r="AA120" i="7"/>
  <c r="AA125" i="7"/>
  <c r="AA132" i="7"/>
  <c r="AA140" i="7"/>
  <c r="AA141" i="7"/>
  <c r="AA164" i="7"/>
  <c r="AA220" i="7"/>
  <c r="AA221" i="7"/>
  <c r="AA232" i="7"/>
  <c r="Z296" i="7"/>
  <c r="Z312" i="7"/>
  <c r="Z324" i="7"/>
  <c r="Z332" i="7"/>
  <c r="Z340" i="7"/>
  <c r="Z348" i="7"/>
  <c r="Z356" i="7"/>
  <c r="Z364" i="7"/>
  <c r="AA626" i="7"/>
  <c r="AA629" i="7"/>
  <c r="AA633" i="7"/>
  <c r="AA634" i="7"/>
  <c r="AA637" i="7"/>
  <c r="AA650" i="7"/>
  <c r="AA658" i="7"/>
  <c r="AA661" i="7"/>
  <c r="AA665" i="7"/>
  <c r="AA678" i="7"/>
  <c r="AA681" i="7"/>
  <c r="AA698" i="7"/>
  <c r="AA762" i="7"/>
  <c r="AA766" i="7"/>
  <c r="AA770" i="7"/>
  <c r="AA774" i="7"/>
  <c r="Z833" i="7"/>
  <c r="AA869" i="7"/>
  <c r="Z987" i="7"/>
  <c r="AA943" i="7"/>
  <c r="AA939" i="7"/>
  <c r="AA927" i="7"/>
  <c r="AA925" i="7"/>
  <c r="Z915" i="7"/>
  <c r="Z899" i="7"/>
  <c r="Z895" i="7"/>
  <c r="Z891" i="7"/>
  <c r="Z887" i="7"/>
  <c r="Z883" i="7"/>
  <c r="Z879" i="7"/>
  <c r="Z875" i="7"/>
  <c r="Z871" i="7"/>
  <c r="Z869" i="7"/>
  <c r="AA818" i="7"/>
  <c r="Z700" i="7"/>
  <c r="Z624" i="7"/>
  <c r="Z608" i="7"/>
  <c r="Z604" i="7"/>
  <c r="Z572" i="7"/>
  <c r="Z478" i="7"/>
  <c r="Z473" i="7"/>
  <c r="AA472" i="7"/>
  <c r="Z457" i="7"/>
  <c r="AA456" i="7"/>
  <c r="AA382" i="7"/>
  <c r="Z280" i="7"/>
  <c r="Z276" i="7"/>
  <c r="AA260" i="7"/>
  <c r="AA257" i="7"/>
  <c r="AA252" i="7"/>
  <c r="Z242" i="7"/>
  <c r="AA228" i="7"/>
  <c r="AA225" i="7"/>
  <c r="AA109" i="7"/>
  <c r="AA61" i="7"/>
  <c r="Z28" i="7"/>
  <c r="AA201" i="7"/>
  <c r="Z292" i="7"/>
  <c r="AA439" i="7"/>
  <c r="AA443" i="7"/>
  <c r="AA496" i="7"/>
  <c r="AA785" i="7"/>
  <c r="AA789" i="7"/>
  <c r="AA826" i="7"/>
  <c r="AA834" i="7"/>
  <c r="AA842" i="7"/>
  <c r="AA944" i="7"/>
  <c r="Z162" i="7"/>
  <c r="AA193" i="7"/>
  <c r="Z268" i="7"/>
  <c r="Z308" i="7"/>
  <c r="AA504" i="7"/>
  <c r="AA781" i="7"/>
  <c r="AA830" i="7"/>
  <c r="AA858" i="7"/>
  <c r="AA161" i="7"/>
  <c r="Z368" i="7"/>
  <c r="AA450" i="7"/>
  <c r="AA466" i="7"/>
  <c r="AA672" i="7"/>
  <c r="Z791" i="7"/>
  <c r="Z795" i="7"/>
  <c r="Z799" i="7"/>
  <c r="Z811" i="7"/>
  <c r="Z815" i="7"/>
  <c r="Z853" i="7"/>
  <c r="Z894" i="7"/>
  <c r="AA934" i="7"/>
  <c r="AA983" i="7"/>
  <c r="AA991" i="7"/>
  <c r="Z272" i="7"/>
  <c r="Z400" i="7"/>
  <c r="Z432" i="7"/>
  <c r="Z134" i="7"/>
  <c r="Z138" i="7"/>
  <c r="Z182" i="7"/>
  <c r="Z202" i="7"/>
  <c r="Z210" i="7"/>
  <c r="AA240" i="7"/>
  <c r="AA245" i="7"/>
  <c r="AA248" i="7"/>
  <c r="Z254" i="7"/>
  <c r="Z258" i="7"/>
  <c r="AA367" i="7"/>
  <c r="AA406" i="7"/>
  <c r="AA411" i="7"/>
  <c r="AA414" i="7"/>
  <c r="AA482" i="7"/>
  <c r="Z489" i="7"/>
  <c r="AA498" i="7"/>
  <c r="AA514" i="7"/>
  <c r="AA526" i="7"/>
  <c r="Z554" i="7"/>
  <c r="AA567" i="7"/>
  <c r="Z570" i="7"/>
  <c r="Z574" i="7"/>
  <c r="Z578" i="7"/>
  <c r="Z650" i="7"/>
  <c r="AA819" i="7"/>
  <c r="AA823" i="7"/>
  <c r="AA839" i="7"/>
  <c r="Z851" i="7"/>
  <c r="Z855" i="7"/>
  <c r="Z859" i="7"/>
  <c r="AA917" i="7"/>
  <c r="Z921" i="7"/>
  <c r="Z925" i="7"/>
  <c r="AA945" i="7"/>
  <c r="AA950" i="7"/>
  <c r="Z989" i="7"/>
  <c r="AA145" i="7"/>
  <c r="AA208" i="7"/>
  <c r="AA423" i="7"/>
  <c r="AA431" i="7"/>
  <c r="Z455" i="7"/>
  <c r="AA464" i="7"/>
  <c r="AA625" i="7"/>
  <c r="AA666" i="7"/>
  <c r="AA669" i="7"/>
  <c r="AA683" i="7"/>
  <c r="AA777" i="7"/>
  <c r="AA793" i="7"/>
  <c r="AA797" i="7"/>
  <c r="AA801" i="7"/>
  <c r="AA805" i="7"/>
  <c r="AA809" i="7"/>
  <c r="Z813" i="7"/>
  <c r="AA838" i="7"/>
  <c r="AA929" i="7"/>
  <c r="Z10" i="7"/>
  <c r="Z26" i="7"/>
  <c r="Z46" i="7"/>
  <c r="Z62" i="7"/>
  <c r="Z78" i="7"/>
  <c r="Z94" i="7"/>
  <c r="Z110" i="7"/>
  <c r="Z126" i="7"/>
  <c r="AA133" i="7"/>
  <c r="AA136" i="7"/>
  <c r="AA148" i="7"/>
  <c r="Z154" i="7"/>
  <c r="AA184" i="7"/>
  <c r="Z226" i="7"/>
  <c r="AA267" i="7"/>
  <c r="AA307" i="7"/>
  <c r="AA398" i="7"/>
  <c r="AA399" i="7"/>
  <c r="Z412" i="7"/>
  <c r="AA512" i="7"/>
  <c r="AA536" i="7"/>
  <c r="AA551" i="7"/>
  <c r="AA555" i="7"/>
  <c r="Z558" i="7"/>
  <c r="AA563" i="7"/>
  <c r="AA644" i="7"/>
  <c r="AA647" i="7"/>
  <c r="AA693" i="7"/>
  <c r="Z803" i="7"/>
  <c r="Z849" i="7"/>
  <c r="AA948" i="7"/>
  <c r="AA986" i="7"/>
  <c r="AA990" i="7"/>
  <c r="AA128" i="7"/>
  <c r="Z420" i="7"/>
  <c r="Z428" i="7"/>
  <c r="Z440" i="7"/>
  <c r="Z444" i="7"/>
  <c r="AA448" i="7"/>
  <c r="Z471" i="7"/>
  <c r="AA480" i="7"/>
  <c r="AA545" i="7"/>
  <c r="AA550" i="7"/>
  <c r="Z582" i="7"/>
  <c r="AA811" i="7"/>
  <c r="AA825" i="7"/>
  <c r="AA841" i="7"/>
  <c r="Z857" i="7"/>
  <c r="Z18" i="7"/>
  <c r="Z38" i="7"/>
  <c r="Z54" i="7"/>
  <c r="Z70" i="7"/>
  <c r="Z86" i="7"/>
  <c r="Z102" i="7"/>
  <c r="Z118" i="7"/>
  <c r="Z142" i="7"/>
  <c r="AA153" i="7"/>
  <c r="AA165" i="7"/>
  <c r="Z166" i="7"/>
  <c r="Z178" i="7"/>
  <c r="AA213" i="7"/>
  <c r="AA216" i="7"/>
  <c r="Z246" i="7"/>
  <c r="AA291" i="7"/>
  <c r="AA366" i="7"/>
  <c r="Z380" i="7"/>
  <c r="AA488" i="7"/>
  <c r="AA539" i="7"/>
  <c r="AA560" i="7"/>
  <c r="AA561" i="7"/>
  <c r="AA641" i="7"/>
  <c r="AA684" i="7"/>
  <c r="AA778" i="7"/>
  <c r="AA782" i="7"/>
  <c r="AA786" i="7"/>
  <c r="AA790" i="7"/>
  <c r="AA794" i="7"/>
  <c r="AA798" i="7"/>
  <c r="AA802" i="7"/>
  <c r="AA806" i="7"/>
  <c r="AA810" i="7"/>
  <c r="AA930" i="7"/>
  <c r="Z991" i="7"/>
  <c r="Z628" i="7"/>
  <c r="AA628" i="7"/>
  <c r="AA13" i="7"/>
  <c r="AA21" i="7"/>
  <c r="AA33" i="7"/>
  <c r="AA41" i="7"/>
  <c r="AA49" i="7"/>
  <c r="AA57" i="7"/>
  <c r="AA65" i="7"/>
  <c r="AA73" i="7"/>
  <c r="AA81" i="7"/>
  <c r="AA89" i="7"/>
  <c r="AA97" i="7"/>
  <c r="AA105" i="7"/>
  <c r="AA113" i="7"/>
  <c r="AA121" i="7"/>
  <c r="AA149" i="7"/>
  <c r="Z150" i="7"/>
  <c r="AA169" i="7"/>
  <c r="AA189" i="7"/>
  <c r="AA233" i="7"/>
  <c r="AA253" i="7"/>
  <c r="AA271" i="7"/>
  <c r="Z300" i="7"/>
  <c r="AA30" i="7"/>
  <c r="AA129" i="7"/>
  <c r="AA137" i="7"/>
  <c r="AA144" i="7"/>
  <c r="AA156" i="7"/>
  <c r="AA157" i="7"/>
  <c r="Z158" i="7"/>
  <c r="AA180" i="7"/>
  <c r="Z222" i="7"/>
  <c r="AA244" i="7"/>
  <c r="Z284" i="7"/>
  <c r="AA299" i="7"/>
  <c r="AA16" i="7"/>
  <c r="AA24" i="7"/>
  <c r="AA36" i="7"/>
  <c r="AA44" i="7"/>
  <c r="AA52" i="7"/>
  <c r="AA60" i="7"/>
  <c r="AA68" i="7"/>
  <c r="AA76" i="7"/>
  <c r="AA84" i="7"/>
  <c r="AA92" i="7"/>
  <c r="AA100" i="7"/>
  <c r="AA108" i="7"/>
  <c r="AA116" i="7"/>
  <c r="AA124" i="7"/>
  <c r="AA152" i="7"/>
  <c r="Z170" i="7"/>
  <c r="AA200" i="7"/>
  <c r="Z234" i="7"/>
  <c r="Z264" i="7"/>
  <c r="AA283" i="7"/>
  <c r="AA323" i="7"/>
  <c r="AA331" i="7"/>
  <c r="AA339" i="7"/>
  <c r="AA347" i="7"/>
  <c r="AA355" i="7"/>
  <c r="AA375" i="7"/>
  <c r="Z376" i="7"/>
  <c r="AA387" i="7"/>
  <c r="AA407" i="7"/>
  <c r="Z408" i="7"/>
  <c r="Z660" i="7"/>
  <c r="AA660" i="7"/>
  <c r="Z837" i="7"/>
  <c r="AA837" i="7"/>
  <c r="AA177" i="7"/>
  <c r="AA197" i="7"/>
  <c r="Z198" i="7"/>
  <c r="AA209" i="7"/>
  <c r="AA229" i="7"/>
  <c r="Z230" i="7"/>
  <c r="AA241" i="7"/>
  <c r="AA261" i="7"/>
  <c r="Z262" i="7"/>
  <c r="AA279" i="7"/>
  <c r="AA287" i="7"/>
  <c r="Z288" i="7"/>
  <c r="AA295" i="7"/>
  <c r="AA303" i="7"/>
  <c r="Z304" i="7"/>
  <c r="AA315" i="7"/>
  <c r="Z316" i="7"/>
  <c r="AA363" i="7"/>
  <c r="AA383" i="7"/>
  <c r="Z384" i="7"/>
  <c r="AA395" i="7"/>
  <c r="AA861" i="7"/>
  <c r="Z861" i="7"/>
  <c r="AA899" i="7"/>
  <c r="AA160" i="7"/>
  <c r="AA172" i="7"/>
  <c r="AA173" i="7"/>
  <c r="Z174" i="7"/>
  <c r="AA185" i="7"/>
  <c r="AA192" i="7"/>
  <c r="AA204" i="7"/>
  <c r="AA205" i="7"/>
  <c r="Z206" i="7"/>
  <c r="AA217" i="7"/>
  <c r="AA224" i="7"/>
  <c r="AA236" i="7"/>
  <c r="AA237" i="7"/>
  <c r="Z238" i="7"/>
  <c r="AA249" i="7"/>
  <c r="AA256" i="7"/>
  <c r="AA275" i="7"/>
  <c r="AA311" i="7"/>
  <c r="AA319" i="7"/>
  <c r="Z320" i="7"/>
  <c r="AA326" i="7"/>
  <c r="AA327" i="7"/>
  <c r="Z328" i="7"/>
  <c r="AA334" i="7"/>
  <c r="AA335" i="7"/>
  <c r="Z336" i="7"/>
  <c r="AA342" i="7"/>
  <c r="AA343" i="7"/>
  <c r="Z344" i="7"/>
  <c r="AA350" i="7"/>
  <c r="AA351" i="7"/>
  <c r="Z352" i="7"/>
  <c r="AA358" i="7"/>
  <c r="AA359" i="7"/>
  <c r="Z360" i="7"/>
  <c r="AA371" i="7"/>
  <c r="AA390" i="7"/>
  <c r="AA391" i="7"/>
  <c r="Z392" i="7"/>
  <c r="AA403" i="7"/>
  <c r="AA926" i="7"/>
  <c r="AA938" i="7"/>
  <c r="AA415" i="7"/>
  <c r="Z416" i="7"/>
  <c r="AA427" i="7"/>
  <c r="Z447" i="7"/>
  <c r="AA458" i="7"/>
  <c r="Z463" i="7"/>
  <c r="AA474" i="7"/>
  <c r="Z479" i="7"/>
  <c r="AA483" i="7"/>
  <c r="AA490" i="7"/>
  <c r="Z494" i="7"/>
  <c r="Z495" i="7"/>
  <c r="AA499" i="7"/>
  <c r="Z505" i="7"/>
  <c r="AA506" i="7"/>
  <c r="Z510" i="7"/>
  <c r="Z511" i="7"/>
  <c r="AA515" i="7"/>
  <c r="AA523" i="7"/>
  <c r="AA529" i="7"/>
  <c r="AA530" i="7"/>
  <c r="AA535" i="7"/>
  <c r="AA540" i="7"/>
  <c r="AA571" i="7"/>
  <c r="AA642" i="7"/>
  <c r="AA670" i="7"/>
  <c r="AA688" i="7"/>
  <c r="Z697" i="7"/>
  <c r="AA748" i="7"/>
  <c r="AA752" i="7"/>
  <c r="AA756" i="7"/>
  <c r="AA760" i="7"/>
  <c r="AA764" i="7"/>
  <c r="AA768" i="7"/>
  <c r="AA772" i="7"/>
  <c r="AA776" i="7"/>
  <c r="AA780" i="7"/>
  <c r="AA784" i="7"/>
  <c r="AA788" i="7"/>
  <c r="AA792" i="7"/>
  <c r="AA796" i="7"/>
  <c r="AA800" i="7"/>
  <c r="AA804" i="7"/>
  <c r="AA808" i="7"/>
  <c r="AA824" i="7"/>
  <c r="AA898" i="7"/>
  <c r="Z937" i="7"/>
  <c r="AA942" i="7"/>
  <c r="AA951" i="7"/>
  <c r="Z971" i="7"/>
  <c r="Z979" i="7"/>
  <c r="Z983" i="7"/>
  <c r="Z984" i="7"/>
  <c r="Z988" i="7"/>
  <c r="Z997" i="7"/>
  <c r="AA422" i="7"/>
  <c r="Z424" i="7"/>
  <c r="AA435" i="7"/>
  <c r="Z449" i="7"/>
  <c r="Z465" i="7"/>
  <c r="Z481" i="7"/>
  <c r="Z497" i="7"/>
  <c r="Z513" i="7"/>
  <c r="Z522" i="7"/>
  <c r="Z586" i="7"/>
  <c r="Z590" i="7"/>
  <c r="Z594" i="7"/>
  <c r="Z598" i="7"/>
  <c r="Z602" i="7"/>
  <c r="Z606" i="7"/>
  <c r="Z610" i="7"/>
  <c r="Z614" i="7"/>
  <c r="Z618" i="7"/>
  <c r="Z622" i="7"/>
  <c r="AA631" i="7"/>
  <c r="Z640" i="7"/>
  <c r="Z644" i="7"/>
  <c r="AA645" i="7"/>
  <c r="AA649" i="7"/>
  <c r="AA663" i="7"/>
  <c r="AA673" i="7"/>
  <c r="AA775" i="7"/>
  <c r="AA779" i="7"/>
  <c r="AA783" i="7"/>
  <c r="AA787" i="7"/>
  <c r="AA791" i="7"/>
  <c r="AA795" i="7"/>
  <c r="AA799" i="7"/>
  <c r="AA812" i="7"/>
  <c r="Z817" i="7"/>
  <c r="AA822" i="7"/>
  <c r="AA831" i="7"/>
  <c r="AA848" i="7"/>
  <c r="AA849" i="7"/>
  <c r="AA851" i="7"/>
  <c r="AA853" i="7"/>
  <c r="AA902" i="7"/>
  <c r="AA906" i="7"/>
  <c r="AA907" i="7"/>
  <c r="AA430" i="7"/>
  <c r="Z525" i="7"/>
  <c r="AA528" i="7"/>
  <c r="AA532" i="7"/>
  <c r="AA543" i="7"/>
  <c r="AA548" i="7"/>
  <c r="AA549" i="7"/>
  <c r="AA559" i="7"/>
  <c r="AA564" i="7"/>
  <c r="AA565" i="7"/>
  <c r="AA566" i="7"/>
  <c r="Z634" i="7"/>
  <c r="AA635" i="7"/>
  <c r="AA639" i="7"/>
  <c r="AA653" i="7"/>
  <c r="AA657" i="7"/>
  <c r="Z666" i="7"/>
  <c r="AA667" i="7"/>
  <c r="AA677" i="7"/>
  <c r="Z683" i="7"/>
  <c r="AA685" i="7"/>
  <c r="Z761" i="7"/>
  <c r="Z765" i="7"/>
  <c r="Z769" i="7"/>
  <c r="Z773" i="7"/>
  <c r="Z777" i="7"/>
  <c r="Z781" i="7"/>
  <c r="Z785" i="7"/>
  <c r="Z789" i="7"/>
  <c r="Z793" i="7"/>
  <c r="Z797" i="7"/>
  <c r="Z801" i="7"/>
  <c r="Z805" i="7"/>
  <c r="Z841" i="7"/>
  <c r="AA843" i="7"/>
  <c r="Z863" i="7"/>
  <c r="Z872" i="7"/>
  <c r="Z876" i="7"/>
  <c r="Z880" i="7"/>
  <c r="Z884" i="7"/>
  <c r="Z888" i="7"/>
  <c r="Z892" i="7"/>
  <c r="Z896" i="7"/>
  <c r="Z905" i="7"/>
  <c r="Z909" i="7"/>
  <c r="AA910" i="7"/>
  <c r="AA914" i="7"/>
  <c r="Z929" i="7"/>
  <c r="AA931" i="7"/>
  <c r="Z953" i="7"/>
  <c r="Z973" i="7"/>
  <c r="AA996" i="7"/>
  <c r="AA999" i="7"/>
  <c r="AA1000" i="7"/>
  <c r="AA8" i="7"/>
  <c r="Z518" i="7"/>
  <c r="AA518" i="7"/>
  <c r="Z636" i="7"/>
  <c r="AA636" i="7"/>
  <c r="Z668" i="7"/>
  <c r="AA668" i="7"/>
  <c r="AA699" i="7"/>
  <c r="Z699" i="7"/>
  <c r="AA707" i="7"/>
  <c r="Z707" i="7"/>
  <c r="AA715" i="7"/>
  <c r="Z715" i="7"/>
  <c r="AA727" i="7"/>
  <c r="Z727" i="7"/>
  <c r="AA739" i="7"/>
  <c r="Z739" i="7"/>
  <c r="AA6" i="7"/>
  <c r="Z8" i="7"/>
  <c r="AA11" i="7"/>
  <c r="AA14" i="7"/>
  <c r="Z16" i="7"/>
  <c r="AA19" i="7"/>
  <c r="AA22" i="7"/>
  <c r="Z24" i="7"/>
  <c r="AA27" i="7"/>
  <c r="Z30" i="7"/>
  <c r="AA31" i="7"/>
  <c r="AA34" i="7"/>
  <c r="Z36" i="7"/>
  <c r="AA39" i="7"/>
  <c r="AA42" i="7"/>
  <c r="Z44" i="7"/>
  <c r="AA47" i="7"/>
  <c r="AA50" i="7"/>
  <c r="Z52" i="7"/>
  <c r="AA55" i="7"/>
  <c r="AA58" i="7"/>
  <c r="Z60" i="7"/>
  <c r="AA63" i="7"/>
  <c r="AA66" i="7"/>
  <c r="Z68" i="7"/>
  <c r="AA71" i="7"/>
  <c r="AA74" i="7"/>
  <c r="Z76" i="7"/>
  <c r="AA79" i="7"/>
  <c r="AA82" i="7"/>
  <c r="Z84" i="7"/>
  <c r="AA87" i="7"/>
  <c r="AA90" i="7"/>
  <c r="Z92" i="7"/>
  <c r="AA95" i="7"/>
  <c r="AA98" i="7"/>
  <c r="Z100" i="7"/>
  <c r="AA103" i="7"/>
  <c r="AA106" i="7"/>
  <c r="Z108" i="7"/>
  <c r="AA111" i="7"/>
  <c r="AA114" i="7"/>
  <c r="Z116" i="7"/>
  <c r="AA119" i="7"/>
  <c r="AA122" i="7"/>
  <c r="Z124" i="7"/>
  <c r="AA127" i="7"/>
  <c r="AA130" i="7"/>
  <c r="Z132" i="7"/>
  <c r="AA135" i="7"/>
  <c r="AA138" i="7"/>
  <c r="Z140" i="7"/>
  <c r="AA143" i="7"/>
  <c r="AA146" i="7"/>
  <c r="Z148" i="7"/>
  <c r="AA151" i="7"/>
  <c r="AA154" i="7"/>
  <c r="Z156" i="7"/>
  <c r="AA159" i="7"/>
  <c r="AA162" i="7"/>
  <c r="Z164" i="7"/>
  <c r="AA167" i="7"/>
  <c r="AA170" i="7"/>
  <c r="Z172" i="7"/>
  <c r="AA175" i="7"/>
  <c r="AA178" i="7"/>
  <c r="Z180" i="7"/>
  <c r="AA183" i="7"/>
  <c r="AA186" i="7"/>
  <c r="Z188" i="7"/>
  <c r="AA191" i="7"/>
  <c r="AA194" i="7"/>
  <c r="Z196" i="7"/>
  <c r="AA199" i="7"/>
  <c r="AA202" i="7"/>
  <c r="Z204" i="7"/>
  <c r="AA207" i="7"/>
  <c r="AA210" i="7"/>
  <c r="Z212" i="7"/>
  <c r="AA215" i="7"/>
  <c r="AA218" i="7"/>
  <c r="Z220" i="7"/>
  <c r="AA223" i="7"/>
  <c r="AA226" i="7"/>
  <c r="Z228" i="7"/>
  <c r="AA231" i="7"/>
  <c r="AA234" i="7"/>
  <c r="Z236" i="7"/>
  <c r="AA239" i="7"/>
  <c r="AA242" i="7"/>
  <c r="Z244" i="7"/>
  <c r="AA247" i="7"/>
  <c r="AA250" i="7"/>
  <c r="Z252" i="7"/>
  <c r="AA255" i="7"/>
  <c r="AA258" i="7"/>
  <c r="Z260" i="7"/>
  <c r="AA263" i="7"/>
  <c r="AA274" i="7"/>
  <c r="Z274" i="7"/>
  <c r="AA290" i="7"/>
  <c r="Z290" i="7"/>
  <c r="AA306" i="7"/>
  <c r="Z306" i="7"/>
  <c r="AA322" i="7"/>
  <c r="Z322" i="7"/>
  <c r="AA330" i="7"/>
  <c r="Z330" i="7"/>
  <c r="AA338" i="7"/>
  <c r="Z338" i="7"/>
  <c r="AA346" i="7"/>
  <c r="Z346" i="7"/>
  <c r="AA354" i="7"/>
  <c r="Z354" i="7"/>
  <c r="AA386" i="7"/>
  <c r="Z386" i="7"/>
  <c r="AA418" i="7"/>
  <c r="Z418" i="7"/>
  <c r="AA278" i="7"/>
  <c r="Z278" i="7"/>
  <c r="AA310" i="7"/>
  <c r="Z310" i="7"/>
  <c r="AA410" i="7"/>
  <c r="Z410" i="7"/>
  <c r="Z486" i="7"/>
  <c r="AA486" i="7"/>
  <c r="AA711" i="7"/>
  <c r="Z711" i="7"/>
  <c r="AA723" i="7"/>
  <c r="Z723" i="7"/>
  <c r="AA735" i="7"/>
  <c r="Z735" i="7"/>
  <c r="AA270" i="7"/>
  <c r="Z270" i="7"/>
  <c r="AA286" i="7"/>
  <c r="Z286" i="7"/>
  <c r="AA302" i="7"/>
  <c r="Z302" i="7"/>
  <c r="AA318" i="7"/>
  <c r="Z318" i="7"/>
  <c r="AA362" i="7"/>
  <c r="Z362" i="7"/>
  <c r="AA394" i="7"/>
  <c r="Z394" i="7"/>
  <c r="AA426" i="7"/>
  <c r="Z426" i="7"/>
  <c r="AA459" i="7"/>
  <c r="Z459" i="7"/>
  <c r="AA475" i="7"/>
  <c r="Z475" i="7"/>
  <c r="AA491" i="7"/>
  <c r="Z491" i="7"/>
  <c r="AA507" i="7"/>
  <c r="Z507" i="7"/>
  <c r="AA28" i="7"/>
  <c r="AA294" i="7"/>
  <c r="Z294" i="7"/>
  <c r="AA378" i="7"/>
  <c r="Z378" i="7"/>
  <c r="AA442" i="7"/>
  <c r="Z442" i="7"/>
  <c r="Z454" i="7"/>
  <c r="AA454" i="7"/>
  <c r="Z470" i="7"/>
  <c r="AA470" i="7"/>
  <c r="Z502" i="7"/>
  <c r="AA502" i="7"/>
  <c r="AA703" i="7"/>
  <c r="Z703" i="7"/>
  <c r="AA719" i="7"/>
  <c r="Z719" i="7"/>
  <c r="AA731" i="7"/>
  <c r="Z731" i="7"/>
  <c r="Z941" i="7"/>
  <c r="AA941" i="7"/>
  <c r="AA7" i="7"/>
  <c r="AA10" i="7"/>
  <c r="Z12" i="7"/>
  <c r="AA15" i="7"/>
  <c r="AA18" i="7"/>
  <c r="Z20" i="7"/>
  <c r="AA23" i="7"/>
  <c r="AA26" i="7"/>
  <c r="AA29" i="7"/>
  <c r="Z32" i="7"/>
  <c r="AA35" i="7"/>
  <c r="AA38" i="7"/>
  <c r="Z40" i="7"/>
  <c r="AA43" i="7"/>
  <c r="AA46" i="7"/>
  <c r="Z48" i="7"/>
  <c r="AA51" i="7"/>
  <c r="AA54" i="7"/>
  <c r="Z56" i="7"/>
  <c r="AA59" i="7"/>
  <c r="AA62" i="7"/>
  <c r="Z64" i="7"/>
  <c r="AA67" i="7"/>
  <c r="AA70" i="7"/>
  <c r="Z72" i="7"/>
  <c r="AA75" i="7"/>
  <c r="AA78" i="7"/>
  <c r="Z80" i="7"/>
  <c r="AA83" i="7"/>
  <c r="AA86" i="7"/>
  <c r="Z88" i="7"/>
  <c r="AA91" i="7"/>
  <c r="AA94" i="7"/>
  <c r="Z96" i="7"/>
  <c r="AA99" i="7"/>
  <c r="AA102" i="7"/>
  <c r="Z104" i="7"/>
  <c r="AA107" i="7"/>
  <c r="AA110" i="7"/>
  <c r="Z112" i="7"/>
  <c r="AA115" i="7"/>
  <c r="AA118" i="7"/>
  <c r="Z120" i="7"/>
  <c r="AA123" i="7"/>
  <c r="AA126" i="7"/>
  <c r="Z128" i="7"/>
  <c r="AA131" i="7"/>
  <c r="AA134" i="7"/>
  <c r="Z136" i="7"/>
  <c r="AA139" i="7"/>
  <c r="AA142" i="7"/>
  <c r="Z144" i="7"/>
  <c r="AA147" i="7"/>
  <c r="AA150" i="7"/>
  <c r="Z152" i="7"/>
  <c r="AA155" i="7"/>
  <c r="AA158" i="7"/>
  <c r="Z160" i="7"/>
  <c r="AA163" i="7"/>
  <c r="AA166" i="7"/>
  <c r="Z168" i="7"/>
  <c r="AA171" i="7"/>
  <c r="AA174" i="7"/>
  <c r="Z176" i="7"/>
  <c r="AA179" i="7"/>
  <c r="AA182" i="7"/>
  <c r="Z184" i="7"/>
  <c r="AA187" i="7"/>
  <c r="AA190" i="7"/>
  <c r="Z192" i="7"/>
  <c r="AA195" i="7"/>
  <c r="AA198" i="7"/>
  <c r="Z200" i="7"/>
  <c r="AA203" i="7"/>
  <c r="AA206" i="7"/>
  <c r="Z208" i="7"/>
  <c r="AA211" i="7"/>
  <c r="AA214" i="7"/>
  <c r="Z216" i="7"/>
  <c r="AA219" i="7"/>
  <c r="AA222" i="7"/>
  <c r="Z224" i="7"/>
  <c r="AA227" i="7"/>
  <c r="AA230" i="7"/>
  <c r="Z232" i="7"/>
  <c r="AA235" i="7"/>
  <c r="AA238" i="7"/>
  <c r="Z240" i="7"/>
  <c r="AA243" i="7"/>
  <c r="AA246" i="7"/>
  <c r="Z248" i="7"/>
  <c r="AA251" i="7"/>
  <c r="AA254" i="7"/>
  <c r="Z256" i="7"/>
  <c r="AA259" i="7"/>
  <c r="AA262" i="7"/>
  <c r="AA266" i="7"/>
  <c r="Z266" i="7"/>
  <c r="AA282" i="7"/>
  <c r="Z282" i="7"/>
  <c r="AA298" i="7"/>
  <c r="Z298" i="7"/>
  <c r="AA314" i="7"/>
  <c r="Z314" i="7"/>
  <c r="AA370" i="7"/>
  <c r="Z370" i="7"/>
  <c r="AA402" i="7"/>
  <c r="Z402" i="7"/>
  <c r="AA434" i="7"/>
  <c r="Z434" i="7"/>
  <c r="AA519" i="7"/>
  <c r="Z519" i="7"/>
  <c r="AA265" i="7"/>
  <c r="AA268" i="7"/>
  <c r="AA273" i="7"/>
  <c r="AA276" i="7"/>
  <c r="AA281" i="7"/>
  <c r="AA284" i="7"/>
  <c r="AA289" i="7"/>
  <c r="AA292" i="7"/>
  <c r="AA297" i="7"/>
  <c r="AA300" i="7"/>
  <c r="AA305" i="7"/>
  <c r="AA308" i="7"/>
  <c r="AA313" i="7"/>
  <c r="AA316" i="7"/>
  <c r="AA321" i="7"/>
  <c r="AA324" i="7"/>
  <c r="Z326" i="7"/>
  <c r="AA329" i="7"/>
  <c r="AA332" i="7"/>
  <c r="Z334" i="7"/>
  <c r="AA337" i="7"/>
  <c r="AA340" i="7"/>
  <c r="Z342" i="7"/>
  <c r="AA345" i="7"/>
  <c r="AA348" i="7"/>
  <c r="Z350" i="7"/>
  <c r="AA353" i="7"/>
  <c r="AA356" i="7"/>
  <c r="Z358" i="7"/>
  <c r="AA361" i="7"/>
  <c r="AA364" i="7"/>
  <c r="Z366" i="7"/>
  <c r="AA369" i="7"/>
  <c r="AA372" i="7"/>
  <c r="Z374" i="7"/>
  <c r="AA377" i="7"/>
  <c r="AA380" i="7"/>
  <c r="Z382" i="7"/>
  <c r="AA385" i="7"/>
  <c r="AA388" i="7"/>
  <c r="Z390" i="7"/>
  <c r="AA393" i="7"/>
  <c r="AA396" i="7"/>
  <c r="Z398" i="7"/>
  <c r="AA401" i="7"/>
  <c r="AA404" i="7"/>
  <c r="Z406" i="7"/>
  <c r="AA409" i="7"/>
  <c r="AA412" i="7"/>
  <c r="Z414" i="7"/>
  <c r="AA417" i="7"/>
  <c r="AA420" i="7"/>
  <c r="Z422" i="7"/>
  <c r="AA425" i="7"/>
  <c r="AA428" i="7"/>
  <c r="Z430" i="7"/>
  <c r="AA433" i="7"/>
  <c r="AA436" i="7"/>
  <c r="Z438" i="7"/>
  <c r="AA441" i="7"/>
  <c r="AA444" i="7"/>
  <c r="AA446" i="7"/>
  <c r="Z450" i="7"/>
  <c r="Z451" i="7"/>
  <c r="Z453" i="7"/>
  <c r="AA455" i="7"/>
  <c r="AA460" i="7"/>
  <c r="AA462" i="7"/>
  <c r="Z466" i="7"/>
  <c r="Z467" i="7"/>
  <c r="Z469" i="7"/>
  <c r="AA471" i="7"/>
  <c r="AA476" i="7"/>
  <c r="AA478" i="7"/>
  <c r="Z482" i="7"/>
  <c r="Z483" i="7"/>
  <c r="Z485" i="7"/>
  <c r="AA487" i="7"/>
  <c r="AA492" i="7"/>
  <c r="AA494" i="7"/>
  <c r="Z498" i="7"/>
  <c r="Z499" i="7"/>
  <c r="Z501" i="7"/>
  <c r="AA503" i="7"/>
  <c r="AA508" i="7"/>
  <c r="AA510" i="7"/>
  <c r="Z514" i="7"/>
  <c r="Z515" i="7"/>
  <c r="Z517" i="7"/>
  <c r="AA520" i="7"/>
  <c r="AA522" i="7"/>
  <c r="Z523" i="7"/>
  <c r="Z526" i="7"/>
  <c r="AA527" i="7"/>
  <c r="Z533" i="7"/>
  <c r="Z534" i="7"/>
  <c r="Z541" i="7"/>
  <c r="Z542" i="7"/>
  <c r="Z550" i="7"/>
  <c r="AA552" i="7"/>
  <c r="AA553" i="7"/>
  <c r="AA558" i="7"/>
  <c r="Z562" i="7"/>
  <c r="AA570" i="7"/>
  <c r="Z573" i="7"/>
  <c r="AA745" i="7"/>
  <c r="Z745" i="7"/>
  <c r="Z652" i="7"/>
  <c r="AA652" i="7"/>
  <c r="AA701" i="7"/>
  <c r="Z701" i="7"/>
  <c r="AA705" i="7"/>
  <c r="Z705" i="7"/>
  <c r="AA709" i="7"/>
  <c r="Z709" i="7"/>
  <c r="AA713" i="7"/>
  <c r="Z713" i="7"/>
  <c r="AA717" i="7"/>
  <c r="Z717" i="7"/>
  <c r="AA721" i="7"/>
  <c r="Z721" i="7"/>
  <c r="AA725" i="7"/>
  <c r="Z725" i="7"/>
  <c r="AA729" i="7"/>
  <c r="Z729" i="7"/>
  <c r="AA733" i="7"/>
  <c r="Z733" i="7"/>
  <c r="AA737" i="7"/>
  <c r="Z737" i="7"/>
  <c r="AA743" i="7"/>
  <c r="Z743" i="7"/>
  <c r="AA264" i="7"/>
  <c r="AA269" i="7"/>
  <c r="AA272" i="7"/>
  <c r="AA277" i="7"/>
  <c r="AA280" i="7"/>
  <c r="AA285" i="7"/>
  <c r="AA288" i="7"/>
  <c r="AA293" i="7"/>
  <c r="AA296" i="7"/>
  <c r="AA301" i="7"/>
  <c r="AA304" i="7"/>
  <c r="AA309" i="7"/>
  <c r="AA312" i="7"/>
  <c r="AA317" i="7"/>
  <c r="AA320" i="7"/>
  <c r="AA325" i="7"/>
  <c r="AA328" i="7"/>
  <c r="AA333" i="7"/>
  <c r="AA336" i="7"/>
  <c r="AA341" i="7"/>
  <c r="AA344" i="7"/>
  <c r="AA349" i="7"/>
  <c r="AA352" i="7"/>
  <c r="AA357" i="7"/>
  <c r="AA360" i="7"/>
  <c r="AA365" i="7"/>
  <c r="AA368" i="7"/>
  <c r="AA373" i="7"/>
  <c r="AA376" i="7"/>
  <c r="AA381" i="7"/>
  <c r="AA384" i="7"/>
  <c r="AA389" i="7"/>
  <c r="AA392" i="7"/>
  <c r="AA397" i="7"/>
  <c r="AA400" i="7"/>
  <c r="AA405" i="7"/>
  <c r="AA408" i="7"/>
  <c r="AA413" i="7"/>
  <c r="AA416" i="7"/>
  <c r="AA421" i="7"/>
  <c r="AA424" i="7"/>
  <c r="AA429" i="7"/>
  <c r="AA432" i="7"/>
  <c r="AA437" i="7"/>
  <c r="AA440" i="7"/>
  <c r="AA445" i="7"/>
  <c r="AA447" i="7"/>
  <c r="AA452" i="7"/>
  <c r="Z458" i="7"/>
  <c r="Z461" i="7"/>
  <c r="AA463" i="7"/>
  <c r="AA468" i="7"/>
  <c r="Z474" i="7"/>
  <c r="Z477" i="7"/>
  <c r="AA479" i="7"/>
  <c r="AA484" i="7"/>
  <c r="Z490" i="7"/>
  <c r="Z493" i="7"/>
  <c r="AA495" i="7"/>
  <c r="AA500" i="7"/>
  <c r="Z506" i="7"/>
  <c r="Z509" i="7"/>
  <c r="AA511" i="7"/>
  <c r="AA516" i="7"/>
  <c r="Z521" i="7"/>
  <c r="AA524" i="7"/>
  <c r="Z530" i="7"/>
  <c r="Z531" i="7"/>
  <c r="Z537" i="7"/>
  <c r="Z538" i="7"/>
  <c r="Z546" i="7"/>
  <c r="AA556" i="7"/>
  <c r="AA557" i="7"/>
  <c r="Z566" i="7"/>
  <c r="AA568" i="7"/>
  <c r="AA569" i="7"/>
  <c r="Z575" i="7"/>
  <c r="Z579" i="7"/>
  <c r="Z583" i="7"/>
  <c r="Z587" i="7"/>
  <c r="Z591" i="7"/>
  <c r="Z595" i="7"/>
  <c r="AA741" i="7"/>
  <c r="Z741" i="7"/>
  <c r="AA686" i="7"/>
  <c r="AA694" i="7"/>
  <c r="AA700" i="7"/>
  <c r="AA702" i="7"/>
  <c r="AA704" i="7"/>
  <c r="AA706" i="7"/>
  <c r="AA708" i="7"/>
  <c r="AA710" i="7"/>
  <c r="AA712" i="7"/>
  <c r="AA714" i="7"/>
  <c r="AA716" i="7"/>
  <c r="AA718" i="7"/>
  <c r="AA720" i="7"/>
  <c r="AA722" i="7"/>
  <c r="AA724" i="7"/>
  <c r="AA726" i="7"/>
  <c r="AA728" i="7"/>
  <c r="AA730" i="7"/>
  <c r="AA732" i="7"/>
  <c r="AA734" i="7"/>
  <c r="AA736" i="7"/>
  <c r="AA738" i="7"/>
  <c r="AA740" i="7"/>
  <c r="AA742" i="7"/>
  <c r="AA744" i="7"/>
  <c r="AA746" i="7"/>
  <c r="AA749" i="7"/>
  <c r="Z749" i="7"/>
  <c r="AA750" i="7"/>
  <c r="AA753" i="7"/>
  <c r="Z753" i="7"/>
  <c r="AA754" i="7"/>
  <c r="AA757" i="7"/>
  <c r="Z757" i="7"/>
  <c r="AA758" i="7"/>
  <c r="Z821" i="7"/>
  <c r="AA821" i="7"/>
  <c r="AA847" i="7"/>
  <c r="Z847" i="7"/>
  <c r="Z901" i="7"/>
  <c r="AA901" i="7"/>
  <c r="AA922" i="7"/>
  <c r="Z1003" i="7"/>
  <c r="AA1003" i="7"/>
  <c r="AA674" i="7"/>
  <c r="AA682" i="7"/>
  <c r="Z577" i="7"/>
  <c r="Z581" i="7"/>
  <c r="Z585" i="7"/>
  <c r="Z589" i="7"/>
  <c r="Z593" i="7"/>
  <c r="Z597" i="7"/>
  <c r="Z601" i="7"/>
  <c r="Z605" i="7"/>
  <c r="Z609" i="7"/>
  <c r="Z613" i="7"/>
  <c r="Z617" i="7"/>
  <c r="Z621" i="7"/>
  <c r="Z625" i="7"/>
  <c r="Z626" i="7"/>
  <c r="AA627" i="7"/>
  <c r="Z632" i="7"/>
  <c r="Z642" i="7"/>
  <c r="AA643" i="7"/>
  <c r="Z648" i="7"/>
  <c r="Z658" i="7"/>
  <c r="AA659" i="7"/>
  <c r="Z664" i="7"/>
  <c r="Z679" i="7"/>
  <c r="AA689" i="7"/>
  <c r="AA690" i="7"/>
  <c r="AA697" i="7"/>
  <c r="AA747" i="7"/>
  <c r="Z747" i="7"/>
  <c r="AA751" i="7"/>
  <c r="Z751" i="7"/>
  <c r="AA755" i="7"/>
  <c r="Z755" i="7"/>
  <c r="AA759" i="7"/>
  <c r="Z759" i="7"/>
  <c r="Z763" i="7"/>
  <c r="Z767" i="7"/>
  <c r="Z771" i="7"/>
  <c r="Z775" i="7"/>
  <c r="Z779" i="7"/>
  <c r="AA845" i="7"/>
  <c r="Z845" i="7"/>
  <c r="AA865" i="7"/>
  <c r="Z865" i="7"/>
  <c r="AA946" i="7"/>
  <c r="Z975" i="7"/>
  <c r="AA975" i="7"/>
  <c r="Z807" i="7"/>
  <c r="Z809" i="7"/>
  <c r="AA820" i="7"/>
  <c r="AA832" i="7"/>
  <c r="AA844" i="7"/>
  <c r="AA866" i="7"/>
  <c r="AA932" i="7"/>
  <c r="AA940" i="7"/>
  <c r="AA952" i="7"/>
  <c r="AA994" i="7"/>
  <c r="AA998" i="7"/>
  <c r="AA1004" i="7"/>
  <c r="AA761" i="7"/>
  <c r="AA763" i="7"/>
  <c r="AA765" i="7"/>
  <c r="AA767" i="7"/>
  <c r="AA769" i="7"/>
  <c r="AA771" i="7"/>
  <c r="AA773" i="7"/>
  <c r="AA840" i="7"/>
  <c r="AA850" i="7"/>
  <c r="AA852" i="7"/>
  <c r="AA854" i="7"/>
  <c r="AA862" i="7"/>
  <c r="AA928" i="7"/>
  <c r="AA984" i="7"/>
  <c r="AA988" i="7"/>
  <c r="AA1002" i="7"/>
  <c r="AA813" i="7"/>
  <c r="AA814" i="7"/>
  <c r="AA815" i="7"/>
  <c r="AA816" i="7"/>
  <c r="Z825" i="7"/>
  <c r="AA827" i="7"/>
  <c r="AA828" i="7"/>
  <c r="AA835" i="7"/>
  <c r="AA836" i="7"/>
  <c r="Z856" i="7"/>
  <c r="AA857" i="7"/>
  <c r="Z864" i="7"/>
  <c r="AA867" i="7"/>
  <c r="AA870" i="7"/>
  <c r="Z873" i="7"/>
  <c r="Z877" i="7"/>
  <c r="Z881" i="7"/>
  <c r="Z885" i="7"/>
  <c r="Z889" i="7"/>
  <c r="Z893" i="7"/>
  <c r="Z897" i="7"/>
  <c r="Z907" i="7"/>
  <c r="AA908" i="7"/>
  <c r="Z913" i="7"/>
  <c r="Z917" i="7"/>
  <c r="AA918" i="7"/>
  <c r="AA923" i="7"/>
  <c r="AA924" i="7"/>
  <c r="AA935" i="7"/>
  <c r="AA936" i="7"/>
  <c r="Z945" i="7"/>
  <c r="AA947" i="7"/>
  <c r="AA955" i="7"/>
  <c r="AA956" i="7"/>
  <c r="AA972" i="7"/>
  <c r="Z981" i="7"/>
  <c r="Z986" i="7"/>
  <c r="Z990" i="7"/>
  <c r="AA992" i="7"/>
  <c r="Z995" i="7"/>
  <c r="Z999" i="7"/>
  <c r="Z1000" i="7"/>
  <c r="Z1005" i="7"/>
  <c r="AB4" i="7"/>
  <c r="AA449" i="7"/>
  <c r="AA457" i="7"/>
  <c r="AA461" i="7"/>
  <c r="AA477" i="7"/>
  <c r="AA493" i="7"/>
  <c r="AA509" i="7"/>
  <c r="AA517" i="7"/>
  <c r="AA525" i="7"/>
  <c r="AA538" i="7"/>
  <c r="Z959" i="7"/>
  <c r="AA959" i="7"/>
  <c r="Z963" i="7"/>
  <c r="AA963" i="7"/>
  <c r="Z985" i="7"/>
  <c r="AA985" i="7"/>
  <c r="AA533" i="7"/>
  <c r="AA537" i="7"/>
  <c r="AA541" i="7"/>
  <c r="AA554" i="7"/>
  <c r="Z638" i="7"/>
  <c r="AA638" i="7"/>
  <c r="Z654" i="7"/>
  <c r="AA654" i="7"/>
  <c r="Z671" i="7"/>
  <c r="AA671" i="7"/>
  <c r="AA453" i="7"/>
  <c r="AA481" i="7"/>
  <c r="AA513" i="7"/>
  <c r="AA531" i="7"/>
  <c r="Z15" i="7"/>
  <c r="Z17" i="7"/>
  <c r="Z19" i="7"/>
  <c r="Z21" i="7"/>
  <c r="Z23" i="7"/>
  <c r="Z25" i="7"/>
  <c r="Z27" i="7"/>
  <c r="Z29" i="7"/>
  <c r="Z31" i="7"/>
  <c r="Z33" i="7"/>
  <c r="Z35" i="7"/>
  <c r="Z37" i="7"/>
  <c r="Z39" i="7"/>
  <c r="Z41" i="7"/>
  <c r="Z43" i="7"/>
  <c r="Z45" i="7"/>
  <c r="Z47" i="7"/>
  <c r="Z49" i="7"/>
  <c r="Z51" i="7"/>
  <c r="Z53" i="7"/>
  <c r="Z55" i="7"/>
  <c r="Z57" i="7"/>
  <c r="Z59" i="7"/>
  <c r="Z61" i="7"/>
  <c r="Z63" i="7"/>
  <c r="Z65" i="7"/>
  <c r="Z67" i="7"/>
  <c r="Z69" i="7"/>
  <c r="Z71" i="7"/>
  <c r="Z73" i="7"/>
  <c r="Z75" i="7"/>
  <c r="Z77" i="7"/>
  <c r="Z79" i="7"/>
  <c r="Z81" i="7"/>
  <c r="Z83" i="7"/>
  <c r="Z85" i="7"/>
  <c r="Z87" i="7"/>
  <c r="Z89" i="7"/>
  <c r="Z91" i="7"/>
  <c r="Z93" i="7"/>
  <c r="Z95" i="7"/>
  <c r="Z97" i="7"/>
  <c r="Z99" i="7"/>
  <c r="Z101" i="7"/>
  <c r="Z103" i="7"/>
  <c r="Z105" i="7"/>
  <c r="Z107" i="7"/>
  <c r="Z109" i="7"/>
  <c r="Z111" i="7"/>
  <c r="Z113" i="7"/>
  <c r="Z115" i="7"/>
  <c r="Z117" i="7"/>
  <c r="Z119" i="7"/>
  <c r="Z121" i="7"/>
  <c r="Z123" i="7"/>
  <c r="Z125" i="7"/>
  <c r="Z127" i="7"/>
  <c r="Z129" i="7"/>
  <c r="Z131" i="7"/>
  <c r="Z133" i="7"/>
  <c r="Z135" i="7"/>
  <c r="Z137" i="7"/>
  <c r="Z139" i="7"/>
  <c r="Z141" i="7"/>
  <c r="Z143" i="7"/>
  <c r="Z145" i="7"/>
  <c r="Z147" i="7"/>
  <c r="Z149" i="7"/>
  <c r="Z151" i="7"/>
  <c r="Z153" i="7"/>
  <c r="Z155" i="7"/>
  <c r="Z157" i="7"/>
  <c r="Z159" i="7"/>
  <c r="Z161" i="7"/>
  <c r="Z163" i="7"/>
  <c r="Z165" i="7"/>
  <c r="Z167" i="7"/>
  <c r="Z169" i="7"/>
  <c r="Z171" i="7"/>
  <c r="Z173" i="7"/>
  <c r="Z175" i="7"/>
  <c r="Z177" i="7"/>
  <c r="Z179" i="7"/>
  <c r="Z181" i="7"/>
  <c r="Z183" i="7"/>
  <c r="Z185" i="7"/>
  <c r="Z187" i="7"/>
  <c r="Z189" i="7"/>
  <c r="Z191" i="7"/>
  <c r="Z193" i="7"/>
  <c r="Z195" i="7"/>
  <c r="Z197" i="7"/>
  <c r="Z199" i="7"/>
  <c r="Z201" i="7"/>
  <c r="Z203" i="7"/>
  <c r="Z205" i="7"/>
  <c r="Z207" i="7"/>
  <c r="Z209" i="7"/>
  <c r="Z211" i="7"/>
  <c r="Z213" i="7"/>
  <c r="Z215" i="7"/>
  <c r="Z217" i="7"/>
  <c r="Z219" i="7"/>
  <c r="Z221" i="7"/>
  <c r="Z223" i="7"/>
  <c r="Z225" i="7"/>
  <c r="Z227" i="7"/>
  <c r="Z229" i="7"/>
  <c r="Z231" i="7"/>
  <c r="Z233" i="7"/>
  <c r="Z235" i="7"/>
  <c r="Z237" i="7"/>
  <c r="Z239" i="7"/>
  <c r="Z241" i="7"/>
  <c r="Z243" i="7"/>
  <c r="Z245" i="7"/>
  <c r="Z247" i="7"/>
  <c r="Z249" i="7"/>
  <c r="Z251" i="7"/>
  <c r="Z253" i="7"/>
  <c r="Z255" i="7"/>
  <c r="Z257" i="7"/>
  <c r="Z259" i="7"/>
  <c r="Z261" i="7"/>
  <c r="Z263" i="7"/>
  <c r="Z265" i="7"/>
  <c r="Z267" i="7"/>
  <c r="Z269" i="7"/>
  <c r="Z271" i="7"/>
  <c r="Z273" i="7"/>
  <c r="Z275" i="7"/>
  <c r="Z277" i="7"/>
  <c r="Z279" i="7"/>
  <c r="Z281" i="7"/>
  <c r="Z283" i="7"/>
  <c r="Z285" i="7"/>
  <c r="Z287" i="7"/>
  <c r="Z289" i="7"/>
  <c r="Z291" i="7"/>
  <c r="Z293" i="7"/>
  <c r="Z295" i="7"/>
  <c r="Z297" i="7"/>
  <c r="Z299" i="7"/>
  <c r="Z301" i="7"/>
  <c r="Z303" i="7"/>
  <c r="Z305" i="7"/>
  <c r="Z307" i="7"/>
  <c r="Z309" i="7"/>
  <c r="Z311" i="7"/>
  <c r="Z313" i="7"/>
  <c r="Z315" i="7"/>
  <c r="Z317" i="7"/>
  <c r="Z319" i="7"/>
  <c r="Z321" i="7"/>
  <c r="Z323" i="7"/>
  <c r="Z325" i="7"/>
  <c r="Z327" i="7"/>
  <c r="Z329" i="7"/>
  <c r="Z331" i="7"/>
  <c r="Z333" i="7"/>
  <c r="Z335" i="7"/>
  <c r="Z337" i="7"/>
  <c r="Z339" i="7"/>
  <c r="Z341" i="7"/>
  <c r="Z343" i="7"/>
  <c r="Z345" i="7"/>
  <c r="Z347" i="7"/>
  <c r="Z349" i="7"/>
  <c r="Z351" i="7"/>
  <c r="Z353" i="7"/>
  <c r="Z355" i="7"/>
  <c r="Z357" i="7"/>
  <c r="Z359" i="7"/>
  <c r="Z361" i="7"/>
  <c r="Z363" i="7"/>
  <c r="Z365" i="7"/>
  <c r="Z367" i="7"/>
  <c r="Z369" i="7"/>
  <c r="Z371" i="7"/>
  <c r="Z373" i="7"/>
  <c r="Z375" i="7"/>
  <c r="Z377" i="7"/>
  <c r="Z379" i="7"/>
  <c r="Z381" i="7"/>
  <c r="Z383" i="7"/>
  <c r="Z385" i="7"/>
  <c r="Z387" i="7"/>
  <c r="Z389" i="7"/>
  <c r="Z391" i="7"/>
  <c r="Z393" i="7"/>
  <c r="Z395" i="7"/>
  <c r="Z397" i="7"/>
  <c r="Z399" i="7"/>
  <c r="Z401" i="7"/>
  <c r="Z403" i="7"/>
  <c r="Z405" i="7"/>
  <c r="Z407" i="7"/>
  <c r="Z409" i="7"/>
  <c r="Z411" i="7"/>
  <c r="Z413" i="7"/>
  <c r="Z415" i="7"/>
  <c r="Z417" i="7"/>
  <c r="Z419" i="7"/>
  <c r="Z421" i="7"/>
  <c r="Z423" i="7"/>
  <c r="Z425" i="7"/>
  <c r="Z427" i="7"/>
  <c r="Z429" i="7"/>
  <c r="Z431" i="7"/>
  <c r="Z433" i="7"/>
  <c r="Z435" i="7"/>
  <c r="Z437" i="7"/>
  <c r="Z439" i="7"/>
  <c r="Z441" i="7"/>
  <c r="Z443" i="7"/>
  <c r="Z445" i="7"/>
  <c r="Z529" i="7"/>
  <c r="Z687" i="7"/>
  <c r="AA687" i="7"/>
  <c r="AA465" i="7"/>
  <c r="AA469" i="7"/>
  <c r="AA473" i="7"/>
  <c r="AA485" i="7"/>
  <c r="AA489" i="7"/>
  <c r="AA497" i="7"/>
  <c r="AA501" i="7"/>
  <c r="AA505" i="7"/>
  <c r="AA521" i="7"/>
  <c r="AA534" i="7"/>
  <c r="AA542" i="7"/>
  <c r="Z846" i="7"/>
  <c r="AA846" i="7"/>
  <c r="Z933" i="7"/>
  <c r="AA933" i="7"/>
  <c r="Z967" i="7"/>
  <c r="AA967" i="7"/>
  <c r="Z7" i="7"/>
  <c r="Z9" i="7"/>
  <c r="Z11" i="7"/>
  <c r="Z13" i="7"/>
  <c r="Z448" i="7"/>
  <c r="Z452" i="7"/>
  <c r="Z456" i="7"/>
  <c r="Z460" i="7"/>
  <c r="Z464" i="7"/>
  <c r="Z468" i="7"/>
  <c r="Z472" i="7"/>
  <c r="Z476" i="7"/>
  <c r="Z480" i="7"/>
  <c r="Z484" i="7"/>
  <c r="Z488" i="7"/>
  <c r="Z492" i="7"/>
  <c r="Z496" i="7"/>
  <c r="Z500" i="7"/>
  <c r="Z504" i="7"/>
  <c r="Z508" i="7"/>
  <c r="Z512" i="7"/>
  <c r="Z516" i="7"/>
  <c r="Z520" i="7"/>
  <c r="Z524" i="7"/>
  <c r="Z528" i="7"/>
  <c r="AA546" i="7"/>
  <c r="AA562" i="7"/>
  <c r="Z630" i="7"/>
  <c r="AA630" i="7"/>
  <c r="Z646" i="7"/>
  <c r="AA646" i="7"/>
  <c r="Z662" i="7"/>
  <c r="AA662" i="7"/>
  <c r="Z532" i="7"/>
  <c r="Z535" i="7"/>
  <c r="Z536" i="7"/>
  <c r="Z539" i="7"/>
  <c r="Z540" i="7"/>
  <c r="Z543" i="7"/>
  <c r="Z544" i="7"/>
  <c r="Z547" i="7"/>
  <c r="Z548" i="7"/>
  <c r="Z551" i="7"/>
  <c r="Z552" i="7"/>
  <c r="Z555" i="7"/>
  <c r="Z556" i="7"/>
  <c r="Z559" i="7"/>
  <c r="Z560" i="7"/>
  <c r="Z563" i="7"/>
  <c r="Z564" i="7"/>
  <c r="Z567" i="7"/>
  <c r="Z568" i="7"/>
  <c r="Z571" i="7"/>
  <c r="AA572" i="7"/>
  <c r="AA573" i="7"/>
  <c r="AA574" i="7"/>
  <c r="AA575" i="7"/>
  <c r="AA576" i="7"/>
  <c r="AA577" i="7"/>
  <c r="AA578" i="7"/>
  <c r="AA579" i="7"/>
  <c r="AA580" i="7"/>
  <c r="AA581" i="7"/>
  <c r="AA582" i="7"/>
  <c r="AA583" i="7"/>
  <c r="AA584" i="7"/>
  <c r="AA585" i="7"/>
  <c r="AA586" i="7"/>
  <c r="AA587" i="7"/>
  <c r="AA588" i="7"/>
  <c r="AA589" i="7"/>
  <c r="AA590" i="7"/>
  <c r="AA591" i="7"/>
  <c r="AA592" i="7"/>
  <c r="AA593" i="7"/>
  <c r="AA594" i="7"/>
  <c r="AA595" i="7"/>
  <c r="AA596" i="7"/>
  <c r="AA597" i="7"/>
  <c r="AA598" i="7"/>
  <c r="AA599" i="7"/>
  <c r="AA600" i="7"/>
  <c r="AA601" i="7"/>
  <c r="AA602" i="7"/>
  <c r="AA603" i="7"/>
  <c r="AA604" i="7"/>
  <c r="AA605" i="7"/>
  <c r="AA606" i="7"/>
  <c r="AA607" i="7"/>
  <c r="AA608" i="7"/>
  <c r="AA609" i="7"/>
  <c r="AA610" i="7"/>
  <c r="AA611" i="7"/>
  <c r="AA612" i="7"/>
  <c r="AA613" i="7"/>
  <c r="AA614" i="7"/>
  <c r="AA615" i="7"/>
  <c r="AA616" i="7"/>
  <c r="AA617" i="7"/>
  <c r="AA618" i="7"/>
  <c r="AA619" i="7"/>
  <c r="AA620" i="7"/>
  <c r="AA621" i="7"/>
  <c r="AA622" i="7"/>
  <c r="AA623" i="7"/>
  <c r="AA624" i="7"/>
  <c r="AA679" i="7"/>
  <c r="Z696" i="7"/>
  <c r="AA696" i="7"/>
  <c r="AA632" i="7"/>
  <c r="AA640" i="7"/>
  <c r="AA648" i="7"/>
  <c r="AA656" i="7"/>
  <c r="AA664" i="7"/>
  <c r="AA675" i="7"/>
  <c r="AA691" i="7"/>
  <c r="AA695" i="7"/>
  <c r="Z695" i="7"/>
  <c r="Z829" i="7"/>
  <c r="AA829" i="7"/>
  <c r="Z545" i="7"/>
  <c r="Z549" i="7"/>
  <c r="Z553" i="7"/>
  <c r="Z557" i="7"/>
  <c r="Z561" i="7"/>
  <c r="Z565" i="7"/>
  <c r="Z569" i="7"/>
  <c r="Z627" i="7"/>
  <c r="Z629" i="7"/>
  <c r="Z631" i="7"/>
  <c r="Z633" i="7"/>
  <c r="Z635" i="7"/>
  <c r="Z637" i="7"/>
  <c r="Z639" i="7"/>
  <c r="Z641" i="7"/>
  <c r="Z643" i="7"/>
  <c r="Z645" i="7"/>
  <c r="Z647" i="7"/>
  <c r="Z649" i="7"/>
  <c r="Z651" i="7"/>
  <c r="Z653" i="7"/>
  <c r="Z655" i="7"/>
  <c r="Z657" i="7"/>
  <c r="Z659" i="7"/>
  <c r="Z661" i="7"/>
  <c r="Z663" i="7"/>
  <c r="Z665" i="7"/>
  <c r="Z667" i="7"/>
  <c r="Z669" i="7"/>
  <c r="Z672" i="7"/>
  <c r="Z673" i="7"/>
  <c r="Z676" i="7"/>
  <c r="Z677" i="7"/>
  <c r="Z680" i="7"/>
  <c r="Z681" i="7"/>
  <c r="Z684" i="7"/>
  <c r="Z685" i="7"/>
  <c r="Z688" i="7"/>
  <c r="Z689" i="7"/>
  <c r="Z692" i="7"/>
  <c r="Z693" i="7"/>
  <c r="Z698" i="7"/>
  <c r="AA817" i="7"/>
  <c r="AA833" i="7"/>
  <c r="Z670" i="7"/>
  <c r="Z674" i="7"/>
  <c r="Z678" i="7"/>
  <c r="Z682" i="7"/>
  <c r="Z686" i="7"/>
  <c r="Z690" i="7"/>
  <c r="Z694" i="7"/>
  <c r="Z702" i="7"/>
  <c r="Z704" i="7"/>
  <c r="Z706" i="7"/>
  <c r="Z708" i="7"/>
  <c r="Z710" i="7"/>
  <c r="Z712" i="7"/>
  <c r="Z714" i="7"/>
  <c r="Z716" i="7"/>
  <c r="Z718" i="7"/>
  <c r="Z720" i="7"/>
  <c r="Z722" i="7"/>
  <c r="Z724" i="7"/>
  <c r="Z726" i="7"/>
  <c r="Z728" i="7"/>
  <c r="Z730" i="7"/>
  <c r="Z732" i="7"/>
  <c r="Z734" i="7"/>
  <c r="Z736" i="7"/>
  <c r="Z738" i="7"/>
  <c r="Z740" i="7"/>
  <c r="Z742" i="7"/>
  <c r="Z744" i="7"/>
  <c r="Z746" i="7"/>
  <c r="Z748" i="7"/>
  <c r="Z750" i="7"/>
  <c r="Z752" i="7"/>
  <c r="Z754" i="7"/>
  <c r="Z756" i="7"/>
  <c r="Z758" i="7"/>
  <c r="Z760" i="7"/>
  <c r="Z762" i="7"/>
  <c r="Z764" i="7"/>
  <c r="Z766" i="7"/>
  <c r="Z768" i="7"/>
  <c r="Z770" i="7"/>
  <c r="Z772" i="7"/>
  <c r="Z774" i="7"/>
  <c r="Z776" i="7"/>
  <c r="Z778" i="7"/>
  <c r="Z780" i="7"/>
  <c r="Z782" i="7"/>
  <c r="Z784" i="7"/>
  <c r="Z786" i="7"/>
  <c r="Z788" i="7"/>
  <c r="Z790" i="7"/>
  <c r="Z792" i="7"/>
  <c r="Z794" i="7"/>
  <c r="Z796" i="7"/>
  <c r="Z798" i="7"/>
  <c r="Z800" i="7"/>
  <c r="Z802" i="7"/>
  <c r="Z804" i="7"/>
  <c r="Z806" i="7"/>
  <c r="Z808" i="7"/>
  <c r="Z810" i="7"/>
  <c r="Z812" i="7"/>
  <c r="Z814" i="7"/>
  <c r="Z818" i="7"/>
  <c r="Z819" i="7"/>
  <c r="Z822" i="7"/>
  <c r="Z823" i="7"/>
  <c r="Z826" i="7"/>
  <c r="Z827" i="7"/>
  <c r="Z830" i="7"/>
  <c r="Z831" i="7"/>
  <c r="Z834" i="7"/>
  <c r="Z835" i="7"/>
  <c r="Z838" i="7"/>
  <c r="Z839" i="7"/>
  <c r="Z842" i="7"/>
  <c r="Z843" i="7"/>
  <c r="Z848" i="7"/>
  <c r="Z911" i="7"/>
  <c r="AA911" i="7"/>
  <c r="Z850" i="7"/>
  <c r="AA855" i="7"/>
  <c r="AA856" i="7"/>
  <c r="AA859" i="7"/>
  <c r="AA860" i="7"/>
  <c r="AA863" i="7"/>
  <c r="Z868" i="7"/>
  <c r="AA868" i="7"/>
  <c r="Z919" i="7"/>
  <c r="AA919" i="7"/>
  <c r="Z949" i="7"/>
  <c r="AA949" i="7"/>
  <c r="Z816" i="7"/>
  <c r="Z820" i="7"/>
  <c r="Z824" i="7"/>
  <c r="Z828" i="7"/>
  <c r="Z832" i="7"/>
  <c r="Z836" i="7"/>
  <c r="Z840" i="7"/>
  <c r="Z844" i="7"/>
  <c r="Z852" i="7"/>
  <c r="Z903" i="7"/>
  <c r="AA903" i="7"/>
  <c r="AA915" i="7"/>
  <c r="Z958" i="7"/>
  <c r="AA958" i="7"/>
  <c r="Z962" i="7"/>
  <c r="AA962" i="7"/>
  <c r="Z966" i="7"/>
  <c r="AA966" i="7"/>
  <c r="Z993" i="7"/>
  <c r="AA993" i="7"/>
  <c r="Z854" i="7"/>
  <c r="Z858" i="7"/>
  <c r="Z862" i="7"/>
  <c r="Z866" i="7"/>
  <c r="Z867" i="7"/>
  <c r="Z870" i="7"/>
  <c r="AA871" i="7"/>
  <c r="AA872" i="7"/>
  <c r="AA873" i="7"/>
  <c r="AA874" i="7"/>
  <c r="AA875" i="7"/>
  <c r="AA876" i="7"/>
  <c r="AA877" i="7"/>
  <c r="AA878" i="7"/>
  <c r="AA879" i="7"/>
  <c r="AA880" i="7"/>
  <c r="AA881" i="7"/>
  <c r="AA882" i="7"/>
  <c r="AA883" i="7"/>
  <c r="AA884" i="7"/>
  <c r="AA885" i="7"/>
  <c r="AA886" i="7"/>
  <c r="AA887" i="7"/>
  <c r="AA888" i="7"/>
  <c r="AA889" i="7"/>
  <c r="AA890" i="7"/>
  <c r="AA891" i="7"/>
  <c r="AA892" i="7"/>
  <c r="AA893" i="7"/>
  <c r="AA894" i="7"/>
  <c r="AA895" i="7"/>
  <c r="AA896" i="7"/>
  <c r="AA897" i="7"/>
  <c r="AA905" i="7"/>
  <c r="AA913" i="7"/>
  <c r="AA921" i="7"/>
  <c r="AA937" i="7"/>
  <c r="AA953" i="7"/>
  <c r="Z957" i="7"/>
  <c r="AA957" i="7"/>
  <c r="Z961" i="7"/>
  <c r="AA961" i="7"/>
  <c r="Z965" i="7"/>
  <c r="AA965" i="7"/>
  <c r="Z969" i="7"/>
  <c r="AA969" i="7"/>
  <c r="Z1001" i="7"/>
  <c r="AA1001" i="7"/>
  <c r="Z960" i="7"/>
  <c r="AA960" i="7"/>
  <c r="Z964" i="7"/>
  <c r="AA964" i="7"/>
  <c r="Z968" i="7"/>
  <c r="AA968" i="7"/>
  <c r="Z977" i="7"/>
  <c r="AA977" i="7"/>
  <c r="Z898" i="7"/>
  <c r="Z900" i="7"/>
  <c r="Z902" i="7"/>
  <c r="Z904" i="7"/>
  <c r="Z906" i="7"/>
  <c r="Z908" i="7"/>
  <c r="Z910" i="7"/>
  <c r="Z912" i="7"/>
  <c r="Z914" i="7"/>
  <c r="Z916" i="7"/>
  <c r="Z918" i="7"/>
  <c r="Z920" i="7"/>
  <c r="Z922" i="7"/>
  <c r="Z923" i="7"/>
  <c r="Z926" i="7"/>
  <c r="Z927" i="7"/>
  <c r="Z930" i="7"/>
  <c r="Z931" i="7"/>
  <c r="Z934" i="7"/>
  <c r="Z935" i="7"/>
  <c r="Z938" i="7"/>
  <c r="Z939" i="7"/>
  <c r="Z942" i="7"/>
  <c r="Z943" i="7"/>
  <c r="Z946" i="7"/>
  <c r="Z947" i="7"/>
  <c r="Z950" i="7"/>
  <c r="Z951" i="7"/>
  <c r="Z954" i="7"/>
  <c r="Z955" i="7"/>
  <c r="AA973" i="7"/>
  <c r="AA981" i="7"/>
  <c r="AA989" i="7"/>
  <c r="AA997" i="7"/>
  <c r="AA1005" i="7"/>
  <c r="AA971" i="7"/>
  <c r="AA979" i="7"/>
  <c r="AA987" i="7"/>
  <c r="AA995" i="7"/>
  <c r="Z924" i="7"/>
  <c r="Z928" i="7"/>
  <c r="Z932" i="7"/>
  <c r="Z936" i="7"/>
  <c r="Z940" i="7"/>
  <c r="Z944" i="7"/>
  <c r="Z948" i="7"/>
  <c r="Z952" i="7"/>
  <c r="Z956" i="7"/>
  <c r="Z970" i="7"/>
  <c r="Z972" i="7"/>
  <c r="Z974" i="7"/>
  <c r="Z976" i="7"/>
  <c r="Z978" i="7"/>
  <c r="Z980" i="7"/>
  <c r="Z982" i="7"/>
  <c r="J12" i="12" l="1"/>
  <c r="J16" i="12"/>
  <c r="AA4" i="7"/>
  <c r="Z4" i="7"/>
  <c r="G39" i="2" l="1"/>
  <c r="H39" i="2" s="1"/>
  <c r="G43" i="2"/>
  <c r="H43" i="2" s="1"/>
  <c r="B43" i="2"/>
  <c r="G42" i="2"/>
  <c r="H42" i="2" s="1"/>
  <c r="B42" i="2"/>
  <c r="G37" i="2"/>
  <c r="G38" i="2"/>
  <c r="H38" i="2" s="1"/>
  <c r="G40" i="2"/>
  <c r="H40" i="2" s="1"/>
  <c r="G36" i="2"/>
  <c r="H36" i="2" s="1"/>
  <c r="B30" i="2"/>
  <c r="K22" i="2"/>
  <c r="K14" i="2"/>
  <c r="K23" i="2"/>
  <c r="L23" i="2" s="1"/>
  <c r="G5" i="5"/>
  <c r="G5" i="4"/>
  <c r="C36" i="2" l="1"/>
  <c r="C39" i="2"/>
  <c r="B39" i="2" s="1"/>
  <c r="H41" i="2"/>
  <c r="C41" i="2" s="1"/>
  <c r="B41" i="2" s="1"/>
  <c r="C40" i="2"/>
  <c r="B40" i="2" s="1"/>
  <c r="M4" i="7" s="1"/>
  <c r="C38" i="2"/>
  <c r="B38" i="2" s="1"/>
  <c r="L4" i="7" s="1"/>
  <c r="H37" i="2"/>
  <c r="C37" i="2" s="1"/>
  <c r="B37" i="2" s="1"/>
  <c r="K4" i="7" s="1"/>
  <c r="M23" i="2" l="1"/>
  <c r="K21" i="2"/>
  <c r="L21" i="2" s="1"/>
  <c r="M21" i="2" s="1"/>
  <c r="G21" i="2" s="1"/>
  <c r="K12" i="2"/>
  <c r="L12" i="2" s="1"/>
  <c r="M12" i="2" s="1"/>
  <c r="G12" i="2" s="1"/>
  <c r="K15" i="2"/>
  <c r="L22" i="2"/>
  <c r="M22" i="2" s="1"/>
  <c r="L15" i="2" l="1"/>
  <c r="M15" i="2" s="1"/>
  <c r="G23" i="2"/>
  <c r="H23" i="2" s="1"/>
  <c r="D23" i="2"/>
  <c r="D21" i="2"/>
  <c r="C23" i="2"/>
  <c r="H12" i="2"/>
  <c r="C12" i="2" s="1"/>
  <c r="D12" i="2"/>
  <c r="L14" i="2"/>
  <c r="M14" i="2" s="1"/>
  <c r="D14" i="2" s="1"/>
  <c r="K20" i="2"/>
  <c r="L20" i="2" s="1"/>
  <c r="M20" i="2" s="1"/>
  <c r="B12" i="2" l="1"/>
  <c r="D15" i="2"/>
  <c r="G15" i="2"/>
  <c r="H21" i="2"/>
  <c r="C21" i="2" s="1"/>
  <c r="B21" i="2" s="1"/>
  <c r="B23" i="2"/>
  <c r="H15" i="2"/>
  <c r="C15" i="2" s="1"/>
  <c r="G14" i="2"/>
  <c r="D24" i="2"/>
  <c r="G22" i="2"/>
  <c r="H22" i="2" s="1"/>
  <c r="G20" i="2"/>
  <c r="D20" i="2"/>
  <c r="K11" i="2"/>
  <c r="L11" i="2" s="1"/>
  <c r="M11" i="2" s="1"/>
  <c r="K13" i="2"/>
  <c r="L13" i="2" s="1"/>
  <c r="M13" i="2" s="1"/>
  <c r="D6" i="5" l="1"/>
  <c r="D4" i="7"/>
  <c r="B15" i="2"/>
  <c r="F6" i="4" s="1"/>
  <c r="F6" i="5"/>
  <c r="F4" i="7"/>
  <c r="H14" i="2"/>
  <c r="C14" i="2" s="1"/>
  <c r="B14" i="2" s="1"/>
  <c r="H20" i="2"/>
  <c r="C20" i="2" s="1"/>
  <c r="B20" i="2" s="1"/>
  <c r="C22" i="2"/>
  <c r="C24" i="2" s="1"/>
  <c r="B24" i="2" s="1"/>
  <c r="G13" i="2"/>
  <c r="B22" i="2" l="1"/>
  <c r="E6" i="5" s="1"/>
  <c r="E4" i="7"/>
  <c r="C6" i="5"/>
  <c r="H4" i="7"/>
  <c r="D11" i="2"/>
  <c r="D16" i="2" s="1"/>
  <c r="G11" i="2"/>
  <c r="H11" i="2" s="1"/>
  <c r="C11" i="2" s="1"/>
  <c r="H13" i="2"/>
  <c r="C13" i="2" s="1"/>
  <c r="C16" i="2" l="1"/>
  <c r="B16" i="2" s="1"/>
  <c r="D7" i="5"/>
  <c r="I6" i="5"/>
  <c r="G6" i="5"/>
  <c r="E7" i="5"/>
  <c r="F7" i="5"/>
  <c r="J6" i="5"/>
  <c r="C7" i="5"/>
  <c r="B36" i="2"/>
  <c r="B31" i="2"/>
  <c r="I4" i="7" s="1"/>
  <c r="B29" i="2"/>
  <c r="B13" i="2"/>
  <c r="E6" i="4" s="1"/>
  <c r="B11" i="2"/>
  <c r="H7" i="5" l="1"/>
  <c r="H6" i="5"/>
  <c r="C8" i="5"/>
  <c r="I7" i="5"/>
  <c r="G7" i="5"/>
  <c r="J7" i="5"/>
  <c r="F8" i="5"/>
  <c r="D8" i="5"/>
  <c r="E8" i="5"/>
  <c r="D6" i="4"/>
  <c r="C4" i="7"/>
  <c r="C6" i="4"/>
  <c r="G4" i="7"/>
  <c r="H6" i="4" l="1"/>
  <c r="C9" i="5"/>
  <c r="C10" i="5" s="1"/>
  <c r="H8" i="5"/>
  <c r="E9" i="5"/>
  <c r="F9" i="5"/>
  <c r="D9" i="5"/>
  <c r="E7" i="4"/>
  <c r="C7" i="4"/>
  <c r="I8" i="5"/>
  <c r="J8" i="5"/>
  <c r="G8" i="5"/>
  <c r="J6" i="4"/>
  <c r="F7" i="4"/>
  <c r="D7" i="4"/>
  <c r="G6" i="4"/>
  <c r="I6" i="4"/>
  <c r="F10" i="5" l="1"/>
  <c r="E10" i="5"/>
  <c r="H9" i="5"/>
  <c r="H7" i="4"/>
  <c r="J9" i="5"/>
  <c r="I9" i="5"/>
  <c r="G9" i="5"/>
  <c r="D10" i="5"/>
  <c r="E8" i="4"/>
  <c r="C8" i="4"/>
  <c r="F8" i="4"/>
  <c r="J7" i="4"/>
  <c r="I7" i="4"/>
  <c r="D8" i="4"/>
  <c r="G7" i="4"/>
  <c r="I10" i="5" l="1"/>
  <c r="I12" i="5" s="1"/>
  <c r="H8" i="4"/>
  <c r="H10" i="5"/>
  <c r="H12" i="5" s="1"/>
  <c r="D8" i="12" s="1"/>
  <c r="J10" i="5"/>
  <c r="J12" i="5" s="1"/>
  <c r="E8" i="12" s="1"/>
  <c r="G10" i="5"/>
  <c r="J8" i="4"/>
  <c r="C9" i="4"/>
  <c r="G8" i="4"/>
  <c r="F9" i="4"/>
  <c r="E9" i="4"/>
  <c r="D9" i="4"/>
  <c r="I8" i="4"/>
  <c r="C10" i="4" l="1"/>
  <c r="H9" i="4"/>
  <c r="Q4" i="7"/>
  <c r="R4" i="7"/>
  <c r="E10" i="4"/>
  <c r="F10" i="4"/>
  <c r="D10" i="4"/>
  <c r="J9" i="4"/>
  <c r="I9" i="4"/>
  <c r="G9" i="4"/>
  <c r="W4" i="7" l="1"/>
  <c r="H10" i="4"/>
  <c r="H12" i="4" s="1"/>
  <c r="D7" i="12" s="1"/>
  <c r="J10" i="4"/>
  <c r="J12" i="4" s="1"/>
  <c r="E7" i="12" s="1"/>
  <c r="I10" i="4"/>
  <c r="I12" i="4" s="1"/>
  <c r="G10" i="4"/>
  <c r="O4" i="7" l="1"/>
  <c r="E9" i="12"/>
  <c r="P4" i="7"/>
  <c r="D9" i="12"/>
  <c r="T4" i="7" l="1"/>
  <c r="V4" i="7"/>
  <c r="S4" i="7"/>
  <c r="D12" i="12"/>
  <c r="D16" i="12"/>
  <c r="X4" i="7" l="1"/>
</calcChain>
</file>

<file path=xl/comments1.xml><?xml version="1.0" encoding="utf-8"?>
<comments xmlns="http://schemas.openxmlformats.org/spreadsheetml/2006/main">
  <authors>
    <author>ck</author>
  </authors>
  <commentList>
    <comment ref="C24" authorId="0" shapeId="0">
      <text>
        <r>
          <rPr>
            <b/>
            <sz val="9"/>
            <color indexed="81"/>
            <rFont val="Tahoma"/>
            <family val="2"/>
          </rPr>
          <t>ck:</t>
        </r>
        <r>
          <rPr>
            <sz val="9"/>
            <color indexed="81"/>
            <rFont val="Tahoma"/>
            <family val="2"/>
          </rPr>
          <t xml:space="preserve">
There is a difference in the 1-(SUM(pStopBleed+pDeath+pThrombosis)) between FEIBA and rFVIIa bc we are assuming that the treatment time period is 4 and 1.5 days for FEIBA and rFVIIa thus the probabilities for 1 day cycles will be different</t>
        </r>
      </text>
    </comment>
  </commentList>
</comments>
</file>

<file path=xl/sharedStrings.xml><?xml version="1.0" encoding="utf-8"?>
<sst xmlns="http://schemas.openxmlformats.org/spreadsheetml/2006/main" count="261" uniqueCount="161">
  <si>
    <t>**Important: Please read the details below and press the macro button at the end of the page**</t>
  </si>
  <si>
    <t>Huy P. Pham</t>
  </si>
  <si>
    <t>Sierra Simmons</t>
  </si>
  <si>
    <t>Lawrence A. Williams</t>
  </si>
  <si>
    <t>Chong H. Kim</t>
  </si>
  <si>
    <t>This model is made available for non-commercial research and teaching purposes only.</t>
  </si>
  <si>
    <t>The model is described in detail in two publications:</t>
  </si>
  <si>
    <t>1)</t>
  </si>
  <si>
    <t xml:space="preserve">This paper describes the basic model structure and assumptions in detail and presents </t>
  </si>
  <si>
    <t>the detailed meta-analysis on which the modelling work was based.</t>
  </si>
  <si>
    <t>2)</t>
  </si>
  <si>
    <t>This paper describes the development of the model into a fully probabilistic form and illustrates issues</t>
  </si>
  <si>
    <t xml:space="preserve">such as multiple treatment comparisons and stochastic dominance </t>
  </si>
  <si>
    <t>An appendix to this paper describes this spreadsheet model in greater detail</t>
  </si>
  <si>
    <t>July 2016</t>
  </si>
  <si>
    <t>A probabilistic cost-effectiveness model for FEIBA vs. rFIIa</t>
  </si>
  <si>
    <t>Enter '1' for probabilistic model, '0' for deterministic point estimates</t>
  </si>
  <si>
    <t>Distribution</t>
  </si>
  <si>
    <t>References</t>
  </si>
  <si>
    <t>Exogenous variables are coloured red (all included in probabilistic analysis except unit costs)</t>
  </si>
  <si>
    <t>Endogenous variables are coloured blue</t>
  </si>
  <si>
    <t>Beta</t>
  </si>
  <si>
    <t>SE</t>
  </si>
  <si>
    <t>FEIBA vs. rFIIa Model Variable definitions</t>
  </si>
  <si>
    <r>
      <t xml:space="preserve">All transisition probability variables shown in </t>
    </r>
    <r>
      <rPr>
        <b/>
        <sz val="10"/>
        <color indexed="56"/>
        <rFont val="Arial"/>
        <family val="2"/>
      </rPr>
      <t>blue</t>
    </r>
  </si>
  <si>
    <r>
      <t xml:space="preserve">State cost variables shown in </t>
    </r>
    <r>
      <rPr>
        <b/>
        <sz val="10"/>
        <color indexed="10"/>
        <rFont val="Arial"/>
        <family val="2"/>
      </rPr>
      <t>red</t>
    </r>
  </si>
  <si>
    <r>
      <t xml:space="preserve">State utility variables shown in </t>
    </r>
    <r>
      <rPr>
        <b/>
        <sz val="10"/>
        <color indexed="17"/>
        <rFont val="Arial"/>
        <family val="2"/>
      </rPr>
      <t>green</t>
    </r>
  </si>
  <si>
    <r>
      <t xml:space="preserve">See </t>
    </r>
    <r>
      <rPr>
        <b/>
        <i/>
        <sz val="10"/>
        <rFont val="Arial"/>
        <family val="2"/>
      </rPr>
      <t>&lt;Parameters&gt;</t>
    </r>
    <r>
      <rPr>
        <sz val="10"/>
        <rFont val="Arial"/>
        <family val="2"/>
      </rPr>
      <t xml:space="preserve"> page for definitions</t>
    </r>
  </si>
  <si>
    <t>Parameter Name</t>
  </si>
  <si>
    <t>live' value</t>
  </si>
  <si>
    <t>Probabilistic</t>
  </si>
  <si>
    <t>Deterministic</t>
  </si>
  <si>
    <t>Alpha</t>
  </si>
  <si>
    <t>Transition Probabilities</t>
  </si>
  <si>
    <t>Resource Cost</t>
  </si>
  <si>
    <t>cFEIBA</t>
  </si>
  <si>
    <t>cThrombosis</t>
  </si>
  <si>
    <t>Markov State Utility</t>
  </si>
  <si>
    <t>uBleedingCont</t>
  </si>
  <si>
    <t>uBleedingStop</t>
  </si>
  <si>
    <t>uThrombosis</t>
  </si>
  <si>
    <t>Cycle</t>
  </si>
  <si>
    <t>Check</t>
  </si>
  <si>
    <t>Cost</t>
  </si>
  <si>
    <t>QALYs</t>
  </si>
  <si>
    <t>TRACE for FEIBA</t>
  </si>
  <si>
    <t>FEIBA</t>
  </si>
  <si>
    <t>BleedingCont</t>
  </si>
  <si>
    <t>Thrombosis</t>
  </si>
  <si>
    <t>BleedingStop</t>
  </si>
  <si>
    <t>TRACE for rFIIa</t>
  </si>
  <si>
    <t>Diagrammatic representation of the Markov Model</t>
  </si>
  <si>
    <t>States of the model in the represented by the ovals, transitions between states represented by the arrows</t>
  </si>
  <si>
    <t>Borg, 2015</t>
  </si>
  <si>
    <t>Note</t>
  </si>
  <si>
    <t>Derivation</t>
  </si>
  <si>
    <t>Search Activity Log</t>
  </si>
  <si>
    <t>Resource</t>
  </si>
  <si>
    <t>Date of search/contact</t>
  </si>
  <si>
    <t>purpose/use in model</t>
  </si>
  <si>
    <t>search results</t>
  </si>
  <si>
    <t>Notes</t>
  </si>
  <si>
    <t>RCT/Observational study search for clinical effectiveness (transition probabilities) data</t>
  </si>
  <si>
    <t>Health utilities</t>
  </si>
  <si>
    <t>Identifying existing models to aid in model design</t>
  </si>
  <si>
    <t xml:space="preserve">Resource Cost </t>
  </si>
  <si>
    <t>Resource Use</t>
  </si>
  <si>
    <t>UAB</t>
  </si>
  <si>
    <t>UAB and/or REDBOOK</t>
  </si>
  <si>
    <t>NHSEED</t>
  </si>
  <si>
    <t>PubMed or Ovid MEDLINE</t>
  </si>
  <si>
    <t>9 days 1/26 patients</t>
  </si>
  <si>
    <t>Rate/day</t>
  </si>
  <si>
    <t>4 days 44/50 bleeding events resolution</t>
  </si>
  <si>
    <t>x days</t>
  </si>
  <si>
    <t>1 day prob</t>
  </si>
  <si>
    <t>Baudo, 2012</t>
  </si>
  <si>
    <t>rFVIIa</t>
  </si>
  <si>
    <t>4 days 93% bleeding control</t>
  </si>
  <si>
    <t>p/x days</t>
  </si>
  <si>
    <t>pStopBleedrFVIIa</t>
  </si>
  <si>
    <t>pStopBleedFEIBA</t>
  </si>
  <si>
    <t>pStopBleedFEIBA2</t>
  </si>
  <si>
    <t>1.5 93% bleed resolution</t>
  </si>
  <si>
    <t>pThrombosisFEIBA</t>
  </si>
  <si>
    <t>pThrombosisFEIBA2</t>
  </si>
  <si>
    <t>pDeathFEIBA</t>
  </si>
  <si>
    <t>4 days 3/63</t>
  </si>
  <si>
    <t>pDeathrFVIIa</t>
  </si>
  <si>
    <t>pThrombosisrFVIIa</t>
  </si>
  <si>
    <t>pThrombosisrFVIIa2</t>
  </si>
  <si>
    <t>1.5 days 5/174</t>
  </si>
  <si>
    <t>FEIBA (aCPP)</t>
  </si>
  <si>
    <t>Death</t>
  </si>
  <si>
    <t>pContBleedFEIBA</t>
  </si>
  <si>
    <t>pContBleedrFVIIa</t>
  </si>
  <si>
    <t>LifeYears</t>
  </si>
  <si>
    <t>1 year 84% survival prob</t>
  </si>
  <si>
    <t>1 year 81% surv prob</t>
  </si>
  <si>
    <t>crFVIIa</t>
  </si>
  <si>
    <t>Noone, 2013</t>
  </si>
  <si>
    <t>Those on-demand had lowest with mean 0.619</t>
  </si>
  <si>
    <t>Continuous Prophylaxis mean value</t>
  </si>
  <si>
    <t>uBleedingCont2</t>
  </si>
  <si>
    <t>Locadia, 2004</t>
  </si>
  <si>
    <t>This is based on Gastrointestinal Bleeding</t>
  </si>
  <si>
    <t>DVT</t>
  </si>
  <si>
    <t>uThrombosis2</t>
  </si>
  <si>
    <t>Post DVT</t>
  </si>
  <si>
    <t>Enden, 2013</t>
  </si>
  <si>
    <t>uThrombosis3</t>
  </si>
  <si>
    <t>uThrombosis4</t>
  </si>
  <si>
    <t>PTS</t>
  </si>
  <si>
    <t>Severe PTS</t>
  </si>
  <si>
    <t>uBleedingStop2</t>
  </si>
  <si>
    <t>Fischer, 2013</t>
  </si>
  <si>
    <t>Netherland and Sweden, Low dose = 0.84</t>
  </si>
  <si>
    <t>FEIBA cost</t>
  </si>
  <si>
    <t>FEIBA QALY</t>
  </si>
  <si>
    <t>FEIBA LifeYears</t>
  </si>
  <si>
    <t>rFVIIa cost</t>
  </si>
  <si>
    <t>rFVIIa LifeYears</t>
  </si>
  <si>
    <t>rFVIIa QALY</t>
  </si>
  <si>
    <t>STOCHASTIC PARAMETERS</t>
  </si>
  <si>
    <t>COST-EFFECTIVENESS RESULTS</t>
  </si>
  <si>
    <t>cRatio</t>
  </si>
  <si>
    <t>Transition probabiliites</t>
  </si>
  <si>
    <t>State costs</t>
  </si>
  <si>
    <t>Utilities for health states</t>
  </si>
  <si>
    <t>Incremental</t>
  </si>
  <si>
    <t>Net monetary benefits</t>
  </si>
  <si>
    <t>Cost-effective?</t>
  </si>
  <si>
    <t>Acceptability curves</t>
  </si>
  <si>
    <t>Trial</t>
  </si>
  <si>
    <t>rFVIIa (inc)</t>
  </si>
  <si>
    <t>cBleedingCont</t>
  </si>
  <si>
    <t>Gamma</t>
  </si>
  <si>
    <t>cICUday</t>
  </si>
  <si>
    <t>Becker's</t>
  </si>
  <si>
    <t>2015 Cost inflated to 2017</t>
  </si>
  <si>
    <t>One time cost for thrombosis</t>
  </si>
  <si>
    <t>One time cost for thrombosis state but cont bleeding continue</t>
  </si>
  <si>
    <t>FEIBA = $24920 per day</t>
  </si>
  <si>
    <t>rFVIIa = $141120 per day</t>
  </si>
  <si>
    <t>If stop bleeding = cost is 0.  If bleeding continues, then cost is $1878 per day in 2015 or $1,949.36 in 2016 dollars</t>
  </si>
  <si>
    <t>If thombosis then it will be ICU day cost = $5,046.53 in 2016 dollars</t>
  </si>
  <si>
    <t>Results (deterministic)</t>
  </si>
  <si>
    <t>Results (probabilistic)</t>
  </si>
  <si>
    <t>UC</t>
  </si>
  <si>
    <t>PH+UC</t>
  </si>
  <si>
    <t>difference</t>
  </si>
  <si>
    <t>ICERs:</t>
  </si>
  <si>
    <t>PH+UCvUC</t>
  </si>
  <si>
    <t xml:space="preserve"> / QALY</t>
  </si>
  <si>
    <t>INMB:</t>
  </si>
  <si>
    <t>WTP</t>
  </si>
  <si>
    <t>Scenario Result (deterministic)</t>
  </si>
  <si>
    <t>Cost-effectiveness of FEIBA vs rFIIa</t>
  </si>
  <si>
    <t>rFIIa</t>
  </si>
  <si>
    <t>rFVIIa(inc)</t>
  </si>
  <si>
    <t>rFIIa vs FEIBA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</si>
</sst>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0.000000"/>
    <numFmt numFmtId="165" formatCode="0.000"/>
    <numFmt numFmtId="166" formatCode="0.00_ ;\-0.00\ "/>
    <numFmt numFmtId="167" formatCode="_-&quot;£&quot;* #,##0.00_-;\-&quot;£&quot;* #,##0.00_-;_-&quot;£&quot;* &quot;-&quot;??_-;_-@_-"/>
    <numFmt numFmtId="168" formatCode="&quot;$&quot;#,##0"/>
    <numFmt numFmtId="169" formatCode="_-&quot;£&quot;* #,##0_-;\-&quot;£&quot;* #,##0_-;_-&quot;£&quot;* &quot;-&quot;??_-;_-@_-"/>
  </numFmts>
  <fonts count="35" x14ac:knownFonts="1">
    <font>
      <sz val="11"/>
      <color theme="1"/>
      <name val="Calibri"/>
      <family val="2"/>
      <scheme val="minor"/>
    </font>
    <font>
      <sz val="11"/>
      <color theme="1"/>
      <name val="Calibri"/>
      <family val="2"/>
      <scheme val="minor"/>
    </font>
    <font>
      <b/>
      <sz val="11"/>
      <color theme="1"/>
      <name val="Calibri"/>
      <family val="2"/>
      <scheme val="minor"/>
    </font>
    <font>
      <sz val="10"/>
      <color indexed="10"/>
      <name val="Arial"/>
      <family val="2"/>
    </font>
    <font>
      <i/>
      <sz val="10"/>
      <name val="Arial"/>
      <family val="2"/>
    </font>
    <font>
      <b/>
      <sz val="12"/>
      <name val="Arial"/>
      <family val="2"/>
    </font>
    <font>
      <sz val="10"/>
      <name val="Arial"/>
      <family val="2"/>
    </font>
    <font>
      <b/>
      <sz val="10"/>
      <color indexed="17"/>
      <name val="Arial"/>
      <family val="2"/>
    </font>
    <font>
      <sz val="10"/>
      <color indexed="9"/>
      <name val="Arial"/>
      <family val="2"/>
    </font>
    <font>
      <b/>
      <sz val="10"/>
      <name val="Arial"/>
      <family val="2"/>
    </font>
    <font>
      <sz val="10"/>
      <color indexed="16"/>
      <name val="Arial"/>
      <family val="2"/>
    </font>
    <font>
      <sz val="10"/>
      <color indexed="18"/>
      <name val="Arial"/>
      <family val="2"/>
    </font>
    <font>
      <sz val="11"/>
      <color rgb="FF25171C"/>
      <name val="Times New Roman"/>
      <family val="1"/>
    </font>
    <font>
      <b/>
      <sz val="16"/>
      <name val="Arial"/>
      <family val="2"/>
    </font>
    <font>
      <b/>
      <sz val="10"/>
      <color indexed="56"/>
      <name val="Arial"/>
      <family val="2"/>
    </font>
    <font>
      <b/>
      <sz val="10"/>
      <color indexed="10"/>
      <name val="Arial"/>
      <family val="2"/>
    </font>
    <font>
      <b/>
      <i/>
      <sz val="10"/>
      <name val="Arial"/>
      <family val="2"/>
    </font>
    <font>
      <b/>
      <sz val="10"/>
      <color rgb="FF0070C0"/>
      <name val="Arial"/>
      <family val="2"/>
    </font>
    <font>
      <b/>
      <sz val="11"/>
      <color rgb="FF0070C0"/>
      <name val="Arial"/>
      <family val="2"/>
    </font>
    <font>
      <b/>
      <sz val="12"/>
      <color indexed="32"/>
      <name val="Arial"/>
      <family val="2"/>
    </font>
    <font>
      <b/>
      <sz val="12"/>
      <color indexed="18"/>
      <name val="Arial"/>
      <family val="2"/>
    </font>
    <font>
      <i/>
      <sz val="10"/>
      <color indexed="18"/>
      <name val="Arial"/>
      <family val="2"/>
    </font>
    <font>
      <b/>
      <sz val="14"/>
      <color theme="1"/>
      <name val="Calibri"/>
      <family val="2"/>
      <scheme val="minor"/>
    </font>
    <font>
      <b/>
      <sz val="16"/>
      <color theme="4"/>
      <name val="Calibri"/>
      <family val="2"/>
      <scheme val="minor"/>
    </font>
    <font>
      <sz val="10"/>
      <color theme="4"/>
      <name val="Arial"/>
      <family val="2"/>
    </font>
    <font>
      <sz val="9"/>
      <color indexed="81"/>
      <name val="Tahoma"/>
      <family val="2"/>
    </font>
    <font>
      <b/>
      <sz val="9"/>
      <color indexed="81"/>
      <name val="Tahoma"/>
      <family val="2"/>
    </font>
    <font>
      <sz val="10"/>
      <color indexed="22"/>
      <name val="Arial"/>
      <family val="2"/>
    </font>
    <font>
      <b/>
      <sz val="10"/>
      <color indexed="18"/>
      <name val="Arial"/>
      <family val="2"/>
    </font>
    <font>
      <sz val="10"/>
      <color indexed="8"/>
      <name val="Arial"/>
      <family val="2"/>
    </font>
    <font>
      <u/>
      <sz val="11"/>
      <color theme="10"/>
      <name val="Calibri"/>
      <family val="2"/>
      <scheme val="minor"/>
    </font>
    <font>
      <sz val="11"/>
      <color rgb="FF000000"/>
      <name val="Calibri"/>
      <family val="2"/>
      <scheme val="minor"/>
    </font>
    <font>
      <sz val="10"/>
      <color rgb="FF000000"/>
      <name val="Arial"/>
      <family val="2"/>
    </font>
    <font>
      <b/>
      <sz val="10"/>
      <color indexed="9"/>
      <name val="Arial"/>
      <family val="2"/>
    </font>
    <font>
      <sz val="8"/>
      <color rgb="FF000000"/>
      <name val="Segoe UI"/>
      <family val="2"/>
    </font>
  </fonts>
  <fills count="10">
    <fill>
      <patternFill patternType="none"/>
    </fill>
    <fill>
      <patternFill patternType="gray125"/>
    </fill>
    <fill>
      <patternFill patternType="solid">
        <fgColor indexed="9"/>
        <bgColor indexed="64"/>
      </patternFill>
    </fill>
    <fill>
      <patternFill patternType="solid">
        <fgColor indexed="17"/>
        <bgColor indexed="64"/>
      </patternFill>
    </fill>
    <fill>
      <patternFill patternType="solid">
        <fgColor theme="7" tint="0.79998168889431442"/>
        <bgColor indexed="64"/>
      </patternFill>
    </fill>
    <fill>
      <patternFill patternType="solid">
        <fgColor rgb="FFFFFF00"/>
        <bgColor indexed="64"/>
      </patternFill>
    </fill>
    <fill>
      <patternFill patternType="solid">
        <fgColor indexed="43"/>
        <bgColor indexed="64"/>
      </patternFill>
    </fill>
    <fill>
      <patternFill patternType="solid">
        <fgColor indexed="22"/>
        <bgColor indexed="64"/>
      </patternFill>
    </fill>
    <fill>
      <patternFill patternType="solid">
        <fgColor indexed="18"/>
        <bgColor indexed="64"/>
      </patternFill>
    </fill>
    <fill>
      <patternFill patternType="solid">
        <fgColor indexed="44"/>
        <bgColor indexed="64"/>
      </patternFill>
    </fill>
  </fills>
  <borders count="10">
    <border>
      <left/>
      <right/>
      <top/>
      <bottom/>
      <diagonal/>
    </border>
    <border>
      <left style="thick">
        <color indexed="17"/>
      </left>
      <right/>
      <top style="thick">
        <color indexed="17"/>
      </top>
      <bottom style="thick">
        <color indexed="17"/>
      </bottom>
      <diagonal/>
    </border>
    <border>
      <left/>
      <right style="thick">
        <color indexed="17"/>
      </right>
      <top style="thick">
        <color indexed="17"/>
      </top>
      <bottom style="thick">
        <color indexed="17"/>
      </bottom>
      <diagonal/>
    </border>
    <border>
      <left style="dotted">
        <color auto="1"/>
      </left>
      <right style="dotted">
        <color auto="1"/>
      </right>
      <top style="dotted">
        <color auto="1"/>
      </top>
      <bottom style="dotted">
        <color auto="1"/>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17600024414813E-2"/>
      </left>
      <right style="thin">
        <color theme="2" tint="-9.9917600024414813E-2"/>
      </right>
      <top style="thin">
        <color theme="2" tint="-9.9917600024414813E-2"/>
      </top>
      <bottom style="thin">
        <color theme="2" tint="-9.9917600024414813E-2"/>
      </bottom>
      <diagonal/>
    </border>
    <border>
      <left style="thin">
        <color theme="2" tint="-9.9948118533890809E-2"/>
      </left>
      <right style="thin">
        <color theme="2" tint="-9.9948118533890809E-2"/>
      </right>
      <top/>
      <bottom style="thin">
        <color theme="2" tint="-9.9948118533890809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s>
  <cellStyleXfs count="8">
    <xf numFmtId="0" fontId="0" fillId="0" borderId="0"/>
    <xf numFmtId="43" fontId="1" fillId="0" borderId="0" applyFont="0" applyFill="0" applyBorder="0" applyAlignment="0" applyProtection="0"/>
    <xf numFmtId="0" fontId="6" fillId="0" borderId="0"/>
    <xf numFmtId="9" fontId="1" fillId="0" borderId="0" applyFont="0" applyFill="0" applyBorder="0" applyAlignment="0" applyProtection="0"/>
    <xf numFmtId="0" fontId="30" fillId="0" borderId="0" applyNumberFormat="0" applyFill="0" applyBorder="0" applyAlignment="0" applyProtection="0"/>
    <xf numFmtId="0" fontId="6" fillId="0" borderId="0"/>
    <xf numFmtId="167" fontId="6" fillId="0" borderId="0" applyFont="0" applyFill="0" applyBorder="0" applyAlignment="0" applyProtection="0"/>
    <xf numFmtId="167" fontId="6" fillId="0" borderId="0" applyFont="0" applyFill="0" applyBorder="0" applyAlignment="0" applyProtection="0"/>
  </cellStyleXfs>
  <cellXfs count="103">
    <xf numFmtId="0" fontId="0" fillId="0" borderId="0" xfId="0"/>
    <xf numFmtId="0" fontId="3" fillId="0" borderId="0" xfId="0" applyFont="1"/>
    <xf numFmtId="0" fontId="0" fillId="0" borderId="0" xfId="0" applyAlignment="1">
      <alignment horizontal="center"/>
    </xf>
    <xf numFmtId="43" fontId="4" fillId="0" borderId="0" xfId="1" quotePrefix="1" applyFont="1" applyAlignment="1">
      <alignment horizontal="center"/>
    </xf>
    <xf numFmtId="0" fontId="5" fillId="0" borderId="0" xfId="0" applyFont="1"/>
    <xf numFmtId="0" fontId="6" fillId="0" borderId="0" xfId="0" applyFont="1"/>
    <xf numFmtId="0" fontId="7" fillId="2" borderId="1" xfId="0" applyFont="1" applyFill="1" applyBorder="1" applyAlignment="1">
      <alignment horizontal="center"/>
    </xf>
    <xf numFmtId="0" fontId="8" fillId="3" borderId="2" xfId="0" applyFont="1" applyFill="1" applyBorder="1"/>
    <xf numFmtId="0" fontId="9" fillId="0" borderId="0" xfId="0" applyFont="1"/>
    <xf numFmtId="0" fontId="2" fillId="0" borderId="0" xfId="0" applyFont="1"/>
    <xf numFmtId="0" fontId="10" fillId="0" borderId="0" xfId="0" applyFont="1"/>
    <xf numFmtId="0" fontId="11" fillId="0" borderId="0" xfId="0" applyFont="1"/>
    <xf numFmtId="0" fontId="4" fillId="0" borderId="0" xfId="0" applyFont="1"/>
    <xf numFmtId="0" fontId="0" fillId="0" borderId="0" xfId="0" applyAlignment="1">
      <alignment horizontal="right"/>
    </xf>
    <xf numFmtId="0" fontId="0" fillId="0" borderId="0" xfId="0" applyFill="1" applyAlignment="1">
      <alignment horizontal="right"/>
    </xf>
    <xf numFmtId="0" fontId="12" fillId="0" borderId="0" xfId="0" applyFont="1"/>
    <xf numFmtId="164" fontId="10" fillId="0" borderId="0" xfId="0" applyNumberFormat="1" applyFont="1"/>
    <xf numFmtId="165" fontId="6" fillId="0" borderId="0" xfId="0" applyNumberFormat="1" applyFont="1" applyFill="1"/>
    <xf numFmtId="2" fontId="6" fillId="0" borderId="0" xfId="0" applyNumberFormat="1" applyFont="1"/>
    <xf numFmtId="165" fontId="6" fillId="0" borderId="0" xfId="0" applyNumberFormat="1" applyFont="1"/>
    <xf numFmtId="165" fontId="9" fillId="0" borderId="0" xfId="0" applyNumberFormat="1" applyFont="1" applyFill="1"/>
    <xf numFmtId="1" fontId="6" fillId="0" borderId="0" xfId="0" applyNumberFormat="1" applyFont="1"/>
    <xf numFmtId="2" fontId="11" fillId="0" borderId="0" xfId="0" applyNumberFormat="1" applyFont="1" applyFill="1"/>
    <xf numFmtId="165" fontId="0" fillId="0" borderId="0" xfId="0" applyNumberFormat="1"/>
    <xf numFmtId="2" fontId="0" fillId="0" borderId="0" xfId="0" applyNumberFormat="1"/>
    <xf numFmtId="0" fontId="13" fillId="0" borderId="0" xfId="0" applyFont="1" applyAlignment="1">
      <alignment horizontal="center"/>
    </xf>
    <xf numFmtId="0" fontId="9" fillId="0" borderId="0" xfId="0" quotePrefix="1" applyFont="1"/>
    <xf numFmtId="0" fontId="17" fillId="0" borderId="0" xfId="0" applyFont="1"/>
    <xf numFmtId="0" fontId="18" fillId="0" borderId="0" xfId="0" applyFont="1"/>
    <xf numFmtId="164" fontId="10" fillId="4" borderId="3" xfId="0" applyNumberFormat="1" applyFont="1" applyFill="1" applyBorder="1"/>
    <xf numFmtId="0" fontId="10" fillId="4" borderId="3" xfId="0" applyFont="1" applyFill="1" applyBorder="1"/>
    <xf numFmtId="165" fontId="6" fillId="4" borderId="3" xfId="0" applyNumberFormat="1" applyFont="1" applyFill="1" applyBorder="1"/>
    <xf numFmtId="165" fontId="9" fillId="4" borderId="3" xfId="0" applyNumberFormat="1" applyFont="1" applyFill="1" applyBorder="1"/>
    <xf numFmtId="2" fontId="6" fillId="4" borderId="3" xfId="0" applyNumberFormat="1" applyFont="1" applyFill="1" applyBorder="1"/>
    <xf numFmtId="0" fontId="19" fillId="0" borderId="0" xfId="0" applyFont="1"/>
    <xf numFmtId="0" fontId="9" fillId="0" borderId="4" xfId="0" applyFont="1" applyBorder="1" applyAlignment="1">
      <alignment horizontal="centerContinuous"/>
    </xf>
    <xf numFmtId="0" fontId="0" fillId="0" borderId="4" xfId="0" applyBorder="1" applyAlignment="1">
      <alignment horizontal="centerContinuous"/>
    </xf>
    <xf numFmtId="0" fontId="20" fillId="0" borderId="0" xfId="0" applyFont="1"/>
    <xf numFmtId="0" fontId="21" fillId="0" borderId="0" xfId="0" applyFont="1"/>
    <xf numFmtId="0" fontId="23" fillId="0" borderId="0" xfId="0" applyFont="1"/>
    <xf numFmtId="0" fontId="0" fillId="0" borderId="4" xfId="0" applyBorder="1"/>
    <xf numFmtId="0" fontId="22" fillId="0" borderId="4" xfId="0" applyFont="1" applyBorder="1"/>
    <xf numFmtId="0" fontId="0" fillId="0" borderId="0" xfId="0" applyAlignment="1">
      <alignment wrapText="1"/>
    </xf>
    <xf numFmtId="165" fontId="6" fillId="5" borderId="0" xfId="0" applyNumberFormat="1" applyFont="1" applyFill="1"/>
    <xf numFmtId="0" fontId="24" fillId="0" borderId="0" xfId="0" applyFont="1"/>
    <xf numFmtId="2" fontId="10" fillId="6" borderId="5" xfId="0" applyNumberFormat="1" applyFont="1" applyFill="1" applyBorder="1" applyAlignment="1">
      <alignment horizontal="right"/>
    </xf>
    <xf numFmtId="0" fontId="0" fillId="5" borderId="6" xfId="0" applyFill="1" applyBorder="1"/>
    <xf numFmtId="0" fontId="0" fillId="5" borderId="8" xfId="0" applyFill="1" applyBorder="1"/>
    <xf numFmtId="0" fontId="0" fillId="5" borderId="7" xfId="0" applyFill="1" applyBorder="1"/>
    <xf numFmtId="0" fontId="0" fillId="5" borderId="9" xfId="0" applyFill="1" applyBorder="1"/>
    <xf numFmtId="14" fontId="0" fillId="0" borderId="0" xfId="0" applyNumberFormat="1" applyAlignment="1">
      <alignment wrapText="1"/>
    </xf>
    <xf numFmtId="0" fontId="0" fillId="7" borderId="0" xfId="0" applyFill="1"/>
    <xf numFmtId="2" fontId="11" fillId="0" borderId="0" xfId="0" applyNumberFormat="1" applyFont="1"/>
    <xf numFmtId="43" fontId="0" fillId="0" borderId="0" xfId="1" applyFont="1"/>
    <xf numFmtId="166" fontId="0" fillId="0" borderId="0" xfId="1" applyNumberFormat="1" applyFont="1"/>
    <xf numFmtId="1" fontId="0" fillId="0" borderId="0" xfId="0" applyNumberFormat="1"/>
    <xf numFmtId="0" fontId="27" fillId="7" borderId="0" xfId="0" applyFont="1" applyFill="1"/>
    <xf numFmtId="2" fontId="21" fillId="0" borderId="0" xfId="0" applyNumberFormat="1" applyFont="1"/>
    <xf numFmtId="166" fontId="28" fillId="0" borderId="0" xfId="1" applyNumberFormat="1" applyFont="1"/>
    <xf numFmtId="1" fontId="0" fillId="0" borderId="0" xfId="1" applyNumberFormat="1" applyFont="1"/>
    <xf numFmtId="0" fontId="29" fillId="0" borderId="0" xfId="0" applyFont="1"/>
    <xf numFmtId="0" fontId="29" fillId="7" borderId="0" xfId="0" applyFont="1" applyFill="1"/>
    <xf numFmtId="2" fontId="29" fillId="0" borderId="0" xfId="3" applyNumberFormat="1" applyFont="1"/>
    <xf numFmtId="2" fontId="29" fillId="0" borderId="0" xfId="0" applyNumberFormat="1" applyFont="1"/>
    <xf numFmtId="43" fontId="29" fillId="0" borderId="0" xfId="1" applyFont="1"/>
    <xf numFmtId="2" fontId="0" fillId="6" borderId="5" xfId="0" applyNumberFormat="1" applyFill="1" applyBorder="1"/>
    <xf numFmtId="43" fontId="0" fillId="6" borderId="5" xfId="1" applyFont="1" applyFill="1" applyBorder="1"/>
    <xf numFmtId="166" fontId="0" fillId="6" borderId="5" xfId="1" applyNumberFormat="1" applyFont="1" applyFill="1" applyBorder="1"/>
    <xf numFmtId="0" fontId="0" fillId="6" borderId="5" xfId="0" applyFill="1" applyBorder="1"/>
    <xf numFmtId="1" fontId="0" fillId="6" borderId="5" xfId="0" applyNumberFormat="1" applyFill="1" applyBorder="1"/>
    <xf numFmtId="0" fontId="30" fillId="0" borderId="0" xfId="4"/>
    <xf numFmtId="0" fontId="5" fillId="0" borderId="0" xfId="5" applyFont="1"/>
    <xf numFmtId="0" fontId="6" fillId="0" borderId="0" xfId="5"/>
    <xf numFmtId="0" fontId="0" fillId="0" borderId="0" xfId="0"/>
    <xf numFmtId="0" fontId="10" fillId="4" borderId="3" xfId="0" applyFont="1" applyFill="1" applyBorder="1"/>
    <xf numFmtId="165" fontId="9" fillId="4" borderId="3" xfId="0" applyNumberFormat="1" applyFont="1" applyFill="1" applyBorder="1"/>
    <xf numFmtId="2" fontId="6" fillId="4" borderId="3" xfId="0" applyNumberFormat="1" applyFont="1" applyFill="1" applyBorder="1"/>
    <xf numFmtId="0" fontId="0" fillId="5" borderId="6" xfId="0" applyFill="1" applyBorder="1"/>
    <xf numFmtId="0" fontId="0" fillId="5" borderId="9" xfId="0" applyFill="1" applyBorder="1"/>
    <xf numFmtId="0" fontId="0" fillId="6" borderId="5" xfId="0" applyFill="1" applyBorder="1"/>
    <xf numFmtId="0" fontId="31" fillId="0" borderId="0" xfId="0" applyFont="1"/>
    <xf numFmtId="0" fontId="33" fillId="8" borderId="0" xfId="5" applyFont="1" applyFill="1" applyBorder="1"/>
    <xf numFmtId="0" fontId="6" fillId="8" borderId="0" xfId="5" applyFill="1" applyBorder="1"/>
    <xf numFmtId="0" fontId="33" fillId="8" borderId="0" xfId="0" applyFont="1" applyFill="1" applyBorder="1"/>
    <xf numFmtId="0" fontId="0" fillId="8" borderId="0" xfId="0" applyFill="1" applyBorder="1"/>
    <xf numFmtId="0" fontId="6" fillId="9" borderId="0" xfId="5" applyFill="1" applyBorder="1"/>
    <xf numFmtId="0" fontId="0" fillId="9" borderId="0" xfId="0" applyFill="1" applyBorder="1"/>
    <xf numFmtId="0" fontId="6" fillId="9" borderId="0" xfId="5" applyFill="1" applyBorder="1" applyAlignment="1">
      <alignment horizontal="right"/>
    </xf>
    <xf numFmtId="0" fontId="6" fillId="9" borderId="0" xfId="5" applyFont="1" applyFill="1" applyBorder="1" applyAlignment="1">
      <alignment horizontal="right"/>
    </xf>
    <xf numFmtId="0" fontId="0" fillId="9" borderId="0" xfId="0" applyFill="1" applyBorder="1" applyAlignment="1">
      <alignment horizontal="right"/>
    </xf>
    <xf numFmtId="0" fontId="6" fillId="9" borderId="0" xfId="5" applyFont="1" applyFill="1" applyBorder="1"/>
    <xf numFmtId="168" fontId="0" fillId="6" borderId="5" xfId="6" applyNumberFormat="1" applyFont="1" applyFill="1" applyBorder="1" applyAlignment="1">
      <alignment horizontal="right"/>
    </xf>
    <xf numFmtId="2" fontId="6" fillId="6" borderId="5" xfId="5" applyNumberFormat="1" applyFill="1" applyBorder="1" applyAlignment="1">
      <alignment horizontal="right"/>
    </xf>
    <xf numFmtId="2" fontId="6" fillId="9" borderId="0" xfId="5" applyNumberFormat="1" applyFill="1" applyBorder="1"/>
    <xf numFmtId="168" fontId="0" fillId="6" borderId="5" xfId="7" applyNumberFormat="1" applyFont="1" applyFill="1" applyBorder="1" applyAlignment="1">
      <alignment horizontal="right"/>
    </xf>
    <xf numFmtId="2" fontId="0" fillId="6" borderId="5" xfId="0" applyNumberFormat="1" applyFill="1" applyBorder="1" applyAlignment="1">
      <alignment horizontal="right"/>
    </xf>
    <xf numFmtId="2" fontId="0" fillId="9" borderId="0" xfId="0" applyNumberFormat="1" applyFill="1" applyBorder="1"/>
    <xf numFmtId="169" fontId="0" fillId="9" borderId="0" xfId="6" applyNumberFormat="1" applyFont="1" applyFill="1" applyBorder="1" applyAlignment="1">
      <alignment horizontal="right"/>
    </xf>
    <xf numFmtId="2" fontId="6" fillId="9" borderId="0" xfId="5" applyNumberFormat="1" applyFill="1" applyBorder="1" applyAlignment="1">
      <alignment horizontal="right"/>
    </xf>
    <xf numFmtId="169" fontId="0" fillId="9" borderId="0" xfId="7" applyNumberFormat="1" applyFont="1" applyFill="1" applyBorder="1" applyAlignment="1">
      <alignment horizontal="right"/>
    </xf>
    <xf numFmtId="2" fontId="0" fillId="9" borderId="0" xfId="0" applyNumberFormat="1" applyFill="1" applyBorder="1" applyAlignment="1">
      <alignment horizontal="right"/>
    </xf>
    <xf numFmtId="169" fontId="0" fillId="9" borderId="0" xfId="6" applyNumberFormat="1" applyFont="1" applyFill="1" applyBorder="1"/>
    <xf numFmtId="43" fontId="0" fillId="6" borderId="5" xfId="0" applyNumberFormat="1" applyFill="1" applyBorder="1"/>
  </cellXfs>
  <cellStyles count="8">
    <cellStyle name="Comma" xfId="1" builtinId="3"/>
    <cellStyle name="Currency 2" xfId="7"/>
    <cellStyle name="Currency 3" xfId="6"/>
    <cellStyle name="Hyperlink" xfId="4" builtinId="8"/>
    <cellStyle name="Normal" xfId="0" builtinId="0"/>
    <cellStyle name="Normal 2" xfId="2"/>
    <cellStyle name="Normal 3" xfId="5"/>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chartsheet" Target="chartsheets/sheet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externalLink" Target="externalLinks/externalLink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0"/>
          <c:order val="0"/>
          <c:tx>
            <c:v>FEIBA</c:v>
          </c:tx>
          <c:xVal>
            <c:numRef>
              <c:f>Simulation!$AD$6:$AD$83</c:f>
              <c:numCache>
                <c:formatCode>General</c:formatCode>
                <c:ptCount val="7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pt idx="58">
                  <c:v>105000</c:v>
                </c:pt>
                <c:pt idx="59">
                  <c:v>110000</c:v>
                </c:pt>
                <c:pt idx="60">
                  <c:v>115000</c:v>
                </c:pt>
                <c:pt idx="61">
                  <c:v>120000</c:v>
                </c:pt>
                <c:pt idx="62">
                  <c:v>125000</c:v>
                </c:pt>
                <c:pt idx="63">
                  <c:v>130000</c:v>
                </c:pt>
                <c:pt idx="64">
                  <c:v>135000</c:v>
                </c:pt>
                <c:pt idx="65">
                  <c:v>140000</c:v>
                </c:pt>
                <c:pt idx="66">
                  <c:v>145000</c:v>
                </c:pt>
                <c:pt idx="67">
                  <c:v>150000</c:v>
                </c:pt>
                <c:pt idx="68">
                  <c:v>155000</c:v>
                </c:pt>
                <c:pt idx="69">
                  <c:v>160000</c:v>
                </c:pt>
                <c:pt idx="70">
                  <c:v>165000</c:v>
                </c:pt>
                <c:pt idx="71">
                  <c:v>170000</c:v>
                </c:pt>
                <c:pt idx="72">
                  <c:v>175000</c:v>
                </c:pt>
                <c:pt idx="73">
                  <c:v>180000</c:v>
                </c:pt>
                <c:pt idx="74">
                  <c:v>185000</c:v>
                </c:pt>
                <c:pt idx="75">
                  <c:v>190000</c:v>
                </c:pt>
                <c:pt idx="76">
                  <c:v>195000</c:v>
                </c:pt>
                <c:pt idx="77">
                  <c:v>200000</c:v>
                </c:pt>
              </c:numCache>
            </c:numRef>
          </c:xVal>
          <c:yVal>
            <c:numRef>
              <c:f>Simulation!$AE$6:$AE$83</c:f>
              <c:numCache>
                <c:formatCode>General</c:formatCode>
                <c:ptCount val="78"/>
                <c:pt idx="0">
                  <c:v>0.99299999999999999</c:v>
                </c:pt>
                <c:pt idx="1">
                  <c:v>0.99299999999999999</c:v>
                </c:pt>
                <c:pt idx="2">
                  <c:v>0.99299999999999999</c:v>
                </c:pt>
                <c:pt idx="3">
                  <c:v>0.99299999999999999</c:v>
                </c:pt>
                <c:pt idx="4">
                  <c:v>0.99299999999999999</c:v>
                </c:pt>
                <c:pt idx="5">
                  <c:v>0.99299999999999999</c:v>
                </c:pt>
                <c:pt idx="6">
                  <c:v>0.99299999999999999</c:v>
                </c:pt>
                <c:pt idx="7">
                  <c:v>0.99299999999999999</c:v>
                </c:pt>
                <c:pt idx="8">
                  <c:v>0.99299999999999999</c:v>
                </c:pt>
                <c:pt idx="9">
                  <c:v>0.99299999999999999</c:v>
                </c:pt>
                <c:pt idx="10">
                  <c:v>0.99299999999999999</c:v>
                </c:pt>
                <c:pt idx="11">
                  <c:v>0.99199999999999999</c:v>
                </c:pt>
                <c:pt idx="12">
                  <c:v>0.99099999999999999</c:v>
                </c:pt>
                <c:pt idx="13">
                  <c:v>0.99</c:v>
                </c:pt>
                <c:pt idx="14">
                  <c:v>0.98899999999999999</c:v>
                </c:pt>
                <c:pt idx="15">
                  <c:v>0.98799999999999999</c:v>
                </c:pt>
                <c:pt idx="16">
                  <c:v>0.98799999999999999</c:v>
                </c:pt>
                <c:pt idx="17">
                  <c:v>0.98799999999999999</c:v>
                </c:pt>
                <c:pt idx="18">
                  <c:v>0.98699999999999999</c:v>
                </c:pt>
                <c:pt idx="19">
                  <c:v>0.98599999999999999</c:v>
                </c:pt>
                <c:pt idx="20">
                  <c:v>0.98199999999999998</c:v>
                </c:pt>
                <c:pt idx="21">
                  <c:v>0.98</c:v>
                </c:pt>
                <c:pt idx="22">
                  <c:v>0.97799999999999998</c:v>
                </c:pt>
                <c:pt idx="23">
                  <c:v>0.97499999999999998</c:v>
                </c:pt>
                <c:pt idx="24">
                  <c:v>0.97299999999999998</c:v>
                </c:pt>
                <c:pt idx="25">
                  <c:v>0.97199999999999998</c:v>
                </c:pt>
                <c:pt idx="26">
                  <c:v>0.96499999999999997</c:v>
                </c:pt>
                <c:pt idx="27">
                  <c:v>0.96399999999999997</c:v>
                </c:pt>
                <c:pt idx="28">
                  <c:v>0.96299999999999997</c:v>
                </c:pt>
                <c:pt idx="29">
                  <c:v>0.95599999999999996</c:v>
                </c:pt>
                <c:pt idx="30">
                  <c:v>0.95499999999999996</c:v>
                </c:pt>
                <c:pt idx="31">
                  <c:v>0.95</c:v>
                </c:pt>
                <c:pt idx="32">
                  <c:v>0.94599999999999995</c:v>
                </c:pt>
                <c:pt idx="33">
                  <c:v>0.94099999999999995</c:v>
                </c:pt>
                <c:pt idx="34">
                  <c:v>0.93500000000000005</c:v>
                </c:pt>
                <c:pt idx="35">
                  <c:v>0.93</c:v>
                </c:pt>
                <c:pt idx="36">
                  <c:v>0.93</c:v>
                </c:pt>
                <c:pt idx="37">
                  <c:v>0.92600000000000005</c:v>
                </c:pt>
                <c:pt idx="38">
                  <c:v>0.91900000000000004</c:v>
                </c:pt>
                <c:pt idx="39">
                  <c:v>0.91500000000000004</c:v>
                </c:pt>
                <c:pt idx="40">
                  <c:v>0.90500000000000003</c:v>
                </c:pt>
                <c:pt idx="41">
                  <c:v>0.90100000000000002</c:v>
                </c:pt>
                <c:pt idx="42">
                  <c:v>0.89800000000000002</c:v>
                </c:pt>
                <c:pt idx="43">
                  <c:v>0.89400000000000002</c:v>
                </c:pt>
                <c:pt idx="44">
                  <c:v>0.876</c:v>
                </c:pt>
                <c:pt idx="45">
                  <c:v>0.84799999999999998</c:v>
                </c:pt>
                <c:pt idx="46">
                  <c:v>0.81599999999999995</c:v>
                </c:pt>
                <c:pt idx="47">
                  <c:v>0.77900000000000003</c:v>
                </c:pt>
                <c:pt idx="48">
                  <c:v>0.752</c:v>
                </c:pt>
                <c:pt idx="49">
                  <c:v>0.73299999999999998</c:v>
                </c:pt>
                <c:pt idx="50">
                  <c:v>0.71099999999999997</c:v>
                </c:pt>
                <c:pt idx="51">
                  <c:v>0.67700000000000005</c:v>
                </c:pt>
                <c:pt idx="52">
                  <c:v>0.65800000000000003</c:v>
                </c:pt>
                <c:pt idx="53">
                  <c:v>0.629</c:v>
                </c:pt>
                <c:pt idx="54">
                  <c:v>0.60699999999999998</c:v>
                </c:pt>
                <c:pt idx="55">
                  <c:v>0.58799999999999997</c:v>
                </c:pt>
                <c:pt idx="56">
                  <c:v>0.55800000000000005</c:v>
                </c:pt>
                <c:pt idx="57">
                  <c:v>0.54300000000000004</c:v>
                </c:pt>
                <c:pt idx="58">
                  <c:v>0.52500000000000002</c:v>
                </c:pt>
                <c:pt idx="59">
                  <c:v>0.51400000000000001</c:v>
                </c:pt>
                <c:pt idx="60">
                  <c:v>0.49299999999999999</c:v>
                </c:pt>
                <c:pt idx="61">
                  <c:v>0.48099999999999998</c:v>
                </c:pt>
                <c:pt idx="62">
                  <c:v>0.46700000000000003</c:v>
                </c:pt>
                <c:pt idx="63">
                  <c:v>0.46</c:v>
                </c:pt>
                <c:pt idx="64">
                  <c:v>0.45</c:v>
                </c:pt>
                <c:pt idx="65">
                  <c:v>0.441</c:v>
                </c:pt>
                <c:pt idx="66">
                  <c:v>0.42899999999999999</c:v>
                </c:pt>
                <c:pt idx="67">
                  <c:v>0.41899999999999998</c:v>
                </c:pt>
                <c:pt idx="68">
                  <c:v>0.40500000000000003</c:v>
                </c:pt>
                <c:pt idx="69">
                  <c:v>0.39300000000000002</c:v>
                </c:pt>
                <c:pt idx="70">
                  <c:v>0.38800000000000001</c:v>
                </c:pt>
                <c:pt idx="71">
                  <c:v>0.38300000000000001</c:v>
                </c:pt>
                <c:pt idx="72">
                  <c:v>0.36499999999999999</c:v>
                </c:pt>
                <c:pt idx="73">
                  <c:v>0.35899999999999999</c:v>
                </c:pt>
                <c:pt idx="74">
                  <c:v>0.35599999999999998</c:v>
                </c:pt>
                <c:pt idx="75">
                  <c:v>0.34799999999999998</c:v>
                </c:pt>
                <c:pt idx="76">
                  <c:v>0.34</c:v>
                </c:pt>
                <c:pt idx="77">
                  <c:v>0.33500000000000002</c:v>
                </c:pt>
              </c:numCache>
            </c:numRef>
          </c:yVal>
          <c:smooth val="0"/>
        </c:ser>
        <c:ser>
          <c:idx val="1"/>
          <c:order val="1"/>
          <c:tx>
            <c:v>rFIIa</c:v>
          </c:tx>
          <c:xVal>
            <c:numRef>
              <c:f>Simulation!$AD$6:$AD$83</c:f>
              <c:numCache>
                <c:formatCode>General</c:formatCode>
                <c:ptCount val="7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pt idx="58">
                  <c:v>105000</c:v>
                </c:pt>
                <c:pt idx="59">
                  <c:v>110000</c:v>
                </c:pt>
                <c:pt idx="60">
                  <c:v>115000</c:v>
                </c:pt>
                <c:pt idx="61">
                  <c:v>120000</c:v>
                </c:pt>
                <c:pt idx="62">
                  <c:v>125000</c:v>
                </c:pt>
                <c:pt idx="63">
                  <c:v>130000</c:v>
                </c:pt>
                <c:pt idx="64">
                  <c:v>135000</c:v>
                </c:pt>
                <c:pt idx="65">
                  <c:v>140000</c:v>
                </c:pt>
                <c:pt idx="66">
                  <c:v>145000</c:v>
                </c:pt>
                <c:pt idx="67">
                  <c:v>150000</c:v>
                </c:pt>
                <c:pt idx="68">
                  <c:v>155000</c:v>
                </c:pt>
                <c:pt idx="69">
                  <c:v>160000</c:v>
                </c:pt>
                <c:pt idx="70">
                  <c:v>165000</c:v>
                </c:pt>
                <c:pt idx="71">
                  <c:v>170000</c:v>
                </c:pt>
                <c:pt idx="72">
                  <c:v>175000</c:v>
                </c:pt>
                <c:pt idx="73">
                  <c:v>180000</c:v>
                </c:pt>
                <c:pt idx="74">
                  <c:v>185000</c:v>
                </c:pt>
                <c:pt idx="75">
                  <c:v>190000</c:v>
                </c:pt>
                <c:pt idx="76">
                  <c:v>195000</c:v>
                </c:pt>
                <c:pt idx="77">
                  <c:v>200000</c:v>
                </c:pt>
              </c:numCache>
            </c:numRef>
          </c:xVal>
          <c:yVal>
            <c:numRef>
              <c:f>Simulation!$AG$6:$AG$83</c:f>
              <c:numCache>
                <c:formatCode>General</c:formatCode>
                <c:ptCount val="78"/>
                <c:pt idx="0">
                  <c:v>7.0000000000000001E-3</c:v>
                </c:pt>
                <c:pt idx="1">
                  <c:v>7.0000000000000001E-3</c:v>
                </c:pt>
                <c:pt idx="2">
                  <c:v>7.0000000000000001E-3</c:v>
                </c:pt>
                <c:pt idx="3">
                  <c:v>7.0000000000000001E-3</c:v>
                </c:pt>
                <c:pt idx="4">
                  <c:v>7.0000000000000001E-3</c:v>
                </c:pt>
                <c:pt idx="5">
                  <c:v>7.0000000000000001E-3</c:v>
                </c:pt>
                <c:pt idx="6">
                  <c:v>7.0000000000000001E-3</c:v>
                </c:pt>
                <c:pt idx="7">
                  <c:v>7.0000000000000001E-3</c:v>
                </c:pt>
                <c:pt idx="8">
                  <c:v>7.0000000000000001E-3</c:v>
                </c:pt>
                <c:pt idx="9">
                  <c:v>7.0000000000000001E-3</c:v>
                </c:pt>
                <c:pt idx="10">
                  <c:v>7.0000000000000001E-3</c:v>
                </c:pt>
                <c:pt idx="11">
                  <c:v>8.0000000000000002E-3</c:v>
                </c:pt>
                <c:pt idx="12">
                  <c:v>8.9999999999999993E-3</c:v>
                </c:pt>
                <c:pt idx="13">
                  <c:v>0.01</c:v>
                </c:pt>
                <c:pt idx="14">
                  <c:v>1.0999999999999999E-2</c:v>
                </c:pt>
                <c:pt idx="15">
                  <c:v>1.2E-2</c:v>
                </c:pt>
                <c:pt idx="16">
                  <c:v>1.2E-2</c:v>
                </c:pt>
                <c:pt idx="17">
                  <c:v>1.2E-2</c:v>
                </c:pt>
                <c:pt idx="18">
                  <c:v>1.2999999999999999E-2</c:v>
                </c:pt>
                <c:pt idx="19">
                  <c:v>1.4E-2</c:v>
                </c:pt>
                <c:pt idx="20">
                  <c:v>1.7999999999999999E-2</c:v>
                </c:pt>
                <c:pt idx="21">
                  <c:v>0.02</c:v>
                </c:pt>
                <c:pt idx="22">
                  <c:v>2.1999999999999999E-2</c:v>
                </c:pt>
                <c:pt idx="23">
                  <c:v>2.5000000000000001E-2</c:v>
                </c:pt>
                <c:pt idx="24">
                  <c:v>2.7E-2</c:v>
                </c:pt>
                <c:pt idx="25">
                  <c:v>2.8000000000000001E-2</c:v>
                </c:pt>
                <c:pt idx="26">
                  <c:v>3.5000000000000003E-2</c:v>
                </c:pt>
                <c:pt idx="27">
                  <c:v>3.5999999999999997E-2</c:v>
                </c:pt>
                <c:pt idx="28">
                  <c:v>3.6999999999999998E-2</c:v>
                </c:pt>
                <c:pt idx="29">
                  <c:v>4.3999999999999997E-2</c:v>
                </c:pt>
                <c:pt idx="30">
                  <c:v>4.4999999999999998E-2</c:v>
                </c:pt>
                <c:pt idx="31">
                  <c:v>0.05</c:v>
                </c:pt>
                <c:pt idx="32">
                  <c:v>5.3999999999999999E-2</c:v>
                </c:pt>
                <c:pt idx="33">
                  <c:v>5.8999999999999997E-2</c:v>
                </c:pt>
                <c:pt idx="34">
                  <c:v>6.5000000000000002E-2</c:v>
                </c:pt>
                <c:pt idx="35">
                  <c:v>7.0000000000000007E-2</c:v>
                </c:pt>
                <c:pt idx="36">
                  <c:v>7.0000000000000007E-2</c:v>
                </c:pt>
                <c:pt idx="37">
                  <c:v>7.3999999999999996E-2</c:v>
                </c:pt>
                <c:pt idx="38">
                  <c:v>8.1000000000000003E-2</c:v>
                </c:pt>
                <c:pt idx="39">
                  <c:v>8.5000000000000006E-2</c:v>
                </c:pt>
                <c:pt idx="40">
                  <c:v>9.5000000000000001E-2</c:v>
                </c:pt>
                <c:pt idx="41">
                  <c:v>9.9000000000000005E-2</c:v>
                </c:pt>
                <c:pt idx="42">
                  <c:v>0.10199999999999999</c:v>
                </c:pt>
                <c:pt idx="43">
                  <c:v>0.106</c:v>
                </c:pt>
                <c:pt idx="44">
                  <c:v>0.124</c:v>
                </c:pt>
                <c:pt idx="45">
                  <c:v>0.152</c:v>
                </c:pt>
                <c:pt idx="46">
                  <c:v>0.184</c:v>
                </c:pt>
                <c:pt idx="47">
                  <c:v>0.221</c:v>
                </c:pt>
                <c:pt idx="48">
                  <c:v>0.248</c:v>
                </c:pt>
                <c:pt idx="49">
                  <c:v>0.26700000000000002</c:v>
                </c:pt>
                <c:pt idx="50">
                  <c:v>0.28899999999999998</c:v>
                </c:pt>
                <c:pt idx="51">
                  <c:v>0.32300000000000001</c:v>
                </c:pt>
                <c:pt idx="52">
                  <c:v>0.34200000000000003</c:v>
                </c:pt>
                <c:pt idx="53">
                  <c:v>0.371</c:v>
                </c:pt>
                <c:pt idx="54">
                  <c:v>0.39300000000000002</c:v>
                </c:pt>
                <c:pt idx="55">
                  <c:v>0.41199999999999998</c:v>
                </c:pt>
                <c:pt idx="56">
                  <c:v>0.442</c:v>
                </c:pt>
                <c:pt idx="57">
                  <c:v>0.45700000000000002</c:v>
                </c:pt>
                <c:pt idx="58">
                  <c:v>0.47499999999999998</c:v>
                </c:pt>
                <c:pt idx="59">
                  <c:v>0.48599999999999999</c:v>
                </c:pt>
                <c:pt idx="60">
                  <c:v>0.50700000000000001</c:v>
                </c:pt>
                <c:pt idx="61">
                  <c:v>0.51900000000000002</c:v>
                </c:pt>
                <c:pt idx="62">
                  <c:v>0.53300000000000003</c:v>
                </c:pt>
                <c:pt idx="63">
                  <c:v>0.54</c:v>
                </c:pt>
                <c:pt idx="64">
                  <c:v>0.55000000000000004</c:v>
                </c:pt>
                <c:pt idx="65">
                  <c:v>0.55900000000000005</c:v>
                </c:pt>
                <c:pt idx="66">
                  <c:v>0.57099999999999995</c:v>
                </c:pt>
                <c:pt idx="67">
                  <c:v>0.58099999999999996</c:v>
                </c:pt>
                <c:pt idx="68">
                  <c:v>0.59499999999999997</c:v>
                </c:pt>
                <c:pt idx="69">
                  <c:v>0.60699999999999998</c:v>
                </c:pt>
                <c:pt idx="70">
                  <c:v>0.61199999999999999</c:v>
                </c:pt>
                <c:pt idx="71">
                  <c:v>0.61699999999999999</c:v>
                </c:pt>
                <c:pt idx="72">
                  <c:v>0.63500000000000001</c:v>
                </c:pt>
                <c:pt idx="73">
                  <c:v>0.64100000000000001</c:v>
                </c:pt>
                <c:pt idx="74">
                  <c:v>0.64400000000000002</c:v>
                </c:pt>
                <c:pt idx="75">
                  <c:v>0.65200000000000002</c:v>
                </c:pt>
                <c:pt idx="76">
                  <c:v>0.66</c:v>
                </c:pt>
                <c:pt idx="77">
                  <c:v>0.66500000000000004</c:v>
                </c:pt>
              </c:numCache>
            </c:numRef>
          </c:yVal>
          <c:smooth val="0"/>
        </c:ser>
        <c:dLbls>
          <c:showLegendKey val="0"/>
          <c:showVal val="0"/>
          <c:showCatName val="0"/>
          <c:showSerName val="0"/>
          <c:showPercent val="0"/>
          <c:showBubbleSize val="0"/>
        </c:dLbls>
        <c:axId val="-360730240"/>
        <c:axId val="-360729152"/>
      </c:scatterChart>
      <c:valAx>
        <c:axId val="-360730240"/>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197957240827451"/>
              <c:y val="0.94545111463334452"/>
            </c:manualLayout>
          </c:layout>
          <c:overlay val="0"/>
          <c:spPr>
            <a:noFill/>
            <a:ln w="25400">
              <a:noFill/>
            </a:ln>
          </c:spPr>
        </c:title>
        <c:numFmt formatCode="&quot;$&quot;#,##0" sourceLinked="0"/>
        <c:majorTickMark val="out"/>
        <c:minorTickMark val="none"/>
        <c:tickLblPos val="nextTo"/>
        <c:spPr>
          <a:ln w="3175">
            <a:solidFill>
              <a:srgbClr val="000000"/>
            </a:solidFill>
            <a:prstDash val="solid"/>
          </a:ln>
        </c:spPr>
        <c:txPr>
          <a:bodyPr rot="2700000" vert="horz"/>
          <a:lstStyle/>
          <a:p>
            <a:pPr>
              <a:defRPr sz="1475" b="0" i="0" u="none" strike="noStrike" baseline="0">
                <a:solidFill>
                  <a:srgbClr val="000000"/>
                </a:solidFill>
                <a:latin typeface="Arial"/>
                <a:ea typeface="Arial"/>
                <a:cs typeface="Arial"/>
              </a:defRPr>
            </a:pPr>
            <a:endParaRPr lang="en-US"/>
          </a:p>
        </c:txPr>
        <c:crossAx val="-360729152"/>
        <c:crosses val="autoZero"/>
        <c:crossBetween val="midCat"/>
        <c:majorUnit val="10000"/>
        <c:minorUnit val="1000"/>
      </c:valAx>
      <c:valAx>
        <c:axId val="-360729152"/>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82160392798690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60730240"/>
        <c:crosses val="autoZero"/>
        <c:crossBetween val="midCat"/>
      </c:valAx>
      <c:spPr>
        <a:noFill/>
        <a:ln w="25400">
          <a:noFill/>
        </a:ln>
      </c:spPr>
    </c:plotArea>
    <c:legend>
      <c:legendPos val="r"/>
      <c:layout>
        <c:manualLayout>
          <c:xMode val="edge"/>
          <c:yMode val="edge"/>
          <c:x val="0.73021181716833894"/>
          <c:y val="0.13747954173486088"/>
          <c:w val="9.9855303387357777E-2"/>
          <c:h val="8.824609561689313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27201783723523"/>
          <c:y val="0.11947626841243862"/>
          <c:w val="0.72575250836120397"/>
          <c:h val="0.70867430441898527"/>
        </c:manualLayout>
      </c:layout>
      <c:scatterChart>
        <c:scatterStyle val="lineMarker"/>
        <c:varyColors val="0"/>
        <c:ser>
          <c:idx val="0"/>
          <c:order val="0"/>
          <c:tx>
            <c:v>FEIBA</c:v>
          </c:tx>
          <c:spPr>
            <a:ln w="19050">
              <a:noFill/>
            </a:ln>
          </c:spPr>
          <c:xVal>
            <c:numRef>
              <c:f>Simulation!$O$6:$O$1005</c:f>
              <c:numCache>
                <c:formatCode>_(* #,##0.00_);_(* \(#,##0.00\);_(* "-"??_);_(@_)</c:formatCode>
                <c:ptCount val="1000"/>
                <c:pt idx="0">
                  <c:v>4.153336792868906</c:v>
                </c:pt>
                <c:pt idx="1">
                  <c:v>4.3974762178891202</c:v>
                </c:pt>
                <c:pt idx="2">
                  <c:v>4.234814336973165</c:v>
                </c:pt>
                <c:pt idx="3">
                  <c:v>4.5128970148371659</c:v>
                </c:pt>
                <c:pt idx="4">
                  <c:v>3.834488014032797</c:v>
                </c:pt>
                <c:pt idx="5">
                  <c:v>3.6730849033586828</c:v>
                </c:pt>
                <c:pt idx="6">
                  <c:v>4.3828010012421519</c:v>
                </c:pt>
                <c:pt idx="7">
                  <c:v>3.9906154920751629</c:v>
                </c:pt>
                <c:pt idx="8">
                  <c:v>4.359385114729089</c:v>
                </c:pt>
                <c:pt idx="9">
                  <c:v>4.2617238728621452</c:v>
                </c:pt>
                <c:pt idx="10">
                  <c:v>4.0716614618160305</c:v>
                </c:pt>
                <c:pt idx="11">
                  <c:v>4.5074741154068123</c:v>
                </c:pt>
                <c:pt idx="12">
                  <c:v>3.9748410410941459</c:v>
                </c:pt>
                <c:pt idx="13">
                  <c:v>4.1594434945739049</c:v>
                </c:pt>
                <c:pt idx="14">
                  <c:v>4.3326509828511393</c:v>
                </c:pt>
                <c:pt idx="15">
                  <c:v>4.6559490414012652</c:v>
                </c:pt>
                <c:pt idx="16">
                  <c:v>3.6838029381327169</c:v>
                </c:pt>
                <c:pt idx="17">
                  <c:v>4.5182598843542507</c:v>
                </c:pt>
                <c:pt idx="18">
                  <c:v>4.295700035935293</c:v>
                </c:pt>
                <c:pt idx="19">
                  <c:v>4.2963019943276066</c:v>
                </c:pt>
                <c:pt idx="20">
                  <c:v>4.1595798857725894</c:v>
                </c:pt>
                <c:pt idx="21">
                  <c:v>3.6991850926233512</c:v>
                </c:pt>
                <c:pt idx="22">
                  <c:v>4.1162059539049043</c:v>
                </c:pt>
                <c:pt idx="23">
                  <c:v>3.6727343599619902</c:v>
                </c:pt>
                <c:pt idx="24">
                  <c:v>4.4703093713616218</c:v>
                </c:pt>
                <c:pt idx="25">
                  <c:v>4.5155655492069764</c:v>
                </c:pt>
                <c:pt idx="26">
                  <c:v>3.6413542462776913</c:v>
                </c:pt>
                <c:pt idx="27">
                  <c:v>4.3762043828131612</c:v>
                </c:pt>
                <c:pt idx="28">
                  <c:v>4.0589278383895202</c:v>
                </c:pt>
                <c:pt idx="29">
                  <c:v>3.8932070509981802</c:v>
                </c:pt>
                <c:pt idx="30">
                  <c:v>3.0805117245396088</c:v>
                </c:pt>
                <c:pt idx="31">
                  <c:v>4.0432220075113996</c:v>
                </c:pt>
                <c:pt idx="32">
                  <c:v>4.0917720990580948</c:v>
                </c:pt>
                <c:pt idx="33">
                  <c:v>4.0782472558265335</c:v>
                </c:pt>
                <c:pt idx="34">
                  <c:v>4.3021679134349649</c:v>
                </c:pt>
                <c:pt idx="35">
                  <c:v>4.6144232130551295</c:v>
                </c:pt>
                <c:pt idx="36">
                  <c:v>4.5290369748319046</c:v>
                </c:pt>
                <c:pt idx="37">
                  <c:v>3.9309395806249769</c:v>
                </c:pt>
                <c:pt idx="38">
                  <c:v>3.4751628914549726</c:v>
                </c:pt>
                <c:pt idx="39">
                  <c:v>4.2424158833033907</c:v>
                </c:pt>
                <c:pt idx="40">
                  <c:v>4.3015342073666982</c:v>
                </c:pt>
                <c:pt idx="41">
                  <c:v>3.4315951953949066</c:v>
                </c:pt>
                <c:pt idx="42">
                  <c:v>4.225310218765495</c:v>
                </c:pt>
                <c:pt idx="43">
                  <c:v>3.6320949465245262</c:v>
                </c:pt>
                <c:pt idx="44">
                  <c:v>4.3550768861031823</c:v>
                </c:pt>
                <c:pt idx="45">
                  <c:v>4.0615302723975892</c:v>
                </c:pt>
                <c:pt idx="46">
                  <c:v>4.00700112875748</c:v>
                </c:pt>
                <c:pt idx="47">
                  <c:v>3.8550643429035358</c:v>
                </c:pt>
                <c:pt idx="48">
                  <c:v>4.3006526009709063</c:v>
                </c:pt>
                <c:pt idx="49">
                  <c:v>4.1406018044792088</c:v>
                </c:pt>
                <c:pt idx="50">
                  <c:v>4.4634066068154645</c:v>
                </c:pt>
                <c:pt idx="51">
                  <c:v>3.8292874651087132</c:v>
                </c:pt>
                <c:pt idx="52">
                  <c:v>4.0642609214351815</c:v>
                </c:pt>
                <c:pt idx="53">
                  <c:v>4.1405095010942876</c:v>
                </c:pt>
                <c:pt idx="54">
                  <c:v>3.5124477636429075</c:v>
                </c:pt>
                <c:pt idx="55">
                  <c:v>3.6651129292773401</c:v>
                </c:pt>
                <c:pt idx="56">
                  <c:v>3.6271586867690369</c:v>
                </c:pt>
                <c:pt idx="57">
                  <c:v>3.6807102309351647</c:v>
                </c:pt>
                <c:pt idx="58">
                  <c:v>3.9359599948772774</c:v>
                </c:pt>
                <c:pt idx="59">
                  <c:v>4.3698463987418181</c:v>
                </c:pt>
                <c:pt idx="60">
                  <c:v>4.4280168430503615</c:v>
                </c:pt>
                <c:pt idx="61">
                  <c:v>4.7182348233290776</c:v>
                </c:pt>
                <c:pt idx="62">
                  <c:v>4.4130876255248097</c:v>
                </c:pt>
                <c:pt idx="63">
                  <c:v>4.2723397661544009</c:v>
                </c:pt>
                <c:pt idx="64">
                  <c:v>4.1047588554764722</c:v>
                </c:pt>
                <c:pt idx="65">
                  <c:v>2.9982506126467161</c:v>
                </c:pt>
                <c:pt idx="66">
                  <c:v>4.0946953715062371</c:v>
                </c:pt>
                <c:pt idx="67">
                  <c:v>4.2045634924834996</c:v>
                </c:pt>
                <c:pt idx="68">
                  <c:v>4.1687945994596953</c:v>
                </c:pt>
                <c:pt idx="69">
                  <c:v>3.8711270189361775</c:v>
                </c:pt>
                <c:pt idx="70">
                  <c:v>4.0377052855527733</c:v>
                </c:pt>
                <c:pt idx="71">
                  <c:v>3.5195297296659738</c:v>
                </c:pt>
                <c:pt idx="72">
                  <c:v>3.8363687430684608</c:v>
                </c:pt>
                <c:pt idx="73">
                  <c:v>4.0942509147572421</c:v>
                </c:pt>
                <c:pt idx="74">
                  <c:v>3.977533841381391</c:v>
                </c:pt>
                <c:pt idx="75">
                  <c:v>4.4367208958604376</c:v>
                </c:pt>
                <c:pt idx="76">
                  <c:v>4.2315002227498928</c:v>
                </c:pt>
                <c:pt idx="77">
                  <c:v>3.957977141163068</c:v>
                </c:pt>
                <c:pt idx="78">
                  <c:v>4.4315752317020882</c:v>
                </c:pt>
                <c:pt idx="79">
                  <c:v>3.9463530407149934</c:v>
                </c:pt>
                <c:pt idx="80">
                  <c:v>3.7619364583115891</c:v>
                </c:pt>
                <c:pt idx="81">
                  <c:v>4.3164327721534166</c:v>
                </c:pt>
                <c:pt idx="82">
                  <c:v>4.3012099382762683</c:v>
                </c:pt>
                <c:pt idx="83">
                  <c:v>3.5743800578205507</c:v>
                </c:pt>
                <c:pt idx="84">
                  <c:v>3.5410652441775308</c:v>
                </c:pt>
                <c:pt idx="85">
                  <c:v>3.1140751036688035</c:v>
                </c:pt>
                <c:pt idx="86">
                  <c:v>3.5394850879574205</c:v>
                </c:pt>
                <c:pt idx="87">
                  <c:v>4.0861093163234781</c:v>
                </c:pt>
                <c:pt idx="88">
                  <c:v>3.4910067775047802</c:v>
                </c:pt>
                <c:pt idx="89">
                  <c:v>3.6794357939065399</c:v>
                </c:pt>
                <c:pt idx="90">
                  <c:v>4.0596792166378961</c:v>
                </c:pt>
                <c:pt idx="91">
                  <c:v>4.0058026006478924</c:v>
                </c:pt>
                <c:pt idx="92">
                  <c:v>4.3663652358175478</c:v>
                </c:pt>
                <c:pt idx="93">
                  <c:v>4.2470941982114621</c:v>
                </c:pt>
                <c:pt idx="94">
                  <c:v>4.1416176831025355</c:v>
                </c:pt>
                <c:pt idx="95">
                  <c:v>3.6512050112587571</c:v>
                </c:pt>
                <c:pt idx="96">
                  <c:v>2.8889026982084616</c:v>
                </c:pt>
                <c:pt idx="97">
                  <c:v>3.9234588992513277</c:v>
                </c:pt>
                <c:pt idx="98">
                  <c:v>4.3296094914036027</c:v>
                </c:pt>
                <c:pt idx="99">
                  <c:v>3.1662159895086779</c:v>
                </c:pt>
                <c:pt idx="100">
                  <c:v>4.1079625477135107</c:v>
                </c:pt>
                <c:pt idx="101">
                  <c:v>3.6713510924443038</c:v>
                </c:pt>
                <c:pt idx="102">
                  <c:v>4.1602763541697669</c:v>
                </c:pt>
                <c:pt idx="103">
                  <c:v>4.0993718612832364</c:v>
                </c:pt>
                <c:pt idx="104">
                  <c:v>4.3502441723788072</c:v>
                </c:pt>
                <c:pt idx="105">
                  <c:v>4.0053921382994906</c:v>
                </c:pt>
                <c:pt idx="106">
                  <c:v>3.8460132866909094</c:v>
                </c:pt>
                <c:pt idx="107">
                  <c:v>4.5874590717966237</c:v>
                </c:pt>
                <c:pt idx="108">
                  <c:v>3.5070463744928655</c:v>
                </c:pt>
                <c:pt idx="109">
                  <c:v>4.4577955976109234</c:v>
                </c:pt>
                <c:pt idx="110">
                  <c:v>4.031368005913146</c:v>
                </c:pt>
                <c:pt idx="111">
                  <c:v>3.9132271522920821</c:v>
                </c:pt>
                <c:pt idx="112">
                  <c:v>3.271109597363155</c:v>
                </c:pt>
                <c:pt idx="113">
                  <c:v>4.7582965289184536</c:v>
                </c:pt>
                <c:pt idx="114">
                  <c:v>4.4194808558813747</c:v>
                </c:pt>
                <c:pt idx="115">
                  <c:v>4.0432074488651164</c:v>
                </c:pt>
                <c:pt idx="116">
                  <c:v>4.4378399151677232</c:v>
                </c:pt>
                <c:pt idx="117">
                  <c:v>3.1760478122108715</c:v>
                </c:pt>
                <c:pt idx="118">
                  <c:v>4.1138641928229704</c:v>
                </c:pt>
                <c:pt idx="119">
                  <c:v>4.3884941787440024</c:v>
                </c:pt>
                <c:pt idx="120">
                  <c:v>3.6626437129466094</c:v>
                </c:pt>
                <c:pt idx="121">
                  <c:v>4.341446205295262</c:v>
                </c:pt>
                <c:pt idx="122">
                  <c:v>4.5272604595357322</c:v>
                </c:pt>
                <c:pt idx="123">
                  <c:v>4.5061282402519893</c:v>
                </c:pt>
                <c:pt idx="124">
                  <c:v>4.3596578921053633</c:v>
                </c:pt>
                <c:pt idx="125">
                  <c:v>4.6090893348361339</c:v>
                </c:pt>
                <c:pt idx="126">
                  <c:v>4.1409983800538992</c:v>
                </c:pt>
                <c:pt idx="127">
                  <c:v>3.126768357562355</c:v>
                </c:pt>
                <c:pt idx="128">
                  <c:v>2.93280414368874</c:v>
                </c:pt>
                <c:pt idx="129">
                  <c:v>4.0676234776886497</c:v>
                </c:pt>
                <c:pt idx="130">
                  <c:v>4.1928217659840818</c:v>
                </c:pt>
                <c:pt idx="131">
                  <c:v>3.4489089147241283</c:v>
                </c:pt>
                <c:pt idx="132">
                  <c:v>3.8380066355316194</c:v>
                </c:pt>
                <c:pt idx="133">
                  <c:v>4.1761192458522993</c:v>
                </c:pt>
                <c:pt idx="134">
                  <c:v>3.5932391144481834</c:v>
                </c:pt>
                <c:pt idx="135">
                  <c:v>3.9574194348041991</c:v>
                </c:pt>
                <c:pt idx="136">
                  <c:v>4.4866873694861606</c:v>
                </c:pt>
                <c:pt idx="137">
                  <c:v>4.4088370491630915</c:v>
                </c:pt>
                <c:pt idx="138">
                  <c:v>2.7143254544139275</c:v>
                </c:pt>
                <c:pt idx="139">
                  <c:v>4.0482116578607075</c:v>
                </c:pt>
                <c:pt idx="140">
                  <c:v>4.1891674776778975</c:v>
                </c:pt>
                <c:pt idx="141">
                  <c:v>3.8901313493718082</c:v>
                </c:pt>
                <c:pt idx="142">
                  <c:v>4.3272723411520735</c:v>
                </c:pt>
                <c:pt idx="143">
                  <c:v>4.5809369390569401</c:v>
                </c:pt>
                <c:pt idx="144">
                  <c:v>4.1025125241722797</c:v>
                </c:pt>
                <c:pt idx="145">
                  <c:v>4.3730848848662243</c:v>
                </c:pt>
                <c:pt idx="146">
                  <c:v>4.1310615071819434</c:v>
                </c:pt>
                <c:pt idx="147">
                  <c:v>4.2250013513069797</c:v>
                </c:pt>
                <c:pt idx="148">
                  <c:v>3.4399902178145085</c:v>
                </c:pt>
                <c:pt idx="149">
                  <c:v>3.4804498325394047</c:v>
                </c:pt>
                <c:pt idx="150">
                  <c:v>3.9309258254984085</c:v>
                </c:pt>
                <c:pt idx="151">
                  <c:v>4.3613964817010267</c:v>
                </c:pt>
                <c:pt idx="152">
                  <c:v>4.0540787379427723</c:v>
                </c:pt>
                <c:pt idx="153">
                  <c:v>3.8147700562955089</c:v>
                </c:pt>
                <c:pt idx="154">
                  <c:v>4.2499331203991613</c:v>
                </c:pt>
                <c:pt idx="155">
                  <c:v>3.9994812316953725</c:v>
                </c:pt>
                <c:pt idx="156">
                  <c:v>4.2528469912490561</c:v>
                </c:pt>
                <c:pt idx="157">
                  <c:v>4.2115481704930327</c:v>
                </c:pt>
                <c:pt idx="158">
                  <c:v>4.0823612579780777</c:v>
                </c:pt>
                <c:pt idx="159">
                  <c:v>3.9816318307255161</c:v>
                </c:pt>
                <c:pt idx="160">
                  <c:v>4.3663729344354945</c:v>
                </c:pt>
                <c:pt idx="161">
                  <c:v>3.4249261549539818</c:v>
                </c:pt>
                <c:pt idx="162">
                  <c:v>4.1397543576429623</c:v>
                </c:pt>
                <c:pt idx="163">
                  <c:v>4.2218227244740714</c:v>
                </c:pt>
                <c:pt idx="164">
                  <c:v>4.3689549087476367</c:v>
                </c:pt>
                <c:pt idx="165">
                  <c:v>4.3981841345799024</c:v>
                </c:pt>
                <c:pt idx="166">
                  <c:v>3.2853067252696024</c:v>
                </c:pt>
                <c:pt idx="167">
                  <c:v>4.3942065515409343</c:v>
                </c:pt>
                <c:pt idx="168">
                  <c:v>4.2325675763731994</c:v>
                </c:pt>
                <c:pt idx="169">
                  <c:v>4.199059552768257</c:v>
                </c:pt>
                <c:pt idx="170">
                  <c:v>4.3382598435400066</c:v>
                </c:pt>
                <c:pt idx="171">
                  <c:v>4.3065233413440929</c:v>
                </c:pt>
                <c:pt idx="172">
                  <c:v>4.0285954778065509</c:v>
                </c:pt>
                <c:pt idx="173">
                  <c:v>4.0771366004351766</c:v>
                </c:pt>
                <c:pt idx="174">
                  <c:v>4.3392933759226855</c:v>
                </c:pt>
                <c:pt idx="175">
                  <c:v>4.0518559005889756</c:v>
                </c:pt>
                <c:pt idx="176">
                  <c:v>4.0823735102594432</c:v>
                </c:pt>
                <c:pt idx="177">
                  <c:v>4.2470639072974752</c:v>
                </c:pt>
                <c:pt idx="178">
                  <c:v>3.5086568070130526</c:v>
                </c:pt>
                <c:pt idx="179">
                  <c:v>4.4930411475102252</c:v>
                </c:pt>
                <c:pt idx="180">
                  <c:v>4.5427903095985513</c:v>
                </c:pt>
                <c:pt idx="181">
                  <c:v>3.6023883856465782</c:v>
                </c:pt>
                <c:pt idx="182">
                  <c:v>4.286857992583144</c:v>
                </c:pt>
                <c:pt idx="183">
                  <c:v>4.4076742004443821</c:v>
                </c:pt>
                <c:pt idx="184">
                  <c:v>4.1202728150619166</c:v>
                </c:pt>
                <c:pt idx="185">
                  <c:v>4.0378321366089125</c:v>
                </c:pt>
                <c:pt idx="186">
                  <c:v>3.7002557281232011</c:v>
                </c:pt>
                <c:pt idx="187">
                  <c:v>4.4621376254862</c:v>
                </c:pt>
                <c:pt idx="188">
                  <c:v>4.2780092878204332</c:v>
                </c:pt>
                <c:pt idx="189">
                  <c:v>4.3331644201174138</c:v>
                </c:pt>
                <c:pt idx="190">
                  <c:v>4.2706845807120244</c:v>
                </c:pt>
                <c:pt idx="191">
                  <c:v>4.2795457091398212</c:v>
                </c:pt>
                <c:pt idx="192">
                  <c:v>3.4562075342938137</c:v>
                </c:pt>
                <c:pt idx="193">
                  <c:v>3.4284636316443677</c:v>
                </c:pt>
                <c:pt idx="194">
                  <c:v>4.3916987413881579</c:v>
                </c:pt>
                <c:pt idx="195">
                  <c:v>4.2038236651969658</c:v>
                </c:pt>
                <c:pt idx="196">
                  <c:v>4.3454616574839982</c:v>
                </c:pt>
                <c:pt idx="197">
                  <c:v>3.5959283258623986</c:v>
                </c:pt>
                <c:pt idx="198">
                  <c:v>3.6047441688304906</c:v>
                </c:pt>
                <c:pt idx="199">
                  <c:v>3.9465391357812645</c:v>
                </c:pt>
                <c:pt idx="200">
                  <c:v>4.2722332874236777</c:v>
                </c:pt>
                <c:pt idx="201">
                  <c:v>3.8085790060510152</c:v>
                </c:pt>
                <c:pt idx="202">
                  <c:v>4.5518519867159819</c:v>
                </c:pt>
                <c:pt idx="203">
                  <c:v>3.9036339511910523</c:v>
                </c:pt>
                <c:pt idx="204">
                  <c:v>4.0869261938478889</c:v>
                </c:pt>
                <c:pt idx="205">
                  <c:v>3.6817693382285053</c:v>
                </c:pt>
                <c:pt idx="206">
                  <c:v>3.9386361464375792</c:v>
                </c:pt>
                <c:pt idx="207">
                  <c:v>3.7434673101225662</c:v>
                </c:pt>
                <c:pt idx="208">
                  <c:v>4.2733160910925054</c:v>
                </c:pt>
                <c:pt idx="209">
                  <c:v>3.9278851258969776</c:v>
                </c:pt>
                <c:pt idx="210">
                  <c:v>3.770240800655098</c:v>
                </c:pt>
                <c:pt idx="211">
                  <c:v>4.5361807145293023</c:v>
                </c:pt>
                <c:pt idx="212">
                  <c:v>4.1577146847086039</c:v>
                </c:pt>
                <c:pt idx="213">
                  <c:v>4.4810959117631954</c:v>
                </c:pt>
                <c:pt idx="214">
                  <c:v>4.2197121871298267</c:v>
                </c:pt>
                <c:pt idx="215">
                  <c:v>4.2483010519930353</c:v>
                </c:pt>
                <c:pt idx="216">
                  <c:v>4.1264813189074454</c:v>
                </c:pt>
                <c:pt idx="217">
                  <c:v>4.1984217151449901</c:v>
                </c:pt>
                <c:pt idx="218">
                  <c:v>4.4155527382936279</c:v>
                </c:pt>
                <c:pt idx="219">
                  <c:v>3.8832035479594103</c:v>
                </c:pt>
                <c:pt idx="220">
                  <c:v>3.7036380919187075</c:v>
                </c:pt>
                <c:pt idx="221">
                  <c:v>4.4296531399707515</c:v>
                </c:pt>
                <c:pt idx="222">
                  <c:v>4.5167945656855215</c:v>
                </c:pt>
                <c:pt idx="223">
                  <c:v>4.3542767844108967</c:v>
                </c:pt>
                <c:pt idx="224">
                  <c:v>3.9403809184759315</c:v>
                </c:pt>
                <c:pt idx="225">
                  <c:v>3.7591082065742647</c:v>
                </c:pt>
                <c:pt idx="226">
                  <c:v>3.9773447141040239</c:v>
                </c:pt>
                <c:pt idx="227">
                  <c:v>3.3208837377927116</c:v>
                </c:pt>
                <c:pt idx="228">
                  <c:v>3.2921289813228438</c:v>
                </c:pt>
                <c:pt idx="229">
                  <c:v>4.3893167617224425</c:v>
                </c:pt>
                <c:pt idx="230">
                  <c:v>3.9184791027701085</c:v>
                </c:pt>
                <c:pt idx="231">
                  <c:v>4.046283260251446</c:v>
                </c:pt>
                <c:pt idx="232">
                  <c:v>3.6252714733310638</c:v>
                </c:pt>
                <c:pt idx="233">
                  <c:v>4.264749572173467</c:v>
                </c:pt>
                <c:pt idx="234">
                  <c:v>4.466681254719675</c:v>
                </c:pt>
                <c:pt idx="235">
                  <c:v>4.4764776662481909</c:v>
                </c:pt>
                <c:pt idx="236">
                  <c:v>3.5183836498431202</c:v>
                </c:pt>
                <c:pt idx="237">
                  <c:v>3.6055579184587647</c:v>
                </c:pt>
                <c:pt idx="238">
                  <c:v>4.3096665013553324</c:v>
                </c:pt>
                <c:pt idx="239">
                  <c:v>4.1874838688704497</c:v>
                </c:pt>
                <c:pt idx="240">
                  <c:v>4.1934302177673475</c:v>
                </c:pt>
                <c:pt idx="241">
                  <c:v>4.4370006739657324</c:v>
                </c:pt>
                <c:pt idx="242">
                  <c:v>3.13258875578703</c:v>
                </c:pt>
                <c:pt idx="243">
                  <c:v>4.4271782261569221</c:v>
                </c:pt>
                <c:pt idx="244">
                  <c:v>4.0215278910863637</c:v>
                </c:pt>
                <c:pt idx="245">
                  <c:v>3.5734991469112076</c:v>
                </c:pt>
                <c:pt idx="246">
                  <c:v>3.6609775290347972</c:v>
                </c:pt>
                <c:pt idx="247">
                  <c:v>4.4930040510656184</c:v>
                </c:pt>
                <c:pt idx="248">
                  <c:v>4.4553731762875541</c:v>
                </c:pt>
                <c:pt idx="249">
                  <c:v>4.0928816600138171</c:v>
                </c:pt>
                <c:pt idx="250">
                  <c:v>3.7284116843672077</c:v>
                </c:pt>
                <c:pt idx="251">
                  <c:v>4.2942978621259265</c:v>
                </c:pt>
                <c:pt idx="252">
                  <c:v>3.9170139778896282</c:v>
                </c:pt>
                <c:pt idx="253">
                  <c:v>3.0167265180367755</c:v>
                </c:pt>
                <c:pt idx="254">
                  <c:v>3.1790173782370674</c:v>
                </c:pt>
                <c:pt idx="255">
                  <c:v>3.8895411565033058</c:v>
                </c:pt>
                <c:pt idx="256">
                  <c:v>4.3004387714241545</c:v>
                </c:pt>
                <c:pt idx="257">
                  <c:v>3.5612328564457738</c:v>
                </c:pt>
                <c:pt idx="258">
                  <c:v>4.1005574220321872</c:v>
                </c:pt>
                <c:pt idx="259">
                  <c:v>3.9970724483412936</c:v>
                </c:pt>
                <c:pt idx="260">
                  <c:v>3.9679768010778815</c:v>
                </c:pt>
                <c:pt idx="261">
                  <c:v>3.9745689698610995</c:v>
                </c:pt>
                <c:pt idx="262">
                  <c:v>4.5823922558514667</c:v>
                </c:pt>
                <c:pt idx="263">
                  <c:v>4.4103735950776111</c:v>
                </c:pt>
                <c:pt idx="264">
                  <c:v>4.0050332053340982</c:v>
                </c:pt>
                <c:pt idx="265">
                  <c:v>4.3004083016862529</c:v>
                </c:pt>
                <c:pt idx="266">
                  <c:v>4.0213860008600166</c:v>
                </c:pt>
                <c:pt idx="267">
                  <c:v>4.3843942049219873</c:v>
                </c:pt>
                <c:pt idx="268">
                  <c:v>4.042628624311237</c:v>
                </c:pt>
                <c:pt idx="269">
                  <c:v>4.3565465789513551</c:v>
                </c:pt>
                <c:pt idx="270">
                  <c:v>4.2980076899278039</c:v>
                </c:pt>
                <c:pt idx="271">
                  <c:v>2.7392905277154154</c:v>
                </c:pt>
                <c:pt idx="272">
                  <c:v>3.6589177497916037</c:v>
                </c:pt>
                <c:pt idx="273">
                  <c:v>4.3585964963672916</c:v>
                </c:pt>
                <c:pt idx="274">
                  <c:v>3.7877053901565425</c:v>
                </c:pt>
                <c:pt idx="275">
                  <c:v>3.7469264650779395</c:v>
                </c:pt>
                <c:pt idx="276">
                  <c:v>3.9970349531516405</c:v>
                </c:pt>
                <c:pt idx="277">
                  <c:v>3.6882791781709967</c:v>
                </c:pt>
                <c:pt idx="278">
                  <c:v>3.8982377747405512</c:v>
                </c:pt>
                <c:pt idx="279">
                  <c:v>4.374330316666537</c:v>
                </c:pt>
                <c:pt idx="280">
                  <c:v>4.3903633479349136</c:v>
                </c:pt>
                <c:pt idx="281">
                  <c:v>4.5574086357526786</c:v>
                </c:pt>
                <c:pt idx="282">
                  <c:v>4.4651268689226606</c:v>
                </c:pt>
                <c:pt idx="283">
                  <c:v>4.2228368673463708</c:v>
                </c:pt>
                <c:pt idx="284">
                  <c:v>4.2944071955377456</c:v>
                </c:pt>
                <c:pt idx="285">
                  <c:v>3.6565835250418912</c:v>
                </c:pt>
                <c:pt idx="286">
                  <c:v>4.213752181152012</c:v>
                </c:pt>
                <c:pt idx="287">
                  <c:v>3.3893766990866347</c:v>
                </c:pt>
                <c:pt idx="288">
                  <c:v>4.1531325055255399</c:v>
                </c:pt>
                <c:pt idx="289">
                  <c:v>4.1117898406221753</c:v>
                </c:pt>
                <c:pt idx="290">
                  <c:v>4.516275438398222</c:v>
                </c:pt>
                <c:pt idx="291">
                  <c:v>4.0671007373188317</c:v>
                </c:pt>
                <c:pt idx="292">
                  <c:v>4.0204481406871553</c:v>
                </c:pt>
                <c:pt idx="293">
                  <c:v>4.5532008101282262</c:v>
                </c:pt>
                <c:pt idx="294">
                  <c:v>3.8849206944335291</c:v>
                </c:pt>
                <c:pt idx="295">
                  <c:v>4.1014959354117675</c:v>
                </c:pt>
                <c:pt idx="296">
                  <c:v>3.9325703438827477</c:v>
                </c:pt>
                <c:pt idx="297">
                  <c:v>4.5589413386736686</c:v>
                </c:pt>
                <c:pt idx="298">
                  <c:v>4.3820017660858914</c:v>
                </c:pt>
                <c:pt idx="299">
                  <c:v>3.2684749033881944</c:v>
                </c:pt>
                <c:pt idx="300">
                  <c:v>4.4762077133204849</c:v>
                </c:pt>
                <c:pt idx="301">
                  <c:v>3.7042840499285328</c:v>
                </c:pt>
                <c:pt idx="302">
                  <c:v>4.4427259488542425</c:v>
                </c:pt>
                <c:pt idx="303">
                  <c:v>4.1284069836841946</c:v>
                </c:pt>
                <c:pt idx="304">
                  <c:v>4.3658083895273592</c:v>
                </c:pt>
                <c:pt idx="305">
                  <c:v>3.9279022047783823</c:v>
                </c:pt>
                <c:pt idx="306">
                  <c:v>4.1767132268406222</c:v>
                </c:pt>
                <c:pt idx="307">
                  <c:v>3.9253244066906658</c:v>
                </c:pt>
                <c:pt idx="308">
                  <c:v>4.1884678334252952</c:v>
                </c:pt>
                <c:pt idx="309">
                  <c:v>4.3677995828340013</c:v>
                </c:pt>
                <c:pt idx="310">
                  <c:v>4.6051956603528899</c:v>
                </c:pt>
                <c:pt idx="311">
                  <c:v>3.7124294083099931</c:v>
                </c:pt>
                <c:pt idx="312">
                  <c:v>4.6659613174944248</c:v>
                </c:pt>
                <c:pt idx="313">
                  <c:v>3.4817556188578704</c:v>
                </c:pt>
                <c:pt idx="314">
                  <c:v>3.8710652922747055</c:v>
                </c:pt>
                <c:pt idx="315">
                  <c:v>3.6495177652186479</c:v>
                </c:pt>
                <c:pt idx="316">
                  <c:v>4.3978907122745508</c:v>
                </c:pt>
                <c:pt idx="317">
                  <c:v>4.4742401814054427</c:v>
                </c:pt>
                <c:pt idx="318">
                  <c:v>4.4024428652305323</c:v>
                </c:pt>
                <c:pt idx="319">
                  <c:v>3.3643194574980422</c:v>
                </c:pt>
                <c:pt idx="320">
                  <c:v>4.3237032189428479</c:v>
                </c:pt>
                <c:pt idx="321">
                  <c:v>3.7334064785093268</c:v>
                </c:pt>
                <c:pt idx="322">
                  <c:v>3.4213304988709949</c:v>
                </c:pt>
                <c:pt idx="323">
                  <c:v>4.6554998462304287</c:v>
                </c:pt>
                <c:pt idx="324">
                  <c:v>4.0847946157914095</c:v>
                </c:pt>
                <c:pt idx="325">
                  <c:v>4.0418051086400872</c:v>
                </c:pt>
                <c:pt idx="326">
                  <c:v>3.4043547700918042</c:v>
                </c:pt>
                <c:pt idx="327">
                  <c:v>4.0837358047696242</c:v>
                </c:pt>
                <c:pt idx="328">
                  <c:v>3.7463519166190573</c:v>
                </c:pt>
                <c:pt idx="329">
                  <c:v>4.0785704247471619</c:v>
                </c:pt>
                <c:pt idx="330">
                  <c:v>3.8274268064435946</c:v>
                </c:pt>
                <c:pt idx="331">
                  <c:v>4.4409502022084029</c:v>
                </c:pt>
                <c:pt idx="332">
                  <c:v>4.1511448028920892</c:v>
                </c:pt>
                <c:pt idx="333">
                  <c:v>3.0880405919066876</c:v>
                </c:pt>
                <c:pt idx="334">
                  <c:v>3.8410726812748646</c:v>
                </c:pt>
                <c:pt idx="335">
                  <c:v>3.5768018909093167</c:v>
                </c:pt>
                <c:pt idx="336">
                  <c:v>4.2500636946734129</c:v>
                </c:pt>
                <c:pt idx="337">
                  <c:v>4.3812039543206076</c:v>
                </c:pt>
                <c:pt idx="338">
                  <c:v>3.8932592197027387</c:v>
                </c:pt>
                <c:pt idx="339">
                  <c:v>3.7011331125370193</c:v>
                </c:pt>
                <c:pt idx="340">
                  <c:v>4.4210251063401085</c:v>
                </c:pt>
                <c:pt idx="341">
                  <c:v>3.8494810691565253</c:v>
                </c:pt>
                <c:pt idx="342">
                  <c:v>4.3243631757029002</c:v>
                </c:pt>
                <c:pt idx="343">
                  <c:v>4.1891308747849711</c:v>
                </c:pt>
                <c:pt idx="344">
                  <c:v>3.6779464393023082</c:v>
                </c:pt>
                <c:pt idx="345">
                  <c:v>4.1191287614058574</c:v>
                </c:pt>
                <c:pt idx="346">
                  <c:v>4.1942859177614071</c:v>
                </c:pt>
                <c:pt idx="347">
                  <c:v>3.8876263436060352</c:v>
                </c:pt>
                <c:pt idx="348">
                  <c:v>4.0977747952511905</c:v>
                </c:pt>
                <c:pt idx="349">
                  <c:v>4.5329046230101646</c:v>
                </c:pt>
                <c:pt idx="350">
                  <c:v>4.4080189748577414</c:v>
                </c:pt>
                <c:pt idx="351">
                  <c:v>3.87296419560281</c:v>
                </c:pt>
                <c:pt idx="352">
                  <c:v>4.0279172129040512</c:v>
                </c:pt>
                <c:pt idx="353">
                  <c:v>4.5368563593796036</c:v>
                </c:pt>
                <c:pt idx="354">
                  <c:v>4.4058742836236053</c:v>
                </c:pt>
                <c:pt idx="355">
                  <c:v>3.7114932949606718</c:v>
                </c:pt>
                <c:pt idx="356">
                  <c:v>2.9285774530892414</c:v>
                </c:pt>
                <c:pt idx="357">
                  <c:v>3.2409536194793063</c:v>
                </c:pt>
                <c:pt idx="358">
                  <c:v>4.0560075642529769</c:v>
                </c:pt>
                <c:pt idx="359">
                  <c:v>4.2909386779601464</c:v>
                </c:pt>
                <c:pt idx="360">
                  <c:v>3.9466231183048683</c:v>
                </c:pt>
                <c:pt idx="361">
                  <c:v>4.1290820329823488</c:v>
                </c:pt>
                <c:pt idx="362">
                  <c:v>3.8459006276939478</c:v>
                </c:pt>
                <c:pt idx="363">
                  <c:v>3.8874137404175659</c:v>
                </c:pt>
                <c:pt idx="364">
                  <c:v>4.2100013200884465</c:v>
                </c:pt>
                <c:pt idx="365">
                  <c:v>4.0435257721389286</c:v>
                </c:pt>
                <c:pt idx="366">
                  <c:v>4.0367815059108381</c:v>
                </c:pt>
                <c:pt idx="367">
                  <c:v>4.3846057960391969</c:v>
                </c:pt>
                <c:pt idx="368">
                  <c:v>4.3526518278807567</c:v>
                </c:pt>
                <c:pt idx="369">
                  <c:v>4.131040887968056</c:v>
                </c:pt>
                <c:pt idx="370">
                  <c:v>4.0237337259632255</c:v>
                </c:pt>
                <c:pt idx="371">
                  <c:v>4.3758228757408402</c:v>
                </c:pt>
                <c:pt idx="372">
                  <c:v>4.0516512124368562</c:v>
                </c:pt>
                <c:pt idx="373">
                  <c:v>3.0715569667642439</c:v>
                </c:pt>
                <c:pt idx="374">
                  <c:v>4.4062498136743971</c:v>
                </c:pt>
                <c:pt idx="375">
                  <c:v>4.0631985638750754</c:v>
                </c:pt>
                <c:pt idx="376">
                  <c:v>4.4352502441755162</c:v>
                </c:pt>
                <c:pt idx="377">
                  <c:v>4.0543266175307968</c:v>
                </c:pt>
                <c:pt idx="378">
                  <c:v>3.8222052637288448</c:v>
                </c:pt>
                <c:pt idx="379">
                  <c:v>4.5477045430443663</c:v>
                </c:pt>
                <c:pt idx="380">
                  <c:v>3.7720730298061724</c:v>
                </c:pt>
                <c:pt idx="381">
                  <c:v>4.1423560640522599</c:v>
                </c:pt>
                <c:pt idx="382">
                  <c:v>4.4990842612306743</c:v>
                </c:pt>
                <c:pt idx="383">
                  <c:v>4.4309994329021984</c:v>
                </c:pt>
                <c:pt idx="384">
                  <c:v>3.9508995470041137</c:v>
                </c:pt>
                <c:pt idx="385">
                  <c:v>3.6212205966256681</c:v>
                </c:pt>
                <c:pt idx="386">
                  <c:v>3.5031132241677732</c:v>
                </c:pt>
                <c:pt idx="387">
                  <c:v>3.9434396639836313</c:v>
                </c:pt>
                <c:pt idx="388">
                  <c:v>4.3979575974337228</c:v>
                </c:pt>
                <c:pt idx="389">
                  <c:v>4.0513812946599659</c:v>
                </c:pt>
                <c:pt idx="390">
                  <c:v>4.1463826811384443</c:v>
                </c:pt>
                <c:pt idx="391">
                  <c:v>4.1922792088558527</c:v>
                </c:pt>
                <c:pt idx="392">
                  <c:v>4.1508297525496323</c:v>
                </c:pt>
                <c:pt idx="393">
                  <c:v>4.6328210174253091</c:v>
                </c:pt>
                <c:pt idx="394">
                  <c:v>3.683997268023588</c:v>
                </c:pt>
                <c:pt idx="395">
                  <c:v>3.5166038635205332</c:v>
                </c:pt>
                <c:pt idx="396">
                  <c:v>4.290312220176042</c:v>
                </c:pt>
                <c:pt idx="397">
                  <c:v>4.5725369452116045</c:v>
                </c:pt>
                <c:pt idx="398">
                  <c:v>4.0155845663727403</c:v>
                </c:pt>
                <c:pt idx="399">
                  <c:v>2.7374803735157216</c:v>
                </c:pt>
                <c:pt idx="400">
                  <c:v>4.3428629242831951</c:v>
                </c:pt>
                <c:pt idx="401">
                  <c:v>4.3098838723480046</c:v>
                </c:pt>
                <c:pt idx="402">
                  <c:v>4.5019217380641781</c:v>
                </c:pt>
                <c:pt idx="403">
                  <c:v>3.0475887814847873</c:v>
                </c:pt>
                <c:pt idx="404">
                  <c:v>4.5780046460865886</c:v>
                </c:pt>
                <c:pt idx="405">
                  <c:v>3.3630418249775773</c:v>
                </c:pt>
                <c:pt idx="406">
                  <c:v>4.3106382184635423</c:v>
                </c:pt>
                <c:pt idx="407">
                  <c:v>4.1223972681045007</c:v>
                </c:pt>
                <c:pt idx="408">
                  <c:v>3.55526560849985</c:v>
                </c:pt>
                <c:pt idx="409">
                  <c:v>4.4388505673954359</c:v>
                </c:pt>
                <c:pt idx="410">
                  <c:v>3.9880539214036945</c:v>
                </c:pt>
                <c:pt idx="411">
                  <c:v>4.2524850313019913</c:v>
                </c:pt>
                <c:pt idx="412">
                  <c:v>4.2028826615172248</c:v>
                </c:pt>
                <c:pt idx="413">
                  <c:v>3.7874766185009525</c:v>
                </c:pt>
                <c:pt idx="414">
                  <c:v>4.1125534243853687</c:v>
                </c:pt>
                <c:pt idx="415">
                  <c:v>4.0556574650727901</c:v>
                </c:pt>
                <c:pt idx="416">
                  <c:v>4.0697414569589032</c:v>
                </c:pt>
                <c:pt idx="417">
                  <c:v>3.9537628506197944</c:v>
                </c:pt>
                <c:pt idx="418">
                  <c:v>3.4715314819275584</c:v>
                </c:pt>
                <c:pt idx="419">
                  <c:v>3.0516222368938499</c:v>
                </c:pt>
                <c:pt idx="420">
                  <c:v>4.6462027206324983</c:v>
                </c:pt>
                <c:pt idx="421">
                  <c:v>3.9507854425079385</c:v>
                </c:pt>
                <c:pt idx="422">
                  <c:v>3.7382027075162947</c:v>
                </c:pt>
                <c:pt idx="423">
                  <c:v>4.3520057870129287</c:v>
                </c:pt>
                <c:pt idx="424">
                  <c:v>4.6725553191446139</c:v>
                </c:pt>
                <c:pt idx="425">
                  <c:v>4.0440131020664758</c:v>
                </c:pt>
                <c:pt idx="426">
                  <c:v>2.8236172804401192</c:v>
                </c:pt>
                <c:pt idx="427">
                  <c:v>4.1509158733332061</c:v>
                </c:pt>
                <c:pt idx="428">
                  <c:v>3.8045391084610274</c:v>
                </c:pt>
                <c:pt idx="429">
                  <c:v>3.500068839982633</c:v>
                </c:pt>
                <c:pt idx="430">
                  <c:v>3.6752509497196879</c:v>
                </c:pt>
                <c:pt idx="431">
                  <c:v>4.2937901755196712</c:v>
                </c:pt>
                <c:pt idx="432">
                  <c:v>3.6472835835999997</c:v>
                </c:pt>
                <c:pt idx="433">
                  <c:v>3.02517269127646</c:v>
                </c:pt>
                <c:pt idx="434">
                  <c:v>3.6889606405364894</c:v>
                </c:pt>
                <c:pt idx="435">
                  <c:v>4.3140052491925784</c:v>
                </c:pt>
                <c:pt idx="436">
                  <c:v>3.7909325023747753</c:v>
                </c:pt>
                <c:pt idx="437">
                  <c:v>4.1054217886539996</c:v>
                </c:pt>
                <c:pt idx="438">
                  <c:v>4.1310316607446893</c:v>
                </c:pt>
                <c:pt idx="439">
                  <c:v>3.7769019357813951</c:v>
                </c:pt>
                <c:pt idx="440">
                  <c:v>3.869889215576797</c:v>
                </c:pt>
                <c:pt idx="441">
                  <c:v>3.6482449011912816</c:v>
                </c:pt>
                <c:pt idx="442">
                  <c:v>3.1867104240894828</c:v>
                </c:pt>
                <c:pt idx="443">
                  <c:v>3.9682627379017634</c:v>
                </c:pt>
                <c:pt idx="444">
                  <c:v>4.1011157551519064</c:v>
                </c:pt>
                <c:pt idx="445">
                  <c:v>3.9786912096026361</c:v>
                </c:pt>
                <c:pt idx="446">
                  <c:v>4.3690939087358389</c:v>
                </c:pt>
                <c:pt idx="447">
                  <c:v>4.6241442989178889</c:v>
                </c:pt>
                <c:pt idx="448">
                  <c:v>4.2791658691429149</c:v>
                </c:pt>
                <c:pt idx="449">
                  <c:v>4.106585430126044</c:v>
                </c:pt>
                <c:pt idx="450">
                  <c:v>4.0806000501053585</c:v>
                </c:pt>
                <c:pt idx="451">
                  <c:v>3.9512657593461307</c:v>
                </c:pt>
                <c:pt idx="452">
                  <c:v>3.907088177349054</c:v>
                </c:pt>
                <c:pt idx="453">
                  <c:v>3.897314479032262</c:v>
                </c:pt>
                <c:pt idx="454">
                  <c:v>3.5984126634336304</c:v>
                </c:pt>
                <c:pt idx="455">
                  <c:v>3.9637306580901122</c:v>
                </c:pt>
                <c:pt idx="456">
                  <c:v>3.8482935301399905</c:v>
                </c:pt>
                <c:pt idx="457">
                  <c:v>4.2828006546629123</c:v>
                </c:pt>
                <c:pt idx="458">
                  <c:v>3.6176792517374206</c:v>
                </c:pt>
                <c:pt idx="459">
                  <c:v>4.1904064978459488</c:v>
                </c:pt>
                <c:pt idx="460">
                  <c:v>3.4957827592917057</c:v>
                </c:pt>
                <c:pt idx="461">
                  <c:v>3.377367715199342</c:v>
                </c:pt>
                <c:pt idx="462">
                  <c:v>4.3195461620697708</c:v>
                </c:pt>
                <c:pt idx="463">
                  <c:v>4.3203034665223559</c:v>
                </c:pt>
                <c:pt idx="464">
                  <c:v>3.9331004196919781</c:v>
                </c:pt>
                <c:pt idx="465">
                  <c:v>3.3444472888937238</c:v>
                </c:pt>
                <c:pt idx="466">
                  <c:v>3.826268205855472</c:v>
                </c:pt>
                <c:pt idx="467">
                  <c:v>4.0702389665228358</c:v>
                </c:pt>
                <c:pt idx="468">
                  <c:v>2.615214935358416</c:v>
                </c:pt>
                <c:pt idx="469">
                  <c:v>4.2427873639937097</c:v>
                </c:pt>
                <c:pt idx="470">
                  <c:v>4.366226347022546</c:v>
                </c:pt>
                <c:pt idx="471">
                  <c:v>4.1064840319854516</c:v>
                </c:pt>
                <c:pt idx="472">
                  <c:v>3.5711830603599357</c:v>
                </c:pt>
                <c:pt idx="473">
                  <c:v>3.9029586434413144</c:v>
                </c:pt>
                <c:pt idx="474">
                  <c:v>3.7613407476433185</c:v>
                </c:pt>
                <c:pt idx="475">
                  <c:v>4.0250136764671591</c:v>
                </c:pt>
                <c:pt idx="476">
                  <c:v>4.0654453246585858</c:v>
                </c:pt>
                <c:pt idx="477">
                  <c:v>3.703113520547765</c:v>
                </c:pt>
                <c:pt idx="478">
                  <c:v>4.1934732383521869</c:v>
                </c:pt>
                <c:pt idx="479">
                  <c:v>4.5621813037636532</c:v>
                </c:pt>
                <c:pt idx="480">
                  <c:v>3.3990712372557383</c:v>
                </c:pt>
                <c:pt idx="481">
                  <c:v>4.4844198964190412</c:v>
                </c:pt>
                <c:pt idx="482">
                  <c:v>4.6050169801512375</c:v>
                </c:pt>
                <c:pt idx="483">
                  <c:v>3.0305172867750261</c:v>
                </c:pt>
                <c:pt idx="484">
                  <c:v>4.3429462439842155</c:v>
                </c:pt>
                <c:pt idx="485">
                  <c:v>3.7062358085587404</c:v>
                </c:pt>
                <c:pt idx="486">
                  <c:v>3.6554863268893532</c:v>
                </c:pt>
                <c:pt idx="487">
                  <c:v>4.3666176890948751</c:v>
                </c:pt>
                <c:pt idx="488">
                  <c:v>4.1689498536946061</c:v>
                </c:pt>
                <c:pt idx="489">
                  <c:v>3.9577803061250769</c:v>
                </c:pt>
                <c:pt idx="490">
                  <c:v>4.3713738172575844</c:v>
                </c:pt>
                <c:pt idx="491">
                  <c:v>3.2259607413723179</c:v>
                </c:pt>
                <c:pt idx="492">
                  <c:v>4.0886041224000609</c:v>
                </c:pt>
                <c:pt idx="493">
                  <c:v>4.1085620083435028</c:v>
                </c:pt>
                <c:pt idx="494">
                  <c:v>4.1193272553625677</c:v>
                </c:pt>
                <c:pt idx="495">
                  <c:v>3.5380746487570507</c:v>
                </c:pt>
                <c:pt idx="496">
                  <c:v>4.4567209903609637</c:v>
                </c:pt>
                <c:pt idx="497">
                  <c:v>4.5030996191874584</c:v>
                </c:pt>
                <c:pt idx="498">
                  <c:v>4.0783918848780418</c:v>
                </c:pt>
                <c:pt idx="499">
                  <c:v>4.2663835022348255</c:v>
                </c:pt>
                <c:pt idx="500">
                  <c:v>4.6137215135957197</c:v>
                </c:pt>
                <c:pt idx="501">
                  <c:v>3.9047806789446957</c:v>
                </c:pt>
                <c:pt idx="502">
                  <c:v>4.126009441022541</c:v>
                </c:pt>
                <c:pt idx="503">
                  <c:v>4.5407446572894319</c:v>
                </c:pt>
                <c:pt idx="504">
                  <c:v>4.3580948960408259</c:v>
                </c:pt>
                <c:pt idx="505">
                  <c:v>4.5054096235862913</c:v>
                </c:pt>
                <c:pt idx="506">
                  <c:v>4.6848875394477938</c:v>
                </c:pt>
                <c:pt idx="507">
                  <c:v>4.4741764800848163</c:v>
                </c:pt>
                <c:pt idx="508">
                  <c:v>3.4142283968241793</c:v>
                </c:pt>
                <c:pt idx="509">
                  <c:v>4.1008277449566908</c:v>
                </c:pt>
                <c:pt idx="510">
                  <c:v>4.6142593793090745</c:v>
                </c:pt>
                <c:pt idx="511">
                  <c:v>3.120382381592762</c:v>
                </c:pt>
                <c:pt idx="512">
                  <c:v>3.9635117985697774</c:v>
                </c:pt>
                <c:pt idx="513">
                  <c:v>4.1946764317360081</c:v>
                </c:pt>
                <c:pt idx="514">
                  <c:v>4.3212583365355197</c:v>
                </c:pt>
                <c:pt idx="515">
                  <c:v>3.9697929400839422</c:v>
                </c:pt>
                <c:pt idx="516">
                  <c:v>3.0446414119037071</c:v>
                </c:pt>
                <c:pt idx="517">
                  <c:v>3.9655265734670224</c:v>
                </c:pt>
                <c:pt idx="518">
                  <c:v>4.1192040740770883</c:v>
                </c:pt>
                <c:pt idx="519">
                  <c:v>3.8801136911482654</c:v>
                </c:pt>
                <c:pt idx="520">
                  <c:v>4.5747542532101511</c:v>
                </c:pt>
                <c:pt idx="521">
                  <c:v>3.9787958778154153</c:v>
                </c:pt>
                <c:pt idx="522">
                  <c:v>3.514913762498487</c:v>
                </c:pt>
                <c:pt idx="523">
                  <c:v>3.8267747034239354</c:v>
                </c:pt>
                <c:pt idx="524">
                  <c:v>4.4421291634411455</c:v>
                </c:pt>
                <c:pt idx="525">
                  <c:v>4.3974084786304077</c:v>
                </c:pt>
                <c:pt idx="526">
                  <c:v>4.4521874841526117</c:v>
                </c:pt>
                <c:pt idx="527">
                  <c:v>4.4610956809691604</c:v>
                </c:pt>
                <c:pt idx="528">
                  <c:v>4.2665102183027788</c:v>
                </c:pt>
                <c:pt idx="529">
                  <c:v>3.8574124780142323</c:v>
                </c:pt>
                <c:pt idx="530">
                  <c:v>3.9425398661241626</c:v>
                </c:pt>
                <c:pt idx="531">
                  <c:v>3.9904468588116342</c:v>
                </c:pt>
                <c:pt idx="532">
                  <c:v>3.7456017589184953</c:v>
                </c:pt>
                <c:pt idx="533">
                  <c:v>3.8362343505576728</c:v>
                </c:pt>
                <c:pt idx="534">
                  <c:v>3.8018427662222045</c:v>
                </c:pt>
                <c:pt idx="535">
                  <c:v>4.234132399581382</c:v>
                </c:pt>
                <c:pt idx="536">
                  <c:v>4.0686004281804768</c:v>
                </c:pt>
                <c:pt idx="537">
                  <c:v>4.3749105629200393</c:v>
                </c:pt>
                <c:pt idx="538">
                  <c:v>4.3523988298058205</c:v>
                </c:pt>
                <c:pt idx="539">
                  <c:v>3.9053097414241504</c:v>
                </c:pt>
                <c:pt idx="540">
                  <c:v>4.1431722528269184</c:v>
                </c:pt>
                <c:pt idx="541">
                  <c:v>4.2005191281109697</c:v>
                </c:pt>
                <c:pt idx="542">
                  <c:v>4.2421130095998745</c:v>
                </c:pt>
                <c:pt idx="543">
                  <c:v>3.474347164505192</c:v>
                </c:pt>
                <c:pt idx="544">
                  <c:v>3.4323410253765481</c:v>
                </c:pt>
                <c:pt idx="545">
                  <c:v>3.4527108865950624</c:v>
                </c:pt>
                <c:pt idx="546">
                  <c:v>3.0352492075419493</c:v>
                </c:pt>
                <c:pt idx="547">
                  <c:v>4.0527465336042132</c:v>
                </c:pt>
                <c:pt idx="548">
                  <c:v>4.2779918609637368</c:v>
                </c:pt>
                <c:pt idx="549">
                  <c:v>4.1126691191782303</c:v>
                </c:pt>
                <c:pt idx="550">
                  <c:v>4.3446487740908859</c:v>
                </c:pt>
                <c:pt idx="551">
                  <c:v>4.5109157821463359</c:v>
                </c:pt>
                <c:pt idx="552">
                  <c:v>4.0997712052942381</c:v>
                </c:pt>
                <c:pt idx="553">
                  <c:v>4.7160195963399136</c:v>
                </c:pt>
                <c:pt idx="554">
                  <c:v>4.5796162160092528</c:v>
                </c:pt>
                <c:pt idx="555">
                  <c:v>4.2253449046592095</c:v>
                </c:pt>
                <c:pt idx="556">
                  <c:v>4.4171992205813888</c:v>
                </c:pt>
                <c:pt idx="557">
                  <c:v>4.1525625527710126</c:v>
                </c:pt>
                <c:pt idx="558">
                  <c:v>3.6019411574753297</c:v>
                </c:pt>
                <c:pt idx="559">
                  <c:v>4.1598682460772922</c:v>
                </c:pt>
                <c:pt idx="560">
                  <c:v>4.0160760443916139</c:v>
                </c:pt>
                <c:pt idx="561">
                  <c:v>4.4164525740907576</c:v>
                </c:pt>
                <c:pt idx="562">
                  <c:v>3.9902160843683467</c:v>
                </c:pt>
                <c:pt idx="563">
                  <c:v>4.5317495940986188</c:v>
                </c:pt>
                <c:pt idx="564">
                  <c:v>4.2351398954609616</c:v>
                </c:pt>
                <c:pt idx="565">
                  <c:v>3.2611914936325683</c:v>
                </c:pt>
                <c:pt idx="566">
                  <c:v>4.1444548687227405</c:v>
                </c:pt>
                <c:pt idx="567">
                  <c:v>4.1266742240444163</c:v>
                </c:pt>
                <c:pt idx="568">
                  <c:v>4.2351885410020902</c:v>
                </c:pt>
                <c:pt idx="569">
                  <c:v>4.4385856832299302</c:v>
                </c:pt>
                <c:pt idx="570">
                  <c:v>4.2917237942430653</c:v>
                </c:pt>
                <c:pt idx="571">
                  <c:v>3.8195040732462076</c:v>
                </c:pt>
                <c:pt idx="572">
                  <c:v>4.4607244532557928</c:v>
                </c:pt>
                <c:pt idx="573">
                  <c:v>3.3206804306893307</c:v>
                </c:pt>
                <c:pt idx="574">
                  <c:v>3.6753340087257458</c:v>
                </c:pt>
                <c:pt idx="575">
                  <c:v>4.4351901863276666</c:v>
                </c:pt>
                <c:pt idx="576">
                  <c:v>4.2664315459921607</c:v>
                </c:pt>
                <c:pt idx="577">
                  <c:v>3.9160967222539993</c:v>
                </c:pt>
                <c:pt idx="578">
                  <c:v>4.6784329285864024</c:v>
                </c:pt>
                <c:pt idx="579">
                  <c:v>3.8015022418889317</c:v>
                </c:pt>
                <c:pt idx="580">
                  <c:v>3.5113901296402714</c:v>
                </c:pt>
                <c:pt idx="581">
                  <c:v>4.1525639484483525</c:v>
                </c:pt>
                <c:pt idx="582">
                  <c:v>3.8914090272303592</c:v>
                </c:pt>
                <c:pt idx="583">
                  <c:v>3.8181095977615551</c:v>
                </c:pt>
                <c:pt idx="584">
                  <c:v>3.8853925677188088</c:v>
                </c:pt>
                <c:pt idx="585">
                  <c:v>4.448351885651646</c:v>
                </c:pt>
                <c:pt idx="586">
                  <c:v>4.2258320586053735</c:v>
                </c:pt>
                <c:pt idx="587">
                  <c:v>4.5889527031725006</c:v>
                </c:pt>
                <c:pt idx="588">
                  <c:v>3.891831084875331</c:v>
                </c:pt>
                <c:pt idx="589">
                  <c:v>3.9999287142734863</c:v>
                </c:pt>
                <c:pt idx="590">
                  <c:v>3.7549928796157905</c:v>
                </c:pt>
                <c:pt idx="591">
                  <c:v>4.3243334174384414</c:v>
                </c:pt>
                <c:pt idx="592">
                  <c:v>4.1571750849259068</c:v>
                </c:pt>
                <c:pt idx="593">
                  <c:v>3.3503711172889474</c:v>
                </c:pt>
                <c:pt idx="594">
                  <c:v>2.9571671686617931</c:v>
                </c:pt>
                <c:pt idx="595">
                  <c:v>3.8518475451392282</c:v>
                </c:pt>
                <c:pt idx="596">
                  <c:v>4.5512645147638047</c:v>
                </c:pt>
                <c:pt idx="597">
                  <c:v>3.8986433124256674</c:v>
                </c:pt>
                <c:pt idx="598">
                  <c:v>4.238268801446373</c:v>
                </c:pt>
                <c:pt idx="599">
                  <c:v>3.2167468471445955</c:v>
                </c:pt>
                <c:pt idx="600">
                  <c:v>3.5127720669017206</c:v>
                </c:pt>
                <c:pt idx="601">
                  <c:v>4.0929660961878067</c:v>
                </c:pt>
                <c:pt idx="602">
                  <c:v>3.9625298185784987</c:v>
                </c:pt>
                <c:pt idx="603">
                  <c:v>3.2749591122642623</c:v>
                </c:pt>
                <c:pt idx="604">
                  <c:v>4.2508770031899008</c:v>
                </c:pt>
                <c:pt idx="605">
                  <c:v>4.4062063203878612</c:v>
                </c:pt>
                <c:pt idx="606">
                  <c:v>3.5963235924998052</c:v>
                </c:pt>
                <c:pt idx="607">
                  <c:v>4.3500108067467993</c:v>
                </c:pt>
                <c:pt idx="608">
                  <c:v>4.1900283307040906</c:v>
                </c:pt>
                <c:pt idx="609">
                  <c:v>4.1172746392334858</c:v>
                </c:pt>
                <c:pt idx="610">
                  <c:v>4.1020195530773815</c:v>
                </c:pt>
                <c:pt idx="611">
                  <c:v>4.0506177210576295</c:v>
                </c:pt>
                <c:pt idx="612">
                  <c:v>4.1452512450135997</c:v>
                </c:pt>
                <c:pt idx="613">
                  <c:v>3.9304530569025311</c:v>
                </c:pt>
                <c:pt idx="614">
                  <c:v>4.3418411417909111</c:v>
                </c:pt>
                <c:pt idx="615">
                  <c:v>4.3429395803349244</c:v>
                </c:pt>
                <c:pt idx="616">
                  <c:v>4.4485008263766996</c:v>
                </c:pt>
                <c:pt idx="617">
                  <c:v>4.2526203940474554</c:v>
                </c:pt>
                <c:pt idx="618">
                  <c:v>3.6694420140855959</c:v>
                </c:pt>
                <c:pt idx="619">
                  <c:v>3.6269006890912743</c:v>
                </c:pt>
                <c:pt idx="620">
                  <c:v>3.8734313463595327</c:v>
                </c:pt>
                <c:pt idx="621">
                  <c:v>4.0223995146130163</c:v>
                </c:pt>
                <c:pt idx="622">
                  <c:v>4.0673874627312427</c:v>
                </c:pt>
                <c:pt idx="623">
                  <c:v>3.8629615331825775</c:v>
                </c:pt>
                <c:pt idx="624">
                  <c:v>3.9260062971473957</c:v>
                </c:pt>
                <c:pt idx="625">
                  <c:v>3.1851435811030488</c:v>
                </c:pt>
                <c:pt idx="626">
                  <c:v>4.422266530355512</c:v>
                </c:pt>
                <c:pt idx="627">
                  <c:v>4.0522612346333142</c:v>
                </c:pt>
                <c:pt idx="628">
                  <c:v>4.5618110161836372</c:v>
                </c:pt>
                <c:pt idx="629">
                  <c:v>4.1255716652612939</c:v>
                </c:pt>
                <c:pt idx="630">
                  <c:v>4.3850337437771723</c:v>
                </c:pt>
                <c:pt idx="631">
                  <c:v>3.7923946410507141</c:v>
                </c:pt>
                <c:pt idx="632">
                  <c:v>4.14474375594419</c:v>
                </c:pt>
                <c:pt idx="633">
                  <c:v>4.1095271394517416</c:v>
                </c:pt>
                <c:pt idx="634">
                  <c:v>4.0451920532510863</c:v>
                </c:pt>
                <c:pt idx="635">
                  <c:v>4.580899415255125</c:v>
                </c:pt>
                <c:pt idx="636">
                  <c:v>3.8633207286122198</c:v>
                </c:pt>
                <c:pt idx="637">
                  <c:v>3.9179313982612634</c:v>
                </c:pt>
                <c:pt idx="638">
                  <c:v>4.3546162355285158</c:v>
                </c:pt>
                <c:pt idx="639">
                  <c:v>3.4455383887746076</c:v>
                </c:pt>
                <c:pt idx="640">
                  <c:v>3.946456334785962</c:v>
                </c:pt>
                <c:pt idx="641">
                  <c:v>3.6141890194735464</c:v>
                </c:pt>
                <c:pt idx="642">
                  <c:v>3.7773318036700227</c:v>
                </c:pt>
                <c:pt idx="643">
                  <c:v>4.5428227261926732</c:v>
                </c:pt>
                <c:pt idx="644">
                  <c:v>3.8247775549240894</c:v>
                </c:pt>
                <c:pt idx="645">
                  <c:v>4.0584603086510374</c:v>
                </c:pt>
                <c:pt idx="646">
                  <c:v>3.6410019837850416</c:v>
                </c:pt>
                <c:pt idx="647">
                  <c:v>4.2096288492228373</c:v>
                </c:pt>
                <c:pt idx="648">
                  <c:v>3.2717012959627416</c:v>
                </c:pt>
                <c:pt idx="649">
                  <c:v>3.8593652796765103</c:v>
                </c:pt>
                <c:pt idx="650">
                  <c:v>3.991194389256385</c:v>
                </c:pt>
                <c:pt idx="651">
                  <c:v>3.5755372755309089</c:v>
                </c:pt>
                <c:pt idx="652">
                  <c:v>3.9852200673803417</c:v>
                </c:pt>
                <c:pt idx="653">
                  <c:v>4.2000594097148092</c:v>
                </c:pt>
                <c:pt idx="654">
                  <c:v>4.3414958516998503</c:v>
                </c:pt>
                <c:pt idx="655">
                  <c:v>4.2077852095398942</c:v>
                </c:pt>
                <c:pt idx="656">
                  <c:v>4.1127739467993818</c:v>
                </c:pt>
                <c:pt idx="657">
                  <c:v>3.9567154359228853</c:v>
                </c:pt>
                <c:pt idx="658">
                  <c:v>2.6317335713378158</c:v>
                </c:pt>
                <c:pt idx="659">
                  <c:v>3.7848928601554199</c:v>
                </c:pt>
                <c:pt idx="660">
                  <c:v>4.3254496263951392</c:v>
                </c:pt>
                <c:pt idx="661">
                  <c:v>3.9146110692476226</c:v>
                </c:pt>
                <c:pt idx="662">
                  <c:v>3.8126601291899549</c:v>
                </c:pt>
                <c:pt idx="663">
                  <c:v>3.3478988459509891</c:v>
                </c:pt>
                <c:pt idx="664">
                  <c:v>4.003980708735642</c:v>
                </c:pt>
                <c:pt idx="665">
                  <c:v>3.8994393899929718</c:v>
                </c:pt>
                <c:pt idx="666">
                  <c:v>3.9896001769232972</c:v>
                </c:pt>
                <c:pt idx="667">
                  <c:v>4.0008588458627168</c:v>
                </c:pt>
                <c:pt idx="668">
                  <c:v>3.9110617132833991</c:v>
                </c:pt>
                <c:pt idx="669">
                  <c:v>4.4738411254498791</c:v>
                </c:pt>
                <c:pt idx="670">
                  <c:v>4.1151463667297028</c:v>
                </c:pt>
                <c:pt idx="671">
                  <c:v>4.0714987651666616</c:v>
                </c:pt>
                <c:pt idx="672">
                  <c:v>3.8950883958297999</c:v>
                </c:pt>
                <c:pt idx="673">
                  <c:v>3.9175425721636805</c:v>
                </c:pt>
                <c:pt idx="674">
                  <c:v>3.7705134832025231</c:v>
                </c:pt>
                <c:pt idx="675">
                  <c:v>4.2243681704486438</c:v>
                </c:pt>
                <c:pt idx="676">
                  <c:v>3.8423504598756728</c:v>
                </c:pt>
                <c:pt idx="677">
                  <c:v>4.3472185171243467</c:v>
                </c:pt>
                <c:pt idx="678">
                  <c:v>3.984742465306037</c:v>
                </c:pt>
                <c:pt idx="679">
                  <c:v>3.6506680374210765</c:v>
                </c:pt>
                <c:pt idx="680">
                  <c:v>4.2403627207283394</c:v>
                </c:pt>
                <c:pt idx="681">
                  <c:v>4.6427678207189453</c:v>
                </c:pt>
                <c:pt idx="682">
                  <c:v>3.9136974212066589</c:v>
                </c:pt>
                <c:pt idx="683">
                  <c:v>3.5009593512849535</c:v>
                </c:pt>
                <c:pt idx="684">
                  <c:v>3.4890298644283804</c:v>
                </c:pt>
                <c:pt idx="685">
                  <c:v>4.0700433221804664</c:v>
                </c:pt>
                <c:pt idx="686">
                  <c:v>4.2447944485443836</c:v>
                </c:pt>
                <c:pt idx="687">
                  <c:v>3.6634890658907069</c:v>
                </c:pt>
                <c:pt idx="688">
                  <c:v>4.6695261761866202</c:v>
                </c:pt>
                <c:pt idx="689">
                  <c:v>4.05541590550704</c:v>
                </c:pt>
                <c:pt idx="690">
                  <c:v>4.0857732641889033</c:v>
                </c:pt>
                <c:pt idx="691">
                  <c:v>4.2653132973655286</c:v>
                </c:pt>
                <c:pt idx="692">
                  <c:v>3.081773482247554</c:v>
                </c:pt>
                <c:pt idx="693">
                  <c:v>3.6819147872846343</c:v>
                </c:pt>
                <c:pt idx="694">
                  <c:v>3.7263301984922812</c:v>
                </c:pt>
                <c:pt idx="695">
                  <c:v>3.7502172815034411</c:v>
                </c:pt>
                <c:pt idx="696">
                  <c:v>4.5105001751639389</c:v>
                </c:pt>
                <c:pt idx="697">
                  <c:v>4.2363864253301378</c:v>
                </c:pt>
                <c:pt idx="698">
                  <c:v>4.4406839445445438</c:v>
                </c:pt>
                <c:pt idx="699">
                  <c:v>4.0229141474619299</c:v>
                </c:pt>
                <c:pt idx="700">
                  <c:v>3.5676051775143227</c:v>
                </c:pt>
                <c:pt idx="701">
                  <c:v>4.0863833233776878</c:v>
                </c:pt>
                <c:pt idx="702">
                  <c:v>4.2958314942334335</c:v>
                </c:pt>
                <c:pt idx="703">
                  <c:v>4.0658043675699895</c:v>
                </c:pt>
                <c:pt idx="704">
                  <c:v>4.1007602972716404</c:v>
                </c:pt>
                <c:pt idx="705">
                  <c:v>4.4895325324671633</c:v>
                </c:pt>
                <c:pt idx="706">
                  <c:v>4.1905731174564789</c:v>
                </c:pt>
                <c:pt idx="707">
                  <c:v>3.9916096489890194</c:v>
                </c:pt>
                <c:pt idx="708">
                  <c:v>3.7555804436262714</c:v>
                </c:pt>
                <c:pt idx="709">
                  <c:v>4.183441340457545</c:v>
                </c:pt>
                <c:pt idx="710">
                  <c:v>4.6388183299308281</c:v>
                </c:pt>
                <c:pt idx="711">
                  <c:v>3.5253025783384997</c:v>
                </c:pt>
                <c:pt idx="712">
                  <c:v>4.2800501990347017</c:v>
                </c:pt>
                <c:pt idx="713">
                  <c:v>3.6673364688628918</c:v>
                </c:pt>
                <c:pt idx="714">
                  <c:v>4.1956180054275283</c:v>
                </c:pt>
                <c:pt idx="715">
                  <c:v>4.3123758307016811</c:v>
                </c:pt>
                <c:pt idx="716">
                  <c:v>3.798021891592287</c:v>
                </c:pt>
                <c:pt idx="717">
                  <c:v>4.130052614961933</c:v>
                </c:pt>
                <c:pt idx="718">
                  <c:v>4.1194517342311379</c:v>
                </c:pt>
                <c:pt idx="719">
                  <c:v>4.427103627129509</c:v>
                </c:pt>
                <c:pt idx="720">
                  <c:v>3.4823665434800568</c:v>
                </c:pt>
                <c:pt idx="721">
                  <c:v>4.0094696766922224</c:v>
                </c:pt>
                <c:pt idx="722">
                  <c:v>3.731259671703099</c:v>
                </c:pt>
                <c:pt idx="723">
                  <c:v>3.9466056155044069</c:v>
                </c:pt>
                <c:pt idx="724">
                  <c:v>4.0961677923152235</c:v>
                </c:pt>
                <c:pt idx="725">
                  <c:v>3.9926186034354134</c:v>
                </c:pt>
                <c:pt idx="726">
                  <c:v>4.0389654770772285</c:v>
                </c:pt>
                <c:pt idx="727">
                  <c:v>3.8655717577440143</c:v>
                </c:pt>
                <c:pt idx="728">
                  <c:v>2.8383681977478923</c:v>
                </c:pt>
                <c:pt idx="729">
                  <c:v>4.4961515108804155</c:v>
                </c:pt>
                <c:pt idx="730">
                  <c:v>4.1196560758100214</c:v>
                </c:pt>
                <c:pt idx="731">
                  <c:v>3.7749129303720603</c:v>
                </c:pt>
                <c:pt idx="732">
                  <c:v>2.6627731295542927</c:v>
                </c:pt>
                <c:pt idx="733">
                  <c:v>4.4163956554239103</c:v>
                </c:pt>
                <c:pt idx="734">
                  <c:v>3.9184677708632312</c:v>
                </c:pt>
                <c:pt idx="735">
                  <c:v>4.3053525149545262</c:v>
                </c:pt>
                <c:pt idx="736">
                  <c:v>4.3826855114038317</c:v>
                </c:pt>
                <c:pt idx="737">
                  <c:v>2.5247866765845481</c:v>
                </c:pt>
                <c:pt idx="738">
                  <c:v>3.8147151935355081</c:v>
                </c:pt>
                <c:pt idx="739">
                  <c:v>3.5033716555205503</c:v>
                </c:pt>
                <c:pt idx="740">
                  <c:v>3.545186302893184</c:v>
                </c:pt>
                <c:pt idx="741">
                  <c:v>4.2752424631221242</c:v>
                </c:pt>
                <c:pt idx="742">
                  <c:v>4.2707425806869033</c:v>
                </c:pt>
                <c:pt idx="743">
                  <c:v>4.3922950208227558</c:v>
                </c:pt>
                <c:pt idx="744">
                  <c:v>3.0023744786188371</c:v>
                </c:pt>
                <c:pt idx="745">
                  <c:v>4.5048353696062433</c:v>
                </c:pt>
                <c:pt idx="746">
                  <c:v>4.0619157979143505</c:v>
                </c:pt>
                <c:pt idx="747">
                  <c:v>4.294690346010432</c:v>
                </c:pt>
                <c:pt idx="748">
                  <c:v>4.1893368389935297</c:v>
                </c:pt>
                <c:pt idx="749">
                  <c:v>4.180279750773833</c:v>
                </c:pt>
                <c:pt idx="750">
                  <c:v>4.3569111724809853</c:v>
                </c:pt>
                <c:pt idx="751">
                  <c:v>3.5099433984389274</c:v>
                </c:pt>
                <c:pt idx="752">
                  <c:v>3.734712320381596</c:v>
                </c:pt>
                <c:pt idx="753">
                  <c:v>3.8930060018327906</c:v>
                </c:pt>
                <c:pt idx="754">
                  <c:v>4.4799900109641584</c:v>
                </c:pt>
                <c:pt idx="755">
                  <c:v>4.0038206536760281</c:v>
                </c:pt>
                <c:pt idx="756">
                  <c:v>4.3211213586019479</c:v>
                </c:pt>
                <c:pt idx="757">
                  <c:v>4.2731319740854357</c:v>
                </c:pt>
                <c:pt idx="758">
                  <c:v>4.2102572123722126</c:v>
                </c:pt>
                <c:pt idx="759">
                  <c:v>4.515921581316297</c:v>
                </c:pt>
                <c:pt idx="760">
                  <c:v>3.9899175635710407</c:v>
                </c:pt>
                <c:pt idx="761">
                  <c:v>4.3253674636330004</c:v>
                </c:pt>
                <c:pt idx="762">
                  <c:v>3.8129805500654887</c:v>
                </c:pt>
                <c:pt idx="763">
                  <c:v>3.632717552390444</c:v>
                </c:pt>
                <c:pt idx="764">
                  <c:v>3.9101595989029176</c:v>
                </c:pt>
                <c:pt idx="765">
                  <c:v>3.7462299515467938</c:v>
                </c:pt>
                <c:pt idx="766">
                  <c:v>3.8778657824811611</c:v>
                </c:pt>
                <c:pt idx="767">
                  <c:v>3.5266662180365791</c:v>
                </c:pt>
                <c:pt idx="768">
                  <c:v>4.0816377200639629</c:v>
                </c:pt>
                <c:pt idx="769">
                  <c:v>4.5802671083764013</c:v>
                </c:pt>
                <c:pt idx="770">
                  <c:v>4.4929436701910905</c:v>
                </c:pt>
                <c:pt idx="771">
                  <c:v>3.6576256946992225</c:v>
                </c:pt>
                <c:pt idx="772">
                  <c:v>3.8738976118064183</c:v>
                </c:pt>
                <c:pt idx="773">
                  <c:v>4.5078638983035262</c:v>
                </c:pt>
                <c:pt idx="774">
                  <c:v>4.1638705080566591</c:v>
                </c:pt>
                <c:pt idx="775">
                  <c:v>3.9505884027042999</c:v>
                </c:pt>
                <c:pt idx="776">
                  <c:v>3.7683673904780846</c:v>
                </c:pt>
                <c:pt idx="777">
                  <c:v>3.9704693940452627</c:v>
                </c:pt>
                <c:pt idx="778">
                  <c:v>3.9975739758439</c:v>
                </c:pt>
                <c:pt idx="779">
                  <c:v>3.9362635447222329</c:v>
                </c:pt>
                <c:pt idx="780">
                  <c:v>4.4900277511216542</c:v>
                </c:pt>
                <c:pt idx="781">
                  <c:v>4.0585115191480972</c:v>
                </c:pt>
                <c:pt idx="782">
                  <c:v>3.4608882249592896</c:v>
                </c:pt>
                <c:pt idx="783">
                  <c:v>4.1190423700649896</c:v>
                </c:pt>
                <c:pt idx="784">
                  <c:v>4.3905392244442565</c:v>
                </c:pt>
                <c:pt idx="785">
                  <c:v>4.2710822917348343</c:v>
                </c:pt>
                <c:pt idx="786">
                  <c:v>4.3998905214654958</c:v>
                </c:pt>
                <c:pt idx="787">
                  <c:v>3.5754726587078398</c:v>
                </c:pt>
                <c:pt idx="788">
                  <c:v>3.7978209986467308</c:v>
                </c:pt>
                <c:pt idx="789">
                  <c:v>3.969767222426237</c:v>
                </c:pt>
                <c:pt idx="790">
                  <c:v>3.9673270969005721</c:v>
                </c:pt>
                <c:pt idx="791">
                  <c:v>4.5268559453571076</c:v>
                </c:pt>
                <c:pt idx="792">
                  <c:v>4.0350378567015728</c:v>
                </c:pt>
                <c:pt idx="793">
                  <c:v>4.4075489777691947</c:v>
                </c:pt>
                <c:pt idx="794">
                  <c:v>4.1420219758236021</c:v>
                </c:pt>
                <c:pt idx="795">
                  <c:v>4.4573239587971338</c:v>
                </c:pt>
                <c:pt idx="796">
                  <c:v>4.1738406252381273</c:v>
                </c:pt>
                <c:pt idx="797">
                  <c:v>4.0103346364881496</c:v>
                </c:pt>
                <c:pt idx="798">
                  <c:v>3.4144896736488959</c:v>
                </c:pt>
                <c:pt idx="799">
                  <c:v>3.4809520013822439</c:v>
                </c:pt>
                <c:pt idx="800">
                  <c:v>3.2939398437980349</c:v>
                </c:pt>
                <c:pt idx="801">
                  <c:v>3.8874637255854734</c:v>
                </c:pt>
                <c:pt idx="802">
                  <c:v>4.7015281891212855</c:v>
                </c:pt>
                <c:pt idx="803">
                  <c:v>4.3324121228137669</c:v>
                </c:pt>
                <c:pt idx="804">
                  <c:v>4.4293280344574306</c:v>
                </c:pt>
                <c:pt idx="805">
                  <c:v>4.3056073807333437</c:v>
                </c:pt>
                <c:pt idx="806">
                  <c:v>4.1936506507100741</c:v>
                </c:pt>
                <c:pt idx="807">
                  <c:v>4.1135455400900538</c:v>
                </c:pt>
                <c:pt idx="808">
                  <c:v>4.2340559129034556</c:v>
                </c:pt>
                <c:pt idx="809">
                  <c:v>3.9236715479841151</c:v>
                </c:pt>
                <c:pt idx="810">
                  <c:v>4.2922234384002209</c:v>
                </c:pt>
                <c:pt idx="811">
                  <c:v>4.2288246311649464</c:v>
                </c:pt>
                <c:pt idx="812">
                  <c:v>2.5673101565077832</c:v>
                </c:pt>
                <c:pt idx="813">
                  <c:v>4.4762675551678424</c:v>
                </c:pt>
                <c:pt idx="814">
                  <c:v>4.2592529354960202</c:v>
                </c:pt>
                <c:pt idx="815">
                  <c:v>4.5449201428227246</c:v>
                </c:pt>
                <c:pt idx="816">
                  <c:v>4.4738448799782962</c:v>
                </c:pt>
                <c:pt idx="817">
                  <c:v>3.741446007768551</c:v>
                </c:pt>
                <c:pt idx="818">
                  <c:v>4.2651118499138274</c:v>
                </c:pt>
                <c:pt idx="819">
                  <c:v>3.9565089611706799</c:v>
                </c:pt>
                <c:pt idx="820">
                  <c:v>3.3192043025787878</c:v>
                </c:pt>
                <c:pt idx="821">
                  <c:v>3.7812952225683665</c:v>
                </c:pt>
                <c:pt idx="822">
                  <c:v>3.9615078174588718</c:v>
                </c:pt>
                <c:pt idx="823">
                  <c:v>3.5459945378993907</c:v>
                </c:pt>
                <c:pt idx="824">
                  <c:v>4.4699614583109941</c:v>
                </c:pt>
                <c:pt idx="825">
                  <c:v>3.8812709178890681</c:v>
                </c:pt>
                <c:pt idx="826">
                  <c:v>4.2194116691672559</c:v>
                </c:pt>
                <c:pt idx="827">
                  <c:v>4.2972767197259403</c:v>
                </c:pt>
                <c:pt idx="828">
                  <c:v>4.2680452146403116</c:v>
                </c:pt>
                <c:pt idx="829">
                  <c:v>4.0904154711730838</c:v>
                </c:pt>
                <c:pt idx="830">
                  <c:v>4.1234853727777718</c:v>
                </c:pt>
                <c:pt idx="831">
                  <c:v>4.5606052835031976</c:v>
                </c:pt>
                <c:pt idx="832">
                  <c:v>4.618234233263264</c:v>
                </c:pt>
                <c:pt idx="833">
                  <c:v>3.7262296457591848</c:v>
                </c:pt>
                <c:pt idx="834">
                  <c:v>4.2537402410612861</c:v>
                </c:pt>
                <c:pt idx="835">
                  <c:v>3.5187706660663642</c:v>
                </c:pt>
                <c:pt idx="836">
                  <c:v>3.7766836741674723</c:v>
                </c:pt>
                <c:pt idx="837">
                  <c:v>4.3134949255352621</c:v>
                </c:pt>
                <c:pt idx="838">
                  <c:v>4.2728688843394673</c:v>
                </c:pt>
                <c:pt idx="839">
                  <c:v>4.372147333591915</c:v>
                </c:pt>
                <c:pt idx="840">
                  <c:v>4.0113470918749838</c:v>
                </c:pt>
                <c:pt idx="841">
                  <c:v>3.7870169833896554</c:v>
                </c:pt>
                <c:pt idx="842">
                  <c:v>4.4139598002515692</c:v>
                </c:pt>
                <c:pt idx="843">
                  <c:v>3.3374964833133363</c:v>
                </c:pt>
                <c:pt idx="844">
                  <c:v>4.0230744425848703</c:v>
                </c:pt>
                <c:pt idx="845">
                  <c:v>3.3737139721078542</c:v>
                </c:pt>
                <c:pt idx="846">
                  <c:v>4.3816829183991377</c:v>
                </c:pt>
                <c:pt idx="847">
                  <c:v>4.2589443850701638</c:v>
                </c:pt>
                <c:pt idx="848">
                  <c:v>3.6070993452148383</c:v>
                </c:pt>
                <c:pt idx="849">
                  <c:v>4.2154637101576924</c:v>
                </c:pt>
                <c:pt idx="850">
                  <c:v>4.1542046619284765</c:v>
                </c:pt>
                <c:pt idx="851">
                  <c:v>3.5373928891942232</c:v>
                </c:pt>
                <c:pt idx="852">
                  <c:v>4.5898650892392645</c:v>
                </c:pt>
                <c:pt idx="853">
                  <c:v>3.6991818746685432</c:v>
                </c:pt>
                <c:pt idx="854">
                  <c:v>4.5176163169266692</c:v>
                </c:pt>
                <c:pt idx="855">
                  <c:v>4.0459294477167322</c:v>
                </c:pt>
                <c:pt idx="856">
                  <c:v>4.2750047481069204</c:v>
                </c:pt>
                <c:pt idx="857">
                  <c:v>4.3674327304173381</c:v>
                </c:pt>
                <c:pt idx="858">
                  <c:v>4.0739206854861276</c:v>
                </c:pt>
                <c:pt idx="859">
                  <c:v>4.0664628866528432</c:v>
                </c:pt>
                <c:pt idx="860">
                  <c:v>4.1250585824595181</c:v>
                </c:pt>
                <c:pt idx="861">
                  <c:v>4.2089587288229637</c:v>
                </c:pt>
                <c:pt idx="862">
                  <c:v>4.116879595481775</c:v>
                </c:pt>
                <c:pt idx="863">
                  <c:v>4.1257095388197511</c:v>
                </c:pt>
                <c:pt idx="864">
                  <c:v>4.1657114509734248</c:v>
                </c:pt>
                <c:pt idx="865">
                  <c:v>3.7713511148929517</c:v>
                </c:pt>
                <c:pt idx="866">
                  <c:v>3.8734181265533199</c:v>
                </c:pt>
                <c:pt idx="867">
                  <c:v>4.208269525490083</c:v>
                </c:pt>
                <c:pt idx="868">
                  <c:v>4.2350875149387566</c:v>
                </c:pt>
                <c:pt idx="869">
                  <c:v>4.1962407808591395</c:v>
                </c:pt>
                <c:pt idx="870">
                  <c:v>4.0707753388691188</c:v>
                </c:pt>
                <c:pt idx="871">
                  <c:v>3.423803509470333</c:v>
                </c:pt>
                <c:pt idx="872">
                  <c:v>4.2455181785327856</c:v>
                </c:pt>
                <c:pt idx="873">
                  <c:v>3.9757136202961072</c:v>
                </c:pt>
                <c:pt idx="874">
                  <c:v>3.977810401876146</c:v>
                </c:pt>
                <c:pt idx="875">
                  <c:v>3.2172086721250865</c:v>
                </c:pt>
                <c:pt idx="876">
                  <c:v>3.5669163246289362</c:v>
                </c:pt>
                <c:pt idx="877">
                  <c:v>3.1763645070732354</c:v>
                </c:pt>
                <c:pt idx="878">
                  <c:v>4.5402893041681915</c:v>
                </c:pt>
                <c:pt idx="879">
                  <c:v>4.164682177148066</c:v>
                </c:pt>
                <c:pt idx="880">
                  <c:v>3.0742070949818663</c:v>
                </c:pt>
                <c:pt idx="881">
                  <c:v>4.4767184695454034</c:v>
                </c:pt>
                <c:pt idx="882">
                  <c:v>4.0820310231056736</c:v>
                </c:pt>
                <c:pt idx="883">
                  <c:v>3.7603679314294087</c:v>
                </c:pt>
                <c:pt idx="884">
                  <c:v>4.2813603885744449</c:v>
                </c:pt>
                <c:pt idx="885">
                  <c:v>4.2558055169122948</c:v>
                </c:pt>
                <c:pt idx="886">
                  <c:v>4.3102391124630124</c:v>
                </c:pt>
                <c:pt idx="887">
                  <c:v>2.6890583112196986</c:v>
                </c:pt>
                <c:pt idx="888">
                  <c:v>4.6483924091485109</c:v>
                </c:pt>
                <c:pt idx="889">
                  <c:v>3.5786982805494931</c:v>
                </c:pt>
                <c:pt idx="890">
                  <c:v>4.2362253063536031</c:v>
                </c:pt>
                <c:pt idx="891">
                  <c:v>4.4045678523288609</c:v>
                </c:pt>
                <c:pt idx="892">
                  <c:v>4.4284726335110474</c:v>
                </c:pt>
                <c:pt idx="893">
                  <c:v>4.39810376416537</c:v>
                </c:pt>
                <c:pt idx="894">
                  <c:v>3.9291923189829459</c:v>
                </c:pt>
                <c:pt idx="895">
                  <c:v>4.3869666100957243</c:v>
                </c:pt>
                <c:pt idx="896">
                  <c:v>3.9944634225448907</c:v>
                </c:pt>
                <c:pt idx="897">
                  <c:v>3.6977187503729034</c:v>
                </c:pt>
                <c:pt idx="898">
                  <c:v>4.0515334646405439</c:v>
                </c:pt>
                <c:pt idx="899">
                  <c:v>3.5000439110687114</c:v>
                </c:pt>
                <c:pt idx="900">
                  <c:v>3.7065981633385277</c:v>
                </c:pt>
                <c:pt idx="901">
                  <c:v>2.6347496022288217</c:v>
                </c:pt>
                <c:pt idx="902">
                  <c:v>4.4315365363117225</c:v>
                </c:pt>
                <c:pt idx="903">
                  <c:v>4.2983338443771117</c:v>
                </c:pt>
                <c:pt idx="904">
                  <c:v>4.0192305798803387</c:v>
                </c:pt>
                <c:pt idx="905">
                  <c:v>4.2072783410903147</c:v>
                </c:pt>
                <c:pt idx="906">
                  <c:v>4.5247314798271878</c:v>
                </c:pt>
                <c:pt idx="907">
                  <c:v>3.6481673872759632</c:v>
                </c:pt>
                <c:pt idx="908">
                  <c:v>3.0412125820022755</c:v>
                </c:pt>
                <c:pt idx="909">
                  <c:v>3.5968129823082515</c:v>
                </c:pt>
                <c:pt idx="910">
                  <c:v>2.9468728941974818</c:v>
                </c:pt>
                <c:pt idx="911">
                  <c:v>3.9198307961058041</c:v>
                </c:pt>
                <c:pt idx="912">
                  <c:v>4.1823934942918566</c:v>
                </c:pt>
                <c:pt idx="913">
                  <c:v>3.2337330189054612</c:v>
                </c:pt>
                <c:pt idx="914">
                  <c:v>4.1787559829763286</c:v>
                </c:pt>
                <c:pt idx="915">
                  <c:v>4.5183006372814294</c:v>
                </c:pt>
                <c:pt idx="916">
                  <c:v>4.4015639281551149</c:v>
                </c:pt>
                <c:pt idx="917">
                  <c:v>3.7635403162195398</c:v>
                </c:pt>
                <c:pt idx="918">
                  <c:v>4.1438959072663861</c:v>
                </c:pt>
                <c:pt idx="919">
                  <c:v>3.9318474167807325</c:v>
                </c:pt>
                <c:pt idx="920">
                  <c:v>3.7812044841065848</c:v>
                </c:pt>
                <c:pt idx="921">
                  <c:v>4.0702290497509663</c:v>
                </c:pt>
                <c:pt idx="922">
                  <c:v>3.7237613752714798</c:v>
                </c:pt>
                <c:pt idx="923">
                  <c:v>4.2768837347848425</c:v>
                </c:pt>
                <c:pt idx="924">
                  <c:v>4.0223643276592442</c:v>
                </c:pt>
                <c:pt idx="925">
                  <c:v>4.1044593337178856</c:v>
                </c:pt>
                <c:pt idx="926">
                  <c:v>3.7476678080049077</c:v>
                </c:pt>
                <c:pt idx="927">
                  <c:v>4.3572711837251097</c:v>
                </c:pt>
                <c:pt idx="928">
                  <c:v>4.3043170097457226</c:v>
                </c:pt>
                <c:pt idx="929">
                  <c:v>4.7392520475323172</c:v>
                </c:pt>
                <c:pt idx="930">
                  <c:v>3.4833513610080264</c:v>
                </c:pt>
                <c:pt idx="931">
                  <c:v>3.3570025140248072</c:v>
                </c:pt>
                <c:pt idx="932">
                  <c:v>4.0247861619279135</c:v>
                </c:pt>
                <c:pt idx="933">
                  <c:v>4.3123281560869602</c:v>
                </c:pt>
                <c:pt idx="934">
                  <c:v>3.9775871526025304</c:v>
                </c:pt>
                <c:pt idx="935">
                  <c:v>3.9617115424644309</c:v>
                </c:pt>
                <c:pt idx="936">
                  <c:v>4.3773800322938667</c:v>
                </c:pt>
                <c:pt idx="937">
                  <c:v>3.8130513127838523</c:v>
                </c:pt>
                <c:pt idx="938">
                  <c:v>4.1107388857448957</c:v>
                </c:pt>
                <c:pt idx="939">
                  <c:v>4.644506772805947</c:v>
                </c:pt>
                <c:pt idx="940">
                  <c:v>4.2755346669644201</c:v>
                </c:pt>
                <c:pt idx="941">
                  <c:v>3.5787352061630635</c:v>
                </c:pt>
                <c:pt idx="942">
                  <c:v>4.3957578212017694</c:v>
                </c:pt>
                <c:pt idx="943">
                  <c:v>4.4202513649616604</c:v>
                </c:pt>
                <c:pt idx="944">
                  <c:v>4.1010340251660731</c:v>
                </c:pt>
                <c:pt idx="945">
                  <c:v>3.9620502630503727</c:v>
                </c:pt>
                <c:pt idx="946">
                  <c:v>3.6253404129869589</c:v>
                </c:pt>
                <c:pt idx="947">
                  <c:v>4.2616319552615449</c:v>
                </c:pt>
                <c:pt idx="948">
                  <c:v>4.0560034629640791</c:v>
                </c:pt>
                <c:pt idx="949">
                  <c:v>3.572097615047003</c:v>
                </c:pt>
                <c:pt idx="950">
                  <c:v>4.512435280349262</c:v>
                </c:pt>
                <c:pt idx="951">
                  <c:v>4.3046843594405688</c:v>
                </c:pt>
                <c:pt idx="952">
                  <c:v>4.19393075146884</c:v>
                </c:pt>
                <c:pt idx="953">
                  <c:v>4.5517773246354256</c:v>
                </c:pt>
                <c:pt idx="954">
                  <c:v>4.0150253942105101</c:v>
                </c:pt>
                <c:pt idx="955">
                  <c:v>3.513212568960522</c:v>
                </c:pt>
                <c:pt idx="956">
                  <c:v>4.0494806586424152</c:v>
                </c:pt>
                <c:pt idx="957">
                  <c:v>3.6594467242083462</c:v>
                </c:pt>
                <c:pt idx="958">
                  <c:v>4.0129306333311412</c:v>
                </c:pt>
                <c:pt idx="959">
                  <c:v>4.1173748936414762</c:v>
                </c:pt>
                <c:pt idx="960">
                  <c:v>3.9533023119181565</c:v>
                </c:pt>
                <c:pt idx="961">
                  <c:v>3.9535817252552206</c:v>
                </c:pt>
                <c:pt idx="962">
                  <c:v>4.2980055713743823</c:v>
                </c:pt>
                <c:pt idx="963">
                  <c:v>4.3638982461386444</c:v>
                </c:pt>
                <c:pt idx="964">
                  <c:v>4.4207089715467012</c:v>
                </c:pt>
                <c:pt idx="965">
                  <c:v>4.549148669367626</c:v>
                </c:pt>
                <c:pt idx="966">
                  <c:v>4.3277282335577736</c:v>
                </c:pt>
                <c:pt idx="967">
                  <c:v>4.0150299646363514</c:v>
                </c:pt>
                <c:pt idx="968">
                  <c:v>4.2577625970651924</c:v>
                </c:pt>
                <c:pt idx="969">
                  <c:v>3.900448100182131</c:v>
                </c:pt>
                <c:pt idx="970">
                  <c:v>4.4235316153706155</c:v>
                </c:pt>
                <c:pt idx="971">
                  <c:v>3.9476806841941712</c:v>
                </c:pt>
                <c:pt idx="972">
                  <c:v>4.1194759475307148</c:v>
                </c:pt>
                <c:pt idx="973">
                  <c:v>4.005511344095531</c:v>
                </c:pt>
                <c:pt idx="974">
                  <c:v>4.2092279492319173</c:v>
                </c:pt>
                <c:pt idx="975">
                  <c:v>4.4392774578633443</c:v>
                </c:pt>
                <c:pt idx="976">
                  <c:v>4.3443248533393417</c:v>
                </c:pt>
                <c:pt idx="977">
                  <c:v>3.9042145473008678</c:v>
                </c:pt>
                <c:pt idx="978">
                  <c:v>4.5868027038267751</c:v>
                </c:pt>
                <c:pt idx="979">
                  <c:v>4.3955927893074911</c:v>
                </c:pt>
                <c:pt idx="980">
                  <c:v>4.3253364629240458</c:v>
                </c:pt>
                <c:pt idx="981">
                  <c:v>3.8905480497567622</c:v>
                </c:pt>
                <c:pt idx="982">
                  <c:v>4.2659224318262687</c:v>
                </c:pt>
                <c:pt idx="983">
                  <c:v>4.3763869807579301</c:v>
                </c:pt>
                <c:pt idx="984">
                  <c:v>4.1897704120962356</c:v>
                </c:pt>
                <c:pt idx="985">
                  <c:v>4.2552244314183119</c:v>
                </c:pt>
                <c:pt idx="986">
                  <c:v>4.4455519158063606</c:v>
                </c:pt>
                <c:pt idx="987">
                  <c:v>3.2550418633650793</c:v>
                </c:pt>
                <c:pt idx="988">
                  <c:v>4.0454189777835055</c:v>
                </c:pt>
                <c:pt idx="989">
                  <c:v>4.5241714193999432</c:v>
                </c:pt>
                <c:pt idx="990">
                  <c:v>4.4367573207796163</c:v>
                </c:pt>
                <c:pt idx="991">
                  <c:v>4.4793283721701576</c:v>
                </c:pt>
                <c:pt idx="992">
                  <c:v>4.0796177702224643</c:v>
                </c:pt>
                <c:pt idx="993">
                  <c:v>4.1961352909424532</c:v>
                </c:pt>
                <c:pt idx="994">
                  <c:v>3.8093318046906854</c:v>
                </c:pt>
                <c:pt idx="995">
                  <c:v>4.0542201281159462</c:v>
                </c:pt>
                <c:pt idx="996">
                  <c:v>3.442351718830893</c:v>
                </c:pt>
                <c:pt idx="997">
                  <c:v>3.6312538571317283</c:v>
                </c:pt>
                <c:pt idx="998">
                  <c:v>4.3170875932639374</c:v>
                </c:pt>
                <c:pt idx="999">
                  <c:v>3.7591486418474878</c:v>
                </c:pt>
              </c:numCache>
            </c:numRef>
          </c:xVal>
          <c:yVal>
            <c:numRef>
              <c:f>Simulation!$P$6:$P$1005</c:f>
              <c:numCache>
                <c:formatCode>0.00_ ;\-0.00\ </c:formatCode>
                <c:ptCount val="1000"/>
                <c:pt idx="0">
                  <c:v>19577.549406204038</c:v>
                </c:pt>
                <c:pt idx="1">
                  <c:v>13156.168532967629</c:v>
                </c:pt>
                <c:pt idx="2">
                  <c:v>16910.242709480994</c:v>
                </c:pt>
                <c:pt idx="3">
                  <c:v>15387.915199421512</c:v>
                </c:pt>
                <c:pt idx="4">
                  <c:v>13254.966283360343</c:v>
                </c:pt>
                <c:pt idx="5">
                  <c:v>11736.147671812367</c:v>
                </c:pt>
                <c:pt idx="6">
                  <c:v>23993.46797655589</c:v>
                </c:pt>
                <c:pt idx="7">
                  <c:v>12829.355322180008</c:v>
                </c:pt>
                <c:pt idx="8">
                  <c:v>22307.002530033049</c:v>
                </c:pt>
                <c:pt idx="9">
                  <c:v>15132.665391338585</c:v>
                </c:pt>
                <c:pt idx="10">
                  <c:v>15588.83730834999</c:v>
                </c:pt>
                <c:pt idx="11">
                  <c:v>16420.019258605476</c:v>
                </c:pt>
                <c:pt idx="12">
                  <c:v>17071.019057759997</c:v>
                </c:pt>
                <c:pt idx="13">
                  <c:v>17429.113828277048</c:v>
                </c:pt>
                <c:pt idx="14">
                  <c:v>22188.935895241888</c:v>
                </c:pt>
                <c:pt idx="15">
                  <c:v>15840.601287339001</c:v>
                </c:pt>
                <c:pt idx="16">
                  <c:v>17359.391039519673</c:v>
                </c:pt>
                <c:pt idx="17">
                  <c:v>24225.74599771294</c:v>
                </c:pt>
                <c:pt idx="18">
                  <c:v>15833.044728390885</c:v>
                </c:pt>
                <c:pt idx="19">
                  <c:v>14721.043422459519</c:v>
                </c:pt>
                <c:pt idx="20">
                  <c:v>18413.619695954982</c:v>
                </c:pt>
                <c:pt idx="21">
                  <c:v>17516.220721998903</c:v>
                </c:pt>
                <c:pt idx="22">
                  <c:v>17469.183498631344</c:v>
                </c:pt>
                <c:pt idx="23">
                  <c:v>21446.952250236154</c:v>
                </c:pt>
                <c:pt idx="24">
                  <c:v>16195.525345028751</c:v>
                </c:pt>
                <c:pt idx="25">
                  <c:v>10102.753225521719</c:v>
                </c:pt>
                <c:pt idx="26">
                  <c:v>19926.6962020512</c:v>
                </c:pt>
                <c:pt idx="27">
                  <c:v>18173.463838068907</c:v>
                </c:pt>
                <c:pt idx="28">
                  <c:v>23843.338224560855</c:v>
                </c:pt>
                <c:pt idx="29">
                  <c:v>16675.688075986702</c:v>
                </c:pt>
                <c:pt idx="30">
                  <c:v>17478.200093011652</c:v>
                </c:pt>
                <c:pt idx="31">
                  <c:v>17521.699602946064</c:v>
                </c:pt>
                <c:pt idx="32">
                  <c:v>12253.88591679311</c:v>
                </c:pt>
                <c:pt idx="33">
                  <c:v>15577.249483259153</c:v>
                </c:pt>
                <c:pt idx="34">
                  <c:v>23937.525723684998</c:v>
                </c:pt>
                <c:pt idx="35">
                  <c:v>14250.602670216884</c:v>
                </c:pt>
                <c:pt idx="36">
                  <c:v>12882.284551246474</c:v>
                </c:pt>
                <c:pt idx="37">
                  <c:v>12922.999038176757</c:v>
                </c:pt>
                <c:pt idx="38">
                  <c:v>28062.62309125793</c:v>
                </c:pt>
                <c:pt idx="39">
                  <c:v>18676.344269349484</c:v>
                </c:pt>
                <c:pt idx="40">
                  <c:v>26022.932219711565</c:v>
                </c:pt>
                <c:pt idx="41">
                  <c:v>12235.449846823722</c:v>
                </c:pt>
                <c:pt idx="42">
                  <c:v>21061.85514838505</c:v>
                </c:pt>
                <c:pt idx="43">
                  <c:v>23816.481659951267</c:v>
                </c:pt>
                <c:pt idx="44">
                  <c:v>14462.975079391072</c:v>
                </c:pt>
                <c:pt idx="45">
                  <c:v>11402.351525674418</c:v>
                </c:pt>
                <c:pt idx="46">
                  <c:v>19880.535062569677</c:v>
                </c:pt>
                <c:pt idx="47">
                  <c:v>15683.734366651124</c:v>
                </c:pt>
                <c:pt idx="48">
                  <c:v>19208.906955053746</c:v>
                </c:pt>
                <c:pt idx="49">
                  <c:v>16896.276688456306</c:v>
                </c:pt>
                <c:pt idx="50">
                  <c:v>13104.527628046899</c:v>
                </c:pt>
                <c:pt idx="51">
                  <c:v>25512.041373006719</c:v>
                </c:pt>
                <c:pt idx="52">
                  <c:v>16899.804417306812</c:v>
                </c:pt>
                <c:pt idx="53">
                  <c:v>13966.554886009106</c:v>
                </c:pt>
                <c:pt idx="54">
                  <c:v>20019.771086091889</c:v>
                </c:pt>
                <c:pt idx="55">
                  <c:v>13370.462533364334</c:v>
                </c:pt>
                <c:pt idx="56">
                  <c:v>13442.171415844536</c:v>
                </c:pt>
                <c:pt idx="57">
                  <c:v>16398.426933402327</c:v>
                </c:pt>
                <c:pt idx="58">
                  <c:v>14214.632965247121</c:v>
                </c:pt>
                <c:pt idx="59">
                  <c:v>19933.214009992047</c:v>
                </c:pt>
                <c:pt idx="60">
                  <c:v>15521.774003553093</c:v>
                </c:pt>
                <c:pt idx="61">
                  <c:v>12944.883564677244</c:v>
                </c:pt>
                <c:pt idx="62">
                  <c:v>18276.615495000493</c:v>
                </c:pt>
                <c:pt idx="63">
                  <c:v>14125.776310529445</c:v>
                </c:pt>
                <c:pt idx="64">
                  <c:v>19037.513813078618</c:v>
                </c:pt>
                <c:pt idx="65">
                  <c:v>19487.379389975842</c:v>
                </c:pt>
                <c:pt idx="66">
                  <c:v>17212.427074340048</c:v>
                </c:pt>
                <c:pt idx="67">
                  <c:v>10273.829539857086</c:v>
                </c:pt>
                <c:pt idx="68">
                  <c:v>14748.535042155589</c:v>
                </c:pt>
                <c:pt idx="69">
                  <c:v>12796.089028881532</c:v>
                </c:pt>
                <c:pt idx="70">
                  <c:v>11346.645612843578</c:v>
                </c:pt>
                <c:pt idx="71">
                  <c:v>15894.692700387648</c:v>
                </c:pt>
                <c:pt idx="72">
                  <c:v>19730.355451552285</c:v>
                </c:pt>
                <c:pt idx="73">
                  <c:v>14506.438501770343</c:v>
                </c:pt>
                <c:pt idx="74">
                  <c:v>18240.334413037421</c:v>
                </c:pt>
                <c:pt idx="75">
                  <c:v>17622.336616650442</c:v>
                </c:pt>
                <c:pt idx="76">
                  <c:v>18157.043494599027</c:v>
                </c:pt>
                <c:pt idx="77">
                  <c:v>18059.250311127817</c:v>
                </c:pt>
                <c:pt idx="78">
                  <c:v>15778.437862999916</c:v>
                </c:pt>
                <c:pt idx="79">
                  <c:v>14675.574258295721</c:v>
                </c:pt>
                <c:pt idx="80">
                  <c:v>21322.582955691942</c:v>
                </c:pt>
                <c:pt idx="81">
                  <c:v>17271.431948770551</c:v>
                </c:pt>
                <c:pt idx="82">
                  <c:v>20139.724987810856</c:v>
                </c:pt>
                <c:pt idx="83">
                  <c:v>14197.102324895264</c:v>
                </c:pt>
                <c:pt idx="84">
                  <c:v>18750.781162550702</c:v>
                </c:pt>
                <c:pt idx="85">
                  <c:v>11711.038098104957</c:v>
                </c:pt>
                <c:pt idx="86">
                  <c:v>14371.647873781723</c:v>
                </c:pt>
                <c:pt idx="87">
                  <c:v>17474.842653723779</c:v>
                </c:pt>
                <c:pt idx="88">
                  <c:v>13139.966339644714</c:v>
                </c:pt>
                <c:pt idx="89">
                  <c:v>15292.995020191478</c:v>
                </c:pt>
                <c:pt idx="90">
                  <c:v>21954.166626957245</c:v>
                </c:pt>
                <c:pt idx="91">
                  <c:v>17149.840590191419</c:v>
                </c:pt>
                <c:pt idx="92">
                  <c:v>19674.896955882734</c:v>
                </c:pt>
                <c:pt idx="93">
                  <c:v>13388.88489948019</c:v>
                </c:pt>
                <c:pt idx="94">
                  <c:v>21039.098016467786</c:v>
                </c:pt>
                <c:pt idx="95">
                  <c:v>21318.722305998253</c:v>
                </c:pt>
                <c:pt idx="96">
                  <c:v>20170.904032282018</c:v>
                </c:pt>
                <c:pt idx="97">
                  <c:v>22419.424075230607</c:v>
                </c:pt>
                <c:pt idx="98">
                  <c:v>18935.854574972818</c:v>
                </c:pt>
                <c:pt idx="99">
                  <c:v>15584.072402851067</c:v>
                </c:pt>
                <c:pt idx="100">
                  <c:v>14330.982392334743</c:v>
                </c:pt>
                <c:pt idx="101">
                  <c:v>21321.783088764871</c:v>
                </c:pt>
                <c:pt idx="102">
                  <c:v>17011.586342156457</c:v>
                </c:pt>
                <c:pt idx="103">
                  <c:v>12879.951809757256</c:v>
                </c:pt>
                <c:pt idx="104">
                  <c:v>18385.345753475398</c:v>
                </c:pt>
                <c:pt idx="105">
                  <c:v>16605.714791991002</c:v>
                </c:pt>
                <c:pt idx="106">
                  <c:v>16220.691201272912</c:v>
                </c:pt>
                <c:pt idx="107">
                  <c:v>20547.84283773668</c:v>
                </c:pt>
                <c:pt idx="108">
                  <c:v>16703.043859539717</c:v>
                </c:pt>
                <c:pt idx="109">
                  <c:v>19317.374448685183</c:v>
                </c:pt>
                <c:pt idx="110">
                  <c:v>13168.51077850221</c:v>
                </c:pt>
                <c:pt idx="111">
                  <c:v>16813.28077688723</c:v>
                </c:pt>
                <c:pt idx="112">
                  <c:v>20823.93077803465</c:v>
                </c:pt>
                <c:pt idx="113">
                  <c:v>18697.136809611005</c:v>
                </c:pt>
                <c:pt idx="114">
                  <c:v>15556.878842748389</c:v>
                </c:pt>
                <c:pt idx="115">
                  <c:v>22644.724758841585</c:v>
                </c:pt>
                <c:pt idx="116">
                  <c:v>10828.406588745285</c:v>
                </c:pt>
                <c:pt idx="117">
                  <c:v>15221.984719579443</c:v>
                </c:pt>
                <c:pt idx="118">
                  <c:v>16869.182029597123</c:v>
                </c:pt>
                <c:pt idx="119">
                  <c:v>11882.818075192803</c:v>
                </c:pt>
                <c:pt idx="120">
                  <c:v>16167.228673736059</c:v>
                </c:pt>
                <c:pt idx="121">
                  <c:v>16020.047583566618</c:v>
                </c:pt>
                <c:pt idx="122">
                  <c:v>16735.246801416884</c:v>
                </c:pt>
                <c:pt idx="123">
                  <c:v>18632.035198484613</c:v>
                </c:pt>
                <c:pt idx="124">
                  <c:v>21706.467146252839</c:v>
                </c:pt>
                <c:pt idx="125">
                  <c:v>14553.654017490331</c:v>
                </c:pt>
                <c:pt idx="126">
                  <c:v>17878.119993463919</c:v>
                </c:pt>
                <c:pt idx="127">
                  <c:v>13418.982692962991</c:v>
                </c:pt>
                <c:pt idx="128">
                  <c:v>15854.640809407148</c:v>
                </c:pt>
                <c:pt idx="129">
                  <c:v>18259.756479256132</c:v>
                </c:pt>
                <c:pt idx="130">
                  <c:v>17518.059276602919</c:v>
                </c:pt>
                <c:pt idx="131">
                  <c:v>18891.848767286647</c:v>
                </c:pt>
                <c:pt idx="132">
                  <c:v>15695.029788681637</c:v>
                </c:pt>
                <c:pt idx="133">
                  <c:v>14115.52226713846</c:v>
                </c:pt>
                <c:pt idx="134">
                  <c:v>16396.382413872969</c:v>
                </c:pt>
                <c:pt idx="135">
                  <c:v>15702.016511171936</c:v>
                </c:pt>
                <c:pt idx="136">
                  <c:v>14149.461358670176</c:v>
                </c:pt>
                <c:pt idx="137">
                  <c:v>16325.223369174699</c:v>
                </c:pt>
                <c:pt idx="138">
                  <c:v>18553.246667068404</c:v>
                </c:pt>
                <c:pt idx="139">
                  <c:v>19055.877416671072</c:v>
                </c:pt>
                <c:pt idx="140">
                  <c:v>13498.896269589421</c:v>
                </c:pt>
                <c:pt idx="141">
                  <c:v>26703.186261152139</c:v>
                </c:pt>
                <c:pt idx="142">
                  <c:v>21520.350987112484</c:v>
                </c:pt>
                <c:pt idx="143">
                  <c:v>16328.413729688273</c:v>
                </c:pt>
                <c:pt idx="144">
                  <c:v>18786.702517801834</c:v>
                </c:pt>
                <c:pt idx="145">
                  <c:v>13548.990096813886</c:v>
                </c:pt>
                <c:pt idx="146">
                  <c:v>21500.387024356482</c:v>
                </c:pt>
                <c:pt idx="147">
                  <c:v>14394.000991754645</c:v>
                </c:pt>
                <c:pt idx="148">
                  <c:v>13634.671152437983</c:v>
                </c:pt>
                <c:pt idx="149">
                  <c:v>17024.610279216948</c:v>
                </c:pt>
                <c:pt idx="150">
                  <c:v>16157.959739887508</c:v>
                </c:pt>
                <c:pt idx="151">
                  <c:v>23420.816127165388</c:v>
                </c:pt>
                <c:pt idx="152">
                  <c:v>15198.734487430409</c:v>
                </c:pt>
                <c:pt idx="153">
                  <c:v>17005.000007835832</c:v>
                </c:pt>
                <c:pt idx="154">
                  <c:v>17790.975136362063</c:v>
                </c:pt>
                <c:pt idx="155">
                  <c:v>17536.662056779904</c:v>
                </c:pt>
                <c:pt idx="156">
                  <c:v>22501.406864556164</c:v>
                </c:pt>
                <c:pt idx="157">
                  <c:v>20607.302628566191</c:v>
                </c:pt>
                <c:pt idx="158">
                  <c:v>18091.329013312305</c:v>
                </c:pt>
                <c:pt idx="159">
                  <c:v>20170.369485007657</c:v>
                </c:pt>
                <c:pt idx="160">
                  <c:v>21130.86844678779</c:v>
                </c:pt>
                <c:pt idx="161">
                  <c:v>21294.125755632213</c:v>
                </c:pt>
                <c:pt idx="162">
                  <c:v>14563.04873028877</c:v>
                </c:pt>
                <c:pt idx="163">
                  <c:v>22717.6711169193</c:v>
                </c:pt>
                <c:pt idx="164">
                  <c:v>14413.642581484832</c:v>
                </c:pt>
                <c:pt idx="165">
                  <c:v>17399.441866252899</c:v>
                </c:pt>
                <c:pt idx="166">
                  <c:v>8471.6662084294967</c:v>
                </c:pt>
                <c:pt idx="167">
                  <c:v>12092.65424802955</c:v>
                </c:pt>
                <c:pt idx="168">
                  <c:v>18658.348387161928</c:v>
                </c:pt>
                <c:pt idx="169">
                  <c:v>19092.946725657235</c:v>
                </c:pt>
                <c:pt idx="170">
                  <c:v>17142.425094856553</c:v>
                </c:pt>
                <c:pt idx="171">
                  <c:v>14488.86393325957</c:v>
                </c:pt>
                <c:pt idx="172">
                  <c:v>19685.001988911463</c:v>
                </c:pt>
                <c:pt idx="173">
                  <c:v>25130.816845856196</c:v>
                </c:pt>
                <c:pt idx="174">
                  <c:v>12635.122694184736</c:v>
                </c:pt>
                <c:pt idx="175">
                  <c:v>13260.456498774043</c:v>
                </c:pt>
                <c:pt idx="176">
                  <c:v>11648.403702881122</c:v>
                </c:pt>
                <c:pt idx="177">
                  <c:v>16381.55147870064</c:v>
                </c:pt>
                <c:pt idx="178">
                  <c:v>17052.33698157419</c:v>
                </c:pt>
                <c:pt idx="179">
                  <c:v>16521.423150435741</c:v>
                </c:pt>
                <c:pt idx="180">
                  <c:v>12156.008728853318</c:v>
                </c:pt>
                <c:pt idx="181">
                  <c:v>16696.897833781986</c:v>
                </c:pt>
                <c:pt idx="182">
                  <c:v>17129.865538139413</c:v>
                </c:pt>
                <c:pt idx="183">
                  <c:v>19508.978256929771</c:v>
                </c:pt>
                <c:pt idx="184">
                  <c:v>12015.753036569171</c:v>
                </c:pt>
                <c:pt idx="185">
                  <c:v>18326.858670806399</c:v>
                </c:pt>
                <c:pt idx="186">
                  <c:v>19422.336694780621</c:v>
                </c:pt>
                <c:pt idx="187">
                  <c:v>17254.202619970842</c:v>
                </c:pt>
                <c:pt idx="188">
                  <c:v>22788.656388867308</c:v>
                </c:pt>
                <c:pt idx="189">
                  <c:v>18879.462660939938</c:v>
                </c:pt>
                <c:pt idx="190">
                  <c:v>13286.322833067021</c:v>
                </c:pt>
                <c:pt idx="191">
                  <c:v>17413.528379406853</c:v>
                </c:pt>
                <c:pt idx="192">
                  <c:v>14169.046075371931</c:v>
                </c:pt>
                <c:pt idx="193">
                  <c:v>9305.7755911723234</c:v>
                </c:pt>
                <c:pt idx="194">
                  <c:v>15562.008445430343</c:v>
                </c:pt>
                <c:pt idx="195">
                  <c:v>14943.673187880015</c:v>
                </c:pt>
                <c:pt idx="196">
                  <c:v>19324.85816923629</c:v>
                </c:pt>
                <c:pt idx="197">
                  <c:v>12731.526528961745</c:v>
                </c:pt>
                <c:pt idx="198">
                  <c:v>19254.224922261805</c:v>
                </c:pt>
                <c:pt idx="199">
                  <c:v>13000.173856106519</c:v>
                </c:pt>
                <c:pt idx="200">
                  <c:v>15317.141552496922</c:v>
                </c:pt>
                <c:pt idx="201">
                  <c:v>18064.565048460005</c:v>
                </c:pt>
                <c:pt idx="202">
                  <c:v>16285.869637500571</c:v>
                </c:pt>
                <c:pt idx="203">
                  <c:v>18614.817466225064</c:v>
                </c:pt>
                <c:pt idx="204">
                  <c:v>19971.848947085429</c:v>
                </c:pt>
                <c:pt idx="205">
                  <c:v>18759.263638450331</c:v>
                </c:pt>
                <c:pt idx="206">
                  <c:v>15108.480569274701</c:v>
                </c:pt>
                <c:pt idx="207">
                  <c:v>22111.99898260906</c:v>
                </c:pt>
                <c:pt idx="208">
                  <c:v>18967.517143696132</c:v>
                </c:pt>
                <c:pt idx="209">
                  <c:v>11441.218382355853</c:v>
                </c:pt>
                <c:pt idx="210">
                  <c:v>19083.772911705135</c:v>
                </c:pt>
                <c:pt idx="211">
                  <c:v>16244.677025518675</c:v>
                </c:pt>
                <c:pt idx="212">
                  <c:v>18119.388973056033</c:v>
                </c:pt>
                <c:pt idx="213">
                  <c:v>20094.122437444079</c:v>
                </c:pt>
                <c:pt idx="214">
                  <c:v>13736.612992115413</c:v>
                </c:pt>
                <c:pt idx="215">
                  <c:v>18804.910782688301</c:v>
                </c:pt>
                <c:pt idx="216">
                  <c:v>19570.856945762167</c:v>
                </c:pt>
                <c:pt idx="217">
                  <c:v>18527.851637321772</c:v>
                </c:pt>
                <c:pt idx="218">
                  <c:v>18831.517044227079</c:v>
                </c:pt>
                <c:pt idx="219">
                  <c:v>23440.217684857485</c:v>
                </c:pt>
                <c:pt idx="220">
                  <c:v>14864.522369748496</c:v>
                </c:pt>
                <c:pt idx="221">
                  <c:v>15867.139749255773</c:v>
                </c:pt>
                <c:pt idx="222">
                  <c:v>16312.406261066737</c:v>
                </c:pt>
                <c:pt idx="223">
                  <c:v>17324.741902364167</c:v>
                </c:pt>
                <c:pt idx="224">
                  <c:v>13518.766856839879</c:v>
                </c:pt>
                <c:pt idx="225">
                  <c:v>22348.16084544198</c:v>
                </c:pt>
                <c:pt idx="226">
                  <c:v>15340.630120813779</c:v>
                </c:pt>
                <c:pt idx="227">
                  <c:v>18746.228540713109</c:v>
                </c:pt>
                <c:pt idx="228">
                  <c:v>14412.935093283442</c:v>
                </c:pt>
                <c:pt idx="229">
                  <c:v>19466.48937978271</c:v>
                </c:pt>
                <c:pt idx="230">
                  <c:v>18734.078082307398</c:v>
                </c:pt>
                <c:pt idx="231">
                  <c:v>14979.318467236522</c:v>
                </c:pt>
                <c:pt idx="232">
                  <c:v>19366.461170295905</c:v>
                </c:pt>
                <c:pt idx="233">
                  <c:v>15715.598266486779</c:v>
                </c:pt>
                <c:pt idx="234">
                  <c:v>16030.351907296092</c:v>
                </c:pt>
                <c:pt idx="235">
                  <c:v>19509.080589925343</c:v>
                </c:pt>
                <c:pt idx="236">
                  <c:v>20852.495037375349</c:v>
                </c:pt>
                <c:pt idx="237">
                  <c:v>20076.8229555076</c:v>
                </c:pt>
                <c:pt idx="238">
                  <c:v>20890.115061043238</c:v>
                </c:pt>
                <c:pt idx="239">
                  <c:v>13435.236595861643</c:v>
                </c:pt>
                <c:pt idx="240">
                  <c:v>14048.777870188002</c:v>
                </c:pt>
                <c:pt idx="241">
                  <c:v>16585.303320900741</c:v>
                </c:pt>
                <c:pt idx="242">
                  <c:v>13451.652915953669</c:v>
                </c:pt>
                <c:pt idx="243">
                  <c:v>16790.175802051992</c:v>
                </c:pt>
                <c:pt idx="244">
                  <c:v>19113.979912726474</c:v>
                </c:pt>
                <c:pt idx="245">
                  <c:v>20004.232380163841</c:v>
                </c:pt>
                <c:pt idx="246">
                  <c:v>18370.226583989868</c:v>
                </c:pt>
                <c:pt idx="247">
                  <c:v>20673.598086161517</c:v>
                </c:pt>
                <c:pt idx="248">
                  <c:v>21491.447401458499</c:v>
                </c:pt>
                <c:pt idx="249">
                  <c:v>16576.587925234391</c:v>
                </c:pt>
                <c:pt idx="250">
                  <c:v>11796.761383343168</c:v>
                </c:pt>
                <c:pt idx="251">
                  <c:v>18391.313990745522</c:v>
                </c:pt>
                <c:pt idx="252">
                  <c:v>13661.99932204212</c:v>
                </c:pt>
                <c:pt idx="253">
                  <c:v>16757.664218064372</c:v>
                </c:pt>
                <c:pt idx="254">
                  <c:v>16877.355005832134</c:v>
                </c:pt>
                <c:pt idx="255">
                  <c:v>20151.0346656906</c:v>
                </c:pt>
                <c:pt idx="256">
                  <c:v>13251.556207538855</c:v>
                </c:pt>
                <c:pt idx="257">
                  <c:v>19321.908003177712</c:v>
                </c:pt>
                <c:pt idx="258">
                  <c:v>12500.84780132115</c:v>
                </c:pt>
                <c:pt idx="259">
                  <c:v>15017.637406476437</c:v>
                </c:pt>
                <c:pt idx="260">
                  <c:v>16874.966115525753</c:v>
                </c:pt>
                <c:pt idx="261">
                  <c:v>20144.008331940167</c:v>
                </c:pt>
                <c:pt idx="262">
                  <c:v>17450.164159079264</c:v>
                </c:pt>
                <c:pt idx="263">
                  <c:v>14976.233721354405</c:v>
                </c:pt>
                <c:pt idx="264">
                  <c:v>15812.647273192897</c:v>
                </c:pt>
                <c:pt idx="265">
                  <c:v>13805.395565525479</c:v>
                </c:pt>
                <c:pt idx="266">
                  <c:v>18671.005672796724</c:v>
                </c:pt>
                <c:pt idx="267">
                  <c:v>23193.528995430548</c:v>
                </c:pt>
                <c:pt idx="268">
                  <c:v>26737.90826597155</c:v>
                </c:pt>
                <c:pt idx="269">
                  <c:v>16673.685140041307</c:v>
                </c:pt>
                <c:pt idx="270">
                  <c:v>17306.786967886215</c:v>
                </c:pt>
                <c:pt idx="271">
                  <c:v>18903.410688256627</c:v>
                </c:pt>
                <c:pt idx="272">
                  <c:v>19334.941175535365</c:v>
                </c:pt>
                <c:pt idx="273">
                  <c:v>21837.351703813831</c:v>
                </c:pt>
                <c:pt idx="274">
                  <c:v>19824.475322651768</c:v>
                </c:pt>
                <c:pt idx="275">
                  <c:v>16499.559922444823</c:v>
                </c:pt>
                <c:pt idx="276">
                  <c:v>21975.524762456003</c:v>
                </c:pt>
                <c:pt idx="277">
                  <c:v>14323.611822968722</c:v>
                </c:pt>
                <c:pt idx="278">
                  <c:v>12078.91945395248</c:v>
                </c:pt>
                <c:pt idx="279">
                  <c:v>14628.756911641232</c:v>
                </c:pt>
                <c:pt idx="280">
                  <c:v>11524.865197078223</c:v>
                </c:pt>
                <c:pt idx="281">
                  <c:v>15504.414693355337</c:v>
                </c:pt>
                <c:pt idx="282">
                  <c:v>17664.347711124956</c:v>
                </c:pt>
                <c:pt idx="283">
                  <c:v>23661.809757581923</c:v>
                </c:pt>
                <c:pt idx="284">
                  <c:v>13903.593790276966</c:v>
                </c:pt>
                <c:pt idx="285">
                  <c:v>18301.722807316764</c:v>
                </c:pt>
                <c:pt idx="286">
                  <c:v>13625.637068599255</c:v>
                </c:pt>
                <c:pt idx="287">
                  <c:v>19271.517253640453</c:v>
                </c:pt>
                <c:pt idx="288">
                  <c:v>11592.725950142203</c:v>
                </c:pt>
                <c:pt idx="289">
                  <c:v>18770.045604082574</c:v>
                </c:pt>
                <c:pt idx="290">
                  <c:v>18524.643691980058</c:v>
                </c:pt>
                <c:pt idx="291">
                  <c:v>17676.767859763197</c:v>
                </c:pt>
                <c:pt idx="292">
                  <c:v>11421.334884663034</c:v>
                </c:pt>
                <c:pt idx="293">
                  <c:v>18551.887482166145</c:v>
                </c:pt>
                <c:pt idx="294">
                  <c:v>20410.342327046688</c:v>
                </c:pt>
                <c:pt idx="295">
                  <c:v>14855.631925165715</c:v>
                </c:pt>
                <c:pt idx="296">
                  <c:v>24001.493331839414</c:v>
                </c:pt>
                <c:pt idx="297">
                  <c:v>20131.540364198307</c:v>
                </c:pt>
                <c:pt idx="298">
                  <c:v>13470.547898314102</c:v>
                </c:pt>
                <c:pt idx="299">
                  <c:v>13989.99208301102</c:v>
                </c:pt>
                <c:pt idx="300">
                  <c:v>17813.453074653582</c:v>
                </c:pt>
                <c:pt idx="301">
                  <c:v>16452.925524059792</c:v>
                </c:pt>
                <c:pt idx="302">
                  <c:v>17476.821330880757</c:v>
                </c:pt>
                <c:pt idx="303">
                  <c:v>18225.439787526964</c:v>
                </c:pt>
                <c:pt idx="304">
                  <c:v>13929.055003408408</c:v>
                </c:pt>
                <c:pt idx="305">
                  <c:v>18286.183277505403</c:v>
                </c:pt>
                <c:pt idx="306">
                  <c:v>24093.657812081052</c:v>
                </c:pt>
                <c:pt idx="307">
                  <c:v>18634.65211936627</c:v>
                </c:pt>
                <c:pt idx="308">
                  <c:v>14608.466527492663</c:v>
                </c:pt>
                <c:pt idx="309">
                  <c:v>14547.464868946261</c:v>
                </c:pt>
                <c:pt idx="310">
                  <c:v>18584.407366877109</c:v>
                </c:pt>
                <c:pt idx="311">
                  <c:v>24009.447161151998</c:v>
                </c:pt>
                <c:pt idx="312">
                  <c:v>12629.15422065305</c:v>
                </c:pt>
                <c:pt idx="313">
                  <c:v>15017.705418071517</c:v>
                </c:pt>
                <c:pt idx="314">
                  <c:v>19376.543627265983</c:v>
                </c:pt>
                <c:pt idx="315">
                  <c:v>13576.061669547567</c:v>
                </c:pt>
                <c:pt idx="316">
                  <c:v>22130.930749673738</c:v>
                </c:pt>
                <c:pt idx="317">
                  <c:v>13902.288253648037</c:v>
                </c:pt>
                <c:pt idx="318">
                  <c:v>18449.51622604876</c:v>
                </c:pt>
                <c:pt idx="319">
                  <c:v>12621.321256214012</c:v>
                </c:pt>
                <c:pt idx="320">
                  <c:v>15170.321839731767</c:v>
                </c:pt>
                <c:pt idx="321">
                  <c:v>12232.16538990966</c:v>
                </c:pt>
                <c:pt idx="322">
                  <c:v>11140.460888303938</c:v>
                </c:pt>
                <c:pt idx="323">
                  <c:v>13021.763027503706</c:v>
                </c:pt>
                <c:pt idx="324">
                  <c:v>16145.643154246729</c:v>
                </c:pt>
                <c:pt idx="325">
                  <c:v>17323.061777090094</c:v>
                </c:pt>
                <c:pt idx="326">
                  <c:v>12545.503169626716</c:v>
                </c:pt>
                <c:pt idx="327">
                  <c:v>13203.73514755249</c:v>
                </c:pt>
                <c:pt idx="328">
                  <c:v>18612.376414194903</c:v>
                </c:pt>
                <c:pt idx="329">
                  <c:v>16467.316790804176</c:v>
                </c:pt>
                <c:pt idx="330">
                  <c:v>16649.810214717672</c:v>
                </c:pt>
                <c:pt idx="331">
                  <c:v>14263.384431532515</c:v>
                </c:pt>
                <c:pt idx="332">
                  <c:v>13069.217735933949</c:v>
                </c:pt>
                <c:pt idx="333">
                  <c:v>17278.577929205247</c:v>
                </c:pt>
                <c:pt idx="334">
                  <c:v>22162.241620335102</c:v>
                </c:pt>
                <c:pt idx="335">
                  <c:v>19915.722508570583</c:v>
                </c:pt>
                <c:pt idx="336">
                  <c:v>14106.914958968136</c:v>
                </c:pt>
                <c:pt idx="337">
                  <c:v>16975.654597089797</c:v>
                </c:pt>
                <c:pt idx="338">
                  <c:v>15277.988404553824</c:v>
                </c:pt>
                <c:pt idx="339">
                  <c:v>18087.051025470941</c:v>
                </c:pt>
                <c:pt idx="340">
                  <c:v>15640.79304700104</c:v>
                </c:pt>
                <c:pt idx="341">
                  <c:v>12447.683272659086</c:v>
                </c:pt>
                <c:pt idx="342">
                  <c:v>16357.629111848226</c:v>
                </c:pt>
                <c:pt idx="343">
                  <c:v>16838.591873722893</c:v>
                </c:pt>
                <c:pt idx="344">
                  <c:v>23390.646832278504</c:v>
                </c:pt>
                <c:pt idx="345">
                  <c:v>17779.506289629418</c:v>
                </c:pt>
                <c:pt idx="346">
                  <c:v>18182.470396724533</c:v>
                </c:pt>
                <c:pt idx="347">
                  <c:v>18804.1140196343</c:v>
                </c:pt>
                <c:pt idx="348">
                  <c:v>14718.111632312124</c:v>
                </c:pt>
                <c:pt idx="349">
                  <c:v>13505.682619020437</c:v>
                </c:pt>
                <c:pt idx="350">
                  <c:v>15739.829005733885</c:v>
                </c:pt>
                <c:pt idx="351">
                  <c:v>20540.027077790066</c:v>
                </c:pt>
                <c:pt idx="352">
                  <c:v>21171.689367691964</c:v>
                </c:pt>
                <c:pt idx="353">
                  <c:v>11975.685738907669</c:v>
                </c:pt>
                <c:pt idx="354">
                  <c:v>13770.257464107537</c:v>
                </c:pt>
                <c:pt idx="355">
                  <c:v>19748.134587974357</c:v>
                </c:pt>
                <c:pt idx="356">
                  <c:v>21641.67629765622</c:v>
                </c:pt>
                <c:pt idx="357">
                  <c:v>14944.959103316089</c:v>
                </c:pt>
                <c:pt idx="358">
                  <c:v>16362.4939954493</c:v>
                </c:pt>
                <c:pt idx="359">
                  <c:v>13394.300418974315</c:v>
                </c:pt>
                <c:pt idx="360">
                  <c:v>15968.580538194783</c:v>
                </c:pt>
                <c:pt idx="361">
                  <c:v>18975.923435702633</c:v>
                </c:pt>
                <c:pt idx="362">
                  <c:v>23704.04845258125</c:v>
                </c:pt>
                <c:pt idx="363">
                  <c:v>16171.129752986419</c:v>
                </c:pt>
                <c:pt idx="364">
                  <c:v>10966.368330439502</c:v>
                </c:pt>
                <c:pt idx="365">
                  <c:v>19257.626336853788</c:v>
                </c:pt>
                <c:pt idx="366">
                  <c:v>18503.46863120735</c:v>
                </c:pt>
                <c:pt idx="367">
                  <c:v>24691.5318050356</c:v>
                </c:pt>
                <c:pt idx="368">
                  <c:v>11895.995288275235</c:v>
                </c:pt>
                <c:pt idx="369">
                  <c:v>16368.82753893571</c:v>
                </c:pt>
                <c:pt idx="370">
                  <c:v>22237.393742705517</c:v>
                </c:pt>
                <c:pt idx="371">
                  <c:v>17161.449827422268</c:v>
                </c:pt>
                <c:pt idx="372">
                  <c:v>22164.86255505131</c:v>
                </c:pt>
                <c:pt idx="373">
                  <c:v>14287.540771646718</c:v>
                </c:pt>
                <c:pt idx="374">
                  <c:v>17612.801925366166</c:v>
                </c:pt>
                <c:pt idx="375">
                  <c:v>14087.577961464027</c:v>
                </c:pt>
                <c:pt idx="376">
                  <c:v>18549.785167810998</c:v>
                </c:pt>
                <c:pt idx="377">
                  <c:v>17239.901200025495</c:v>
                </c:pt>
                <c:pt idx="378">
                  <c:v>18010.769489581595</c:v>
                </c:pt>
                <c:pt idx="379">
                  <c:v>24181.268293390862</c:v>
                </c:pt>
                <c:pt idx="380">
                  <c:v>17911.356951183156</c:v>
                </c:pt>
                <c:pt idx="381">
                  <c:v>15642.50287214088</c:v>
                </c:pt>
                <c:pt idx="382">
                  <c:v>17883.085313193355</c:v>
                </c:pt>
                <c:pt idx="383">
                  <c:v>18187.685954109944</c:v>
                </c:pt>
                <c:pt idx="384">
                  <c:v>23642.101335710311</c:v>
                </c:pt>
                <c:pt idx="385">
                  <c:v>14227.965418224861</c:v>
                </c:pt>
                <c:pt idx="386">
                  <c:v>12500.303895237905</c:v>
                </c:pt>
                <c:pt idx="387">
                  <c:v>20167.016935938438</c:v>
                </c:pt>
                <c:pt idx="388">
                  <c:v>17265.6520090921</c:v>
                </c:pt>
                <c:pt idx="389">
                  <c:v>18323.345935728074</c:v>
                </c:pt>
                <c:pt idx="390">
                  <c:v>20286.831032157501</c:v>
                </c:pt>
                <c:pt idx="391">
                  <c:v>15580.861781790911</c:v>
                </c:pt>
                <c:pt idx="392">
                  <c:v>18204.934435754443</c:v>
                </c:pt>
                <c:pt idx="393">
                  <c:v>14730.564681545582</c:v>
                </c:pt>
                <c:pt idx="394">
                  <c:v>16212.616003318595</c:v>
                </c:pt>
                <c:pt idx="395">
                  <c:v>12999.373768968224</c:v>
                </c:pt>
                <c:pt idx="396">
                  <c:v>15622.139212719201</c:v>
                </c:pt>
                <c:pt idx="397">
                  <c:v>16212.950898139441</c:v>
                </c:pt>
                <c:pt idx="398">
                  <c:v>12848.532180722661</c:v>
                </c:pt>
                <c:pt idx="399">
                  <c:v>15788.584054869416</c:v>
                </c:pt>
                <c:pt idx="400">
                  <c:v>15434.0785934341</c:v>
                </c:pt>
                <c:pt idx="401">
                  <c:v>22507.406679838157</c:v>
                </c:pt>
                <c:pt idx="402">
                  <c:v>15957.453875373843</c:v>
                </c:pt>
                <c:pt idx="403">
                  <c:v>12478.657237841808</c:v>
                </c:pt>
                <c:pt idx="404">
                  <c:v>18905.276107164125</c:v>
                </c:pt>
                <c:pt idx="405">
                  <c:v>15092.242363688172</c:v>
                </c:pt>
                <c:pt idx="406">
                  <c:v>17469.260495629216</c:v>
                </c:pt>
                <c:pt idx="407">
                  <c:v>16045.225304867832</c:v>
                </c:pt>
                <c:pt idx="408">
                  <c:v>16223.993352086081</c:v>
                </c:pt>
                <c:pt idx="409">
                  <c:v>20431.43332384872</c:v>
                </c:pt>
                <c:pt idx="410">
                  <c:v>20845.753502980166</c:v>
                </c:pt>
                <c:pt idx="411">
                  <c:v>12579.40480299945</c:v>
                </c:pt>
                <c:pt idx="412">
                  <c:v>17684.25853329993</c:v>
                </c:pt>
                <c:pt idx="413">
                  <c:v>13341.217020601762</c:v>
                </c:pt>
                <c:pt idx="414">
                  <c:v>19355.35681333534</c:v>
                </c:pt>
                <c:pt idx="415">
                  <c:v>28880.210294369906</c:v>
                </c:pt>
                <c:pt idx="416">
                  <c:v>18678.284777780565</c:v>
                </c:pt>
                <c:pt idx="417">
                  <c:v>15377.852066056275</c:v>
                </c:pt>
                <c:pt idx="418">
                  <c:v>23660.915154396134</c:v>
                </c:pt>
                <c:pt idx="419">
                  <c:v>17331.519125931438</c:v>
                </c:pt>
                <c:pt idx="420">
                  <c:v>16112.315332897808</c:v>
                </c:pt>
                <c:pt idx="421">
                  <c:v>9032.4044552240612</c:v>
                </c:pt>
                <c:pt idx="422">
                  <c:v>20873.863871149457</c:v>
                </c:pt>
                <c:pt idx="423">
                  <c:v>17714.403392715478</c:v>
                </c:pt>
                <c:pt idx="424">
                  <c:v>13819.805306182307</c:v>
                </c:pt>
                <c:pt idx="425">
                  <c:v>14086.517389826249</c:v>
                </c:pt>
                <c:pt idx="426">
                  <c:v>16970.669615160066</c:v>
                </c:pt>
                <c:pt idx="427">
                  <c:v>19442.689221406854</c:v>
                </c:pt>
                <c:pt idx="428">
                  <c:v>15635.056086137072</c:v>
                </c:pt>
                <c:pt idx="429">
                  <c:v>18421.354328292065</c:v>
                </c:pt>
                <c:pt idx="430">
                  <c:v>13875.031732495698</c:v>
                </c:pt>
                <c:pt idx="431">
                  <c:v>18633.746194154304</c:v>
                </c:pt>
                <c:pt idx="432">
                  <c:v>18095.354478313457</c:v>
                </c:pt>
                <c:pt idx="433">
                  <c:v>17283.481257657033</c:v>
                </c:pt>
                <c:pt idx="434">
                  <c:v>18062.308882951154</c:v>
                </c:pt>
                <c:pt idx="435">
                  <c:v>15965.323192637834</c:v>
                </c:pt>
                <c:pt idx="436">
                  <c:v>14630.286460835812</c:v>
                </c:pt>
                <c:pt idx="437">
                  <c:v>20615.75444444489</c:v>
                </c:pt>
                <c:pt idx="438">
                  <c:v>17616.203104843098</c:v>
                </c:pt>
                <c:pt idx="439">
                  <c:v>23263.105536995303</c:v>
                </c:pt>
                <c:pt idx="440">
                  <c:v>23054.863392242853</c:v>
                </c:pt>
                <c:pt idx="441">
                  <c:v>13467.334904744843</c:v>
                </c:pt>
                <c:pt idx="442">
                  <c:v>15062.509368849405</c:v>
                </c:pt>
                <c:pt idx="443">
                  <c:v>16330.986916930007</c:v>
                </c:pt>
                <c:pt idx="444">
                  <c:v>16346.193068948442</c:v>
                </c:pt>
                <c:pt idx="445">
                  <c:v>18140.079928371037</c:v>
                </c:pt>
                <c:pt idx="446">
                  <c:v>16366.394081920158</c:v>
                </c:pt>
                <c:pt idx="447">
                  <c:v>15781.778523754761</c:v>
                </c:pt>
                <c:pt idx="448">
                  <c:v>15819.919775308779</c:v>
                </c:pt>
                <c:pt idx="449">
                  <c:v>14494.005343501032</c:v>
                </c:pt>
                <c:pt idx="450">
                  <c:v>17917.01886432743</c:v>
                </c:pt>
                <c:pt idx="451">
                  <c:v>12970.100892003378</c:v>
                </c:pt>
                <c:pt idx="452">
                  <c:v>14885.085312903331</c:v>
                </c:pt>
                <c:pt idx="453">
                  <c:v>18115.613070685285</c:v>
                </c:pt>
                <c:pt idx="454">
                  <c:v>15185.995963361003</c:v>
                </c:pt>
                <c:pt idx="455">
                  <c:v>22117.367770437191</c:v>
                </c:pt>
                <c:pt idx="456">
                  <c:v>15496.385763871662</c:v>
                </c:pt>
                <c:pt idx="457">
                  <c:v>13648.273612101797</c:v>
                </c:pt>
                <c:pt idx="458">
                  <c:v>17501.573714393246</c:v>
                </c:pt>
                <c:pt idx="459">
                  <c:v>13227.670291370223</c:v>
                </c:pt>
                <c:pt idx="460">
                  <c:v>18547.69113362694</c:v>
                </c:pt>
                <c:pt idx="461">
                  <c:v>20026.610298322285</c:v>
                </c:pt>
                <c:pt idx="462">
                  <c:v>20909.926581334676</c:v>
                </c:pt>
                <c:pt idx="463">
                  <c:v>14109.659521935098</c:v>
                </c:pt>
                <c:pt idx="464">
                  <c:v>22716.547557329148</c:v>
                </c:pt>
                <c:pt idx="465">
                  <c:v>11992.947824927853</c:v>
                </c:pt>
                <c:pt idx="466">
                  <c:v>16832.355741862044</c:v>
                </c:pt>
                <c:pt idx="467">
                  <c:v>15025.468152683341</c:v>
                </c:pt>
                <c:pt idx="468">
                  <c:v>22856.397285130017</c:v>
                </c:pt>
                <c:pt idx="469">
                  <c:v>14098.632085918904</c:v>
                </c:pt>
                <c:pt idx="470">
                  <c:v>17633.91560659423</c:v>
                </c:pt>
                <c:pt idx="471">
                  <c:v>15391.865377898574</c:v>
                </c:pt>
                <c:pt idx="472">
                  <c:v>21683.665703695693</c:v>
                </c:pt>
                <c:pt idx="473">
                  <c:v>14731.572454748328</c:v>
                </c:pt>
                <c:pt idx="474">
                  <c:v>17518.972612679332</c:v>
                </c:pt>
                <c:pt idx="475">
                  <c:v>15277.862541470544</c:v>
                </c:pt>
                <c:pt idx="476">
                  <c:v>15790.016557262874</c:v>
                </c:pt>
                <c:pt idx="477">
                  <c:v>17478.368951115164</c:v>
                </c:pt>
                <c:pt idx="478">
                  <c:v>18398.405655732618</c:v>
                </c:pt>
                <c:pt idx="479">
                  <c:v>10940.099053499278</c:v>
                </c:pt>
                <c:pt idx="480">
                  <c:v>13614.152218308282</c:v>
                </c:pt>
                <c:pt idx="481">
                  <c:v>15569.094865641573</c:v>
                </c:pt>
                <c:pt idx="482">
                  <c:v>16256.959561556803</c:v>
                </c:pt>
                <c:pt idx="483">
                  <c:v>14101.08382645816</c:v>
                </c:pt>
                <c:pt idx="484">
                  <c:v>14143.366926780935</c:v>
                </c:pt>
                <c:pt idx="485">
                  <c:v>14732.312942498007</c:v>
                </c:pt>
                <c:pt idx="486">
                  <c:v>20954.226860453855</c:v>
                </c:pt>
                <c:pt idx="487">
                  <c:v>21287.167338647214</c:v>
                </c:pt>
                <c:pt idx="488">
                  <c:v>16286.104800470108</c:v>
                </c:pt>
                <c:pt idx="489">
                  <c:v>11943.399566098075</c:v>
                </c:pt>
                <c:pt idx="490">
                  <c:v>12885.517558831531</c:v>
                </c:pt>
                <c:pt idx="491">
                  <c:v>17276.378021559234</c:v>
                </c:pt>
                <c:pt idx="492">
                  <c:v>19898.801848333846</c:v>
                </c:pt>
                <c:pt idx="493">
                  <c:v>17420.403184581923</c:v>
                </c:pt>
                <c:pt idx="494">
                  <c:v>16645.02299248943</c:v>
                </c:pt>
                <c:pt idx="495">
                  <c:v>15814.454636955303</c:v>
                </c:pt>
                <c:pt idx="496">
                  <c:v>15052.38459512959</c:v>
                </c:pt>
                <c:pt idx="497">
                  <c:v>12753.815931626594</c:v>
                </c:pt>
                <c:pt idx="498">
                  <c:v>16699.081563529577</c:v>
                </c:pt>
                <c:pt idx="499">
                  <c:v>16582.455575149448</c:v>
                </c:pt>
                <c:pt idx="500">
                  <c:v>14245.923042788731</c:v>
                </c:pt>
                <c:pt idx="501">
                  <c:v>17180.587378815468</c:v>
                </c:pt>
                <c:pt idx="502">
                  <c:v>16953.562927283667</c:v>
                </c:pt>
                <c:pt idx="503">
                  <c:v>18177.294591687238</c:v>
                </c:pt>
                <c:pt idx="504">
                  <c:v>19323.048256172897</c:v>
                </c:pt>
                <c:pt idx="505">
                  <c:v>15036.864036898445</c:v>
                </c:pt>
                <c:pt idx="506">
                  <c:v>15915.008183674949</c:v>
                </c:pt>
                <c:pt idx="507">
                  <c:v>14962.204658967306</c:v>
                </c:pt>
                <c:pt idx="508">
                  <c:v>13915.300564047353</c:v>
                </c:pt>
                <c:pt idx="509">
                  <c:v>11533.28496422207</c:v>
                </c:pt>
                <c:pt idx="510">
                  <c:v>16272.656132326101</c:v>
                </c:pt>
                <c:pt idx="511">
                  <c:v>18626.362170688502</c:v>
                </c:pt>
                <c:pt idx="512">
                  <c:v>20198.648409352147</c:v>
                </c:pt>
                <c:pt idx="513">
                  <c:v>10996.955171184763</c:v>
                </c:pt>
                <c:pt idx="514">
                  <c:v>12388.899267465806</c:v>
                </c:pt>
                <c:pt idx="515">
                  <c:v>15910.7504057437</c:v>
                </c:pt>
                <c:pt idx="516">
                  <c:v>11526.721546779767</c:v>
                </c:pt>
                <c:pt idx="517">
                  <c:v>18051.138572965399</c:v>
                </c:pt>
                <c:pt idx="518">
                  <c:v>21413.951840784746</c:v>
                </c:pt>
                <c:pt idx="519">
                  <c:v>15603.269922548734</c:v>
                </c:pt>
                <c:pt idx="520">
                  <c:v>15098.940919683579</c:v>
                </c:pt>
                <c:pt idx="521">
                  <c:v>12415.201484203877</c:v>
                </c:pt>
                <c:pt idx="522">
                  <c:v>24417.472856387831</c:v>
                </c:pt>
                <c:pt idx="523">
                  <c:v>16812.017143693214</c:v>
                </c:pt>
                <c:pt idx="524">
                  <c:v>12451.642040016601</c:v>
                </c:pt>
                <c:pt idx="525">
                  <c:v>20904.654817123966</c:v>
                </c:pt>
                <c:pt idx="526">
                  <c:v>18783.725577290355</c:v>
                </c:pt>
                <c:pt idx="527">
                  <c:v>11613.671381636728</c:v>
                </c:pt>
                <c:pt idx="528">
                  <c:v>17710.757799993007</c:v>
                </c:pt>
                <c:pt idx="529">
                  <c:v>21827.708491757217</c:v>
                </c:pt>
                <c:pt idx="530">
                  <c:v>14462.806342435106</c:v>
                </c:pt>
                <c:pt idx="531">
                  <c:v>18219.025182546175</c:v>
                </c:pt>
                <c:pt idx="532">
                  <c:v>15516.838303536606</c:v>
                </c:pt>
                <c:pt idx="533">
                  <c:v>19232.315340839588</c:v>
                </c:pt>
                <c:pt idx="534">
                  <c:v>13838.514485694657</c:v>
                </c:pt>
                <c:pt idx="535">
                  <c:v>16699.779060310026</c:v>
                </c:pt>
                <c:pt idx="536">
                  <c:v>14375.462961301762</c:v>
                </c:pt>
                <c:pt idx="537">
                  <c:v>13316.204381365163</c:v>
                </c:pt>
                <c:pt idx="538">
                  <c:v>17503.207900099776</c:v>
                </c:pt>
                <c:pt idx="539">
                  <c:v>19642.460069213335</c:v>
                </c:pt>
                <c:pt idx="540">
                  <c:v>11096.178897058506</c:v>
                </c:pt>
                <c:pt idx="541">
                  <c:v>20707.073063344586</c:v>
                </c:pt>
                <c:pt idx="542">
                  <c:v>16337.84064778195</c:v>
                </c:pt>
                <c:pt idx="543">
                  <c:v>16492.610291101613</c:v>
                </c:pt>
                <c:pt idx="544">
                  <c:v>16113.090030090638</c:v>
                </c:pt>
                <c:pt idx="545">
                  <c:v>20206.535675297309</c:v>
                </c:pt>
                <c:pt idx="546">
                  <c:v>16530.495689849224</c:v>
                </c:pt>
                <c:pt idx="547">
                  <c:v>16483.089844604699</c:v>
                </c:pt>
                <c:pt idx="548">
                  <c:v>19134.782040493985</c:v>
                </c:pt>
                <c:pt idx="549">
                  <c:v>13960.860479203602</c:v>
                </c:pt>
                <c:pt idx="550">
                  <c:v>17824.421037085289</c:v>
                </c:pt>
                <c:pt idx="551">
                  <c:v>14049.46740509645</c:v>
                </c:pt>
                <c:pt idx="552">
                  <c:v>17658.477952759051</c:v>
                </c:pt>
                <c:pt idx="553">
                  <c:v>15535.332496165727</c:v>
                </c:pt>
                <c:pt idx="554">
                  <c:v>14692.599019794914</c:v>
                </c:pt>
                <c:pt idx="555">
                  <c:v>17928.311699503993</c:v>
                </c:pt>
                <c:pt idx="556">
                  <c:v>20237.50167895199</c:v>
                </c:pt>
                <c:pt idx="557">
                  <c:v>14913.092568101451</c:v>
                </c:pt>
                <c:pt idx="558">
                  <c:v>25506.766665774598</c:v>
                </c:pt>
                <c:pt idx="559">
                  <c:v>17656.749728502677</c:v>
                </c:pt>
                <c:pt idx="560">
                  <c:v>27334.018276764768</c:v>
                </c:pt>
                <c:pt idx="561">
                  <c:v>16878.473101927699</c:v>
                </c:pt>
                <c:pt idx="562">
                  <c:v>16156.514193746805</c:v>
                </c:pt>
                <c:pt idx="563">
                  <c:v>11315.74373542476</c:v>
                </c:pt>
                <c:pt idx="564">
                  <c:v>18406.233001537028</c:v>
                </c:pt>
                <c:pt idx="565">
                  <c:v>20676.093682597719</c:v>
                </c:pt>
                <c:pt idx="566">
                  <c:v>19795.731772189396</c:v>
                </c:pt>
                <c:pt idx="567">
                  <c:v>19624.341913447497</c:v>
                </c:pt>
                <c:pt idx="568">
                  <c:v>21589.867570339895</c:v>
                </c:pt>
                <c:pt idx="569">
                  <c:v>16523.602881356266</c:v>
                </c:pt>
                <c:pt idx="570">
                  <c:v>20075.848340167278</c:v>
                </c:pt>
                <c:pt idx="571">
                  <c:v>16275.265675582832</c:v>
                </c:pt>
                <c:pt idx="572">
                  <c:v>16199.53872685589</c:v>
                </c:pt>
                <c:pt idx="573">
                  <c:v>12933.770398644367</c:v>
                </c:pt>
                <c:pt idx="574">
                  <c:v>18364.87098201269</c:v>
                </c:pt>
                <c:pt idx="575">
                  <c:v>17716.402748029712</c:v>
                </c:pt>
                <c:pt idx="576">
                  <c:v>15167.066577957885</c:v>
                </c:pt>
                <c:pt idx="577">
                  <c:v>13153.347594916315</c:v>
                </c:pt>
                <c:pt idx="578">
                  <c:v>15830.439251151458</c:v>
                </c:pt>
                <c:pt idx="579">
                  <c:v>14016.257089777666</c:v>
                </c:pt>
                <c:pt idx="580">
                  <c:v>14140.667865611804</c:v>
                </c:pt>
                <c:pt idx="581">
                  <c:v>15429.248599789118</c:v>
                </c:pt>
                <c:pt idx="582">
                  <c:v>18397.307021965895</c:v>
                </c:pt>
                <c:pt idx="583">
                  <c:v>16421.226612133327</c:v>
                </c:pt>
                <c:pt idx="584">
                  <c:v>15626.288349526892</c:v>
                </c:pt>
                <c:pt idx="585">
                  <c:v>14197.380001960979</c:v>
                </c:pt>
                <c:pt idx="586">
                  <c:v>17530.846624820024</c:v>
                </c:pt>
                <c:pt idx="587">
                  <c:v>17982.092904123831</c:v>
                </c:pt>
                <c:pt idx="588">
                  <c:v>22711.429912553365</c:v>
                </c:pt>
                <c:pt idx="589">
                  <c:v>15679.02842608953</c:v>
                </c:pt>
                <c:pt idx="590">
                  <c:v>18331.574318224128</c:v>
                </c:pt>
                <c:pt idx="591">
                  <c:v>20934.046735714546</c:v>
                </c:pt>
                <c:pt idx="592">
                  <c:v>23653.98039250794</c:v>
                </c:pt>
                <c:pt idx="593">
                  <c:v>21534.316963327146</c:v>
                </c:pt>
                <c:pt idx="594">
                  <c:v>14453.99643877061</c:v>
                </c:pt>
                <c:pt idx="595">
                  <c:v>15019.353857959211</c:v>
                </c:pt>
                <c:pt idx="596">
                  <c:v>11623.046166163283</c:v>
                </c:pt>
                <c:pt idx="597">
                  <c:v>17203.294720870788</c:v>
                </c:pt>
                <c:pt idx="598">
                  <c:v>13980.236881594717</c:v>
                </c:pt>
                <c:pt idx="599">
                  <c:v>15427.093484769197</c:v>
                </c:pt>
                <c:pt idx="600">
                  <c:v>15771.111298127054</c:v>
                </c:pt>
                <c:pt idx="601">
                  <c:v>16444.505731867419</c:v>
                </c:pt>
                <c:pt idx="602">
                  <c:v>15207.374336529609</c:v>
                </c:pt>
                <c:pt idx="603">
                  <c:v>14894.994098790306</c:v>
                </c:pt>
                <c:pt idx="604">
                  <c:v>15736.956871939045</c:v>
                </c:pt>
                <c:pt idx="605">
                  <c:v>22534.313109306804</c:v>
                </c:pt>
                <c:pt idx="606">
                  <c:v>18291.87626171187</c:v>
                </c:pt>
                <c:pt idx="607">
                  <c:v>17084.919248395996</c:v>
                </c:pt>
                <c:pt idx="608">
                  <c:v>18287.839137536834</c:v>
                </c:pt>
                <c:pt idx="609">
                  <c:v>17762.451986963901</c:v>
                </c:pt>
                <c:pt idx="610">
                  <c:v>16753.968678010886</c:v>
                </c:pt>
                <c:pt idx="611">
                  <c:v>20278.276540716593</c:v>
                </c:pt>
                <c:pt idx="612">
                  <c:v>15955.851239446338</c:v>
                </c:pt>
                <c:pt idx="613">
                  <c:v>18306.022503092277</c:v>
                </c:pt>
                <c:pt idx="614">
                  <c:v>22671.293426530101</c:v>
                </c:pt>
                <c:pt idx="615">
                  <c:v>16333.505769549631</c:v>
                </c:pt>
                <c:pt idx="616">
                  <c:v>14253.790728487631</c:v>
                </c:pt>
                <c:pt idx="617">
                  <c:v>20292.259864954391</c:v>
                </c:pt>
                <c:pt idx="618">
                  <c:v>13535.012769399988</c:v>
                </c:pt>
                <c:pt idx="619">
                  <c:v>16682.953493938818</c:v>
                </c:pt>
                <c:pt idx="620">
                  <c:v>18748.980925499091</c:v>
                </c:pt>
                <c:pt idx="621">
                  <c:v>21359.37212903806</c:v>
                </c:pt>
                <c:pt idx="622">
                  <c:v>19690.240868482768</c:v>
                </c:pt>
                <c:pt idx="623">
                  <c:v>14336.366179568107</c:v>
                </c:pt>
                <c:pt idx="624">
                  <c:v>20227.84997320058</c:v>
                </c:pt>
                <c:pt idx="625">
                  <c:v>22615.43893513894</c:v>
                </c:pt>
                <c:pt idx="626">
                  <c:v>16431.221028628774</c:v>
                </c:pt>
                <c:pt idx="627">
                  <c:v>15138.177729527131</c:v>
                </c:pt>
                <c:pt idx="628">
                  <c:v>17388.421872158982</c:v>
                </c:pt>
                <c:pt idx="629">
                  <c:v>13523.270740705451</c:v>
                </c:pt>
                <c:pt idx="630">
                  <c:v>14870.641924251748</c:v>
                </c:pt>
                <c:pt idx="631">
                  <c:v>22963.73453875518</c:v>
                </c:pt>
                <c:pt idx="632">
                  <c:v>20994.51099182227</c:v>
                </c:pt>
                <c:pt idx="633">
                  <c:v>12836.086894536362</c:v>
                </c:pt>
                <c:pt idx="634">
                  <c:v>16280.751225011334</c:v>
                </c:pt>
                <c:pt idx="635">
                  <c:v>15418.240618825814</c:v>
                </c:pt>
                <c:pt idx="636">
                  <c:v>20807.728247323419</c:v>
                </c:pt>
                <c:pt idx="637">
                  <c:v>12416.602861523499</c:v>
                </c:pt>
                <c:pt idx="638">
                  <c:v>16910.03437717686</c:v>
                </c:pt>
                <c:pt idx="639">
                  <c:v>18436.720255795186</c:v>
                </c:pt>
                <c:pt idx="640">
                  <c:v>18205.123873852161</c:v>
                </c:pt>
                <c:pt idx="641">
                  <c:v>18546.29307248714</c:v>
                </c:pt>
                <c:pt idx="642">
                  <c:v>12249.466465571146</c:v>
                </c:pt>
                <c:pt idx="643">
                  <c:v>20843.665940973791</c:v>
                </c:pt>
                <c:pt idx="644">
                  <c:v>17814.82739762148</c:v>
                </c:pt>
                <c:pt idx="645">
                  <c:v>16274.258710304011</c:v>
                </c:pt>
                <c:pt idx="646">
                  <c:v>19404.761659261501</c:v>
                </c:pt>
                <c:pt idx="647">
                  <c:v>15119.416415738133</c:v>
                </c:pt>
                <c:pt idx="648">
                  <c:v>22175.347057227213</c:v>
                </c:pt>
                <c:pt idx="649">
                  <c:v>15043.553178102075</c:v>
                </c:pt>
                <c:pt idx="650">
                  <c:v>17541.665381155934</c:v>
                </c:pt>
                <c:pt idx="651">
                  <c:v>17319.496939532946</c:v>
                </c:pt>
                <c:pt idx="652">
                  <c:v>19396.353385472197</c:v>
                </c:pt>
                <c:pt idx="653">
                  <c:v>14865.711793281322</c:v>
                </c:pt>
                <c:pt idx="654">
                  <c:v>20355.542046142633</c:v>
                </c:pt>
                <c:pt idx="655">
                  <c:v>18756.481030884035</c:v>
                </c:pt>
                <c:pt idx="656">
                  <c:v>19818.375403873601</c:v>
                </c:pt>
                <c:pt idx="657">
                  <c:v>19134.380318033371</c:v>
                </c:pt>
                <c:pt idx="658">
                  <c:v>15331.665228851176</c:v>
                </c:pt>
                <c:pt idx="659">
                  <c:v>16689.893664491763</c:v>
                </c:pt>
                <c:pt idx="660">
                  <c:v>14605.400704847489</c:v>
                </c:pt>
                <c:pt idx="661">
                  <c:v>14574.145885192913</c:v>
                </c:pt>
                <c:pt idx="662">
                  <c:v>16578.720714897019</c:v>
                </c:pt>
                <c:pt idx="663">
                  <c:v>19095.34201868629</c:v>
                </c:pt>
                <c:pt idx="664">
                  <c:v>13798.693712161048</c:v>
                </c:pt>
                <c:pt idx="665">
                  <c:v>19540.9262136775</c:v>
                </c:pt>
                <c:pt idx="666">
                  <c:v>17975.175361986843</c:v>
                </c:pt>
                <c:pt idx="667">
                  <c:v>16013.584028861655</c:v>
                </c:pt>
                <c:pt idx="668">
                  <c:v>22802.175132720455</c:v>
                </c:pt>
                <c:pt idx="669">
                  <c:v>18461.618967519404</c:v>
                </c:pt>
                <c:pt idx="670">
                  <c:v>15071.037227023717</c:v>
                </c:pt>
                <c:pt idx="671">
                  <c:v>18586.496864167217</c:v>
                </c:pt>
                <c:pt idx="672">
                  <c:v>17812.222322556812</c:v>
                </c:pt>
                <c:pt idx="673">
                  <c:v>19194.392525591746</c:v>
                </c:pt>
                <c:pt idx="674">
                  <c:v>19141.249043031268</c:v>
                </c:pt>
                <c:pt idx="675">
                  <c:v>16128.359960627036</c:v>
                </c:pt>
                <c:pt idx="676">
                  <c:v>12648.971624768086</c:v>
                </c:pt>
                <c:pt idx="677">
                  <c:v>21343.462449461338</c:v>
                </c:pt>
                <c:pt idx="678">
                  <c:v>17171.084258031726</c:v>
                </c:pt>
                <c:pt idx="679">
                  <c:v>16955.399243231961</c:v>
                </c:pt>
                <c:pt idx="680">
                  <c:v>18811.779751291189</c:v>
                </c:pt>
                <c:pt idx="681">
                  <c:v>12426.551611750745</c:v>
                </c:pt>
                <c:pt idx="682">
                  <c:v>16341.171849030128</c:v>
                </c:pt>
                <c:pt idx="683">
                  <c:v>18728.106008064824</c:v>
                </c:pt>
                <c:pt idx="684">
                  <c:v>15084.15639821544</c:v>
                </c:pt>
                <c:pt idx="685">
                  <c:v>20918.463834478502</c:v>
                </c:pt>
                <c:pt idx="686">
                  <c:v>14271.08259017311</c:v>
                </c:pt>
                <c:pt idx="687">
                  <c:v>15126.603596929002</c:v>
                </c:pt>
                <c:pt idx="688">
                  <c:v>16474.924453360458</c:v>
                </c:pt>
                <c:pt idx="689">
                  <c:v>20381.036648851474</c:v>
                </c:pt>
                <c:pt idx="690">
                  <c:v>21781.029688169878</c:v>
                </c:pt>
                <c:pt idx="691">
                  <c:v>17657.031602985098</c:v>
                </c:pt>
                <c:pt idx="692">
                  <c:v>17598.182123450944</c:v>
                </c:pt>
                <c:pt idx="693">
                  <c:v>19917.983652923111</c:v>
                </c:pt>
                <c:pt idx="694">
                  <c:v>22061.964884402129</c:v>
                </c:pt>
                <c:pt idx="695">
                  <c:v>17091.907910626433</c:v>
                </c:pt>
                <c:pt idx="696">
                  <c:v>16581.647395323376</c:v>
                </c:pt>
                <c:pt idx="697">
                  <c:v>21709.958752213697</c:v>
                </c:pt>
                <c:pt idx="698">
                  <c:v>16755.359862524398</c:v>
                </c:pt>
                <c:pt idx="699">
                  <c:v>13313.06172120181</c:v>
                </c:pt>
                <c:pt idx="700">
                  <c:v>22346.368370907181</c:v>
                </c:pt>
                <c:pt idx="701">
                  <c:v>17079.086855096382</c:v>
                </c:pt>
                <c:pt idx="702">
                  <c:v>19700.109329041818</c:v>
                </c:pt>
                <c:pt idx="703">
                  <c:v>19667.368346704316</c:v>
                </c:pt>
                <c:pt idx="704">
                  <c:v>15649.337842441833</c:v>
                </c:pt>
                <c:pt idx="705">
                  <c:v>22352.126454944108</c:v>
                </c:pt>
                <c:pt idx="706">
                  <c:v>16431.139227631818</c:v>
                </c:pt>
                <c:pt idx="707">
                  <c:v>17514.116775573151</c:v>
                </c:pt>
                <c:pt idx="708">
                  <c:v>16997.753520939139</c:v>
                </c:pt>
                <c:pt idx="709">
                  <c:v>23815.457355781862</c:v>
                </c:pt>
                <c:pt idx="710">
                  <c:v>15044.85819969908</c:v>
                </c:pt>
                <c:pt idx="711">
                  <c:v>18383.88566016523</c:v>
                </c:pt>
                <c:pt idx="712">
                  <c:v>13007.764837719249</c:v>
                </c:pt>
                <c:pt idx="713">
                  <c:v>16957.899821442832</c:v>
                </c:pt>
                <c:pt idx="714">
                  <c:v>14688.909135931865</c:v>
                </c:pt>
                <c:pt idx="715">
                  <c:v>17991.588709720945</c:v>
                </c:pt>
                <c:pt idx="716">
                  <c:v>19394.444360166675</c:v>
                </c:pt>
                <c:pt idx="717">
                  <c:v>16380.612500703835</c:v>
                </c:pt>
                <c:pt idx="718">
                  <c:v>19308.678386291715</c:v>
                </c:pt>
                <c:pt idx="719">
                  <c:v>16822.463768694372</c:v>
                </c:pt>
                <c:pt idx="720">
                  <c:v>16817.936636072005</c:v>
                </c:pt>
                <c:pt idx="721">
                  <c:v>17037.378287852014</c:v>
                </c:pt>
                <c:pt idx="722">
                  <c:v>16642.028486431849</c:v>
                </c:pt>
                <c:pt idx="723">
                  <c:v>15814.370724790748</c:v>
                </c:pt>
                <c:pt idx="724">
                  <c:v>16338.475813607129</c:v>
                </c:pt>
                <c:pt idx="725">
                  <c:v>20207.048611719976</c:v>
                </c:pt>
                <c:pt idx="726">
                  <c:v>16717.672305774053</c:v>
                </c:pt>
                <c:pt idx="727">
                  <c:v>13107.080506429716</c:v>
                </c:pt>
                <c:pt idx="728">
                  <c:v>21202.464159919866</c:v>
                </c:pt>
                <c:pt idx="729">
                  <c:v>16062.028850524573</c:v>
                </c:pt>
                <c:pt idx="730">
                  <c:v>20127.838036193098</c:v>
                </c:pt>
                <c:pt idx="731">
                  <c:v>18175.733158768398</c:v>
                </c:pt>
                <c:pt idx="732">
                  <c:v>13129.701130461221</c:v>
                </c:pt>
                <c:pt idx="733">
                  <c:v>13194.195110205741</c:v>
                </c:pt>
                <c:pt idx="734">
                  <c:v>19791.606419791522</c:v>
                </c:pt>
                <c:pt idx="735">
                  <c:v>15488.297814835536</c:v>
                </c:pt>
                <c:pt idx="736">
                  <c:v>16129.94247996111</c:v>
                </c:pt>
                <c:pt idx="737">
                  <c:v>14935.229022131429</c:v>
                </c:pt>
                <c:pt idx="738">
                  <c:v>16369.689454955083</c:v>
                </c:pt>
                <c:pt idx="739">
                  <c:v>20547.687627789761</c:v>
                </c:pt>
                <c:pt idx="740">
                  <c:v>19308.750867457689</c:v>
                </c:pt>
                <c:pt idx="741">
                  <c:v>18045.605023183609</c:v>
                </c:pt>
                <c:pt idx="742">
                  <c:v>17376.327404038846</c:v>
                </c:pt>
                <c:pt idx="743">
                  <c:v>11831.153526889138</c:v>
                </c:pt>
                <c:pt idx="744">
                  <c:v>14127.782120953907</c:v>
                </c:pt>
                <c:pt idx="745">
                  <c:v>14890.090517374601</c:v>
                </c:pt>
                <c:pt idx="746">
                  <c:v>16898.91676566259</c:v>
                </c:pt>
                <c:pt idx="747">
                  <c:v>18319.092046332611</c:v>
                </c:pt>
                <c:pt idx="748">
                  <c:v>14486.065662559055</c:v>
                </c:pt>
                <c:pt idx="749">
                  <c:v>17500.439079070413</c:v>
                </c:pt>
                <c:pt idx="750">
                  <c:v>21367.1253326933</c:v>
                </c:pt>
                <c:pt idx="751">
                  <c:v>16708.197438768206</c:v>
                </c:pt>
                <c:pt idx="752">
                  <c:v>17892.415204706434</c:v>
                </c:pt>
                <c:pt idx="753">
                  <c:v>15923.206911992806</c:v>
                </c:pt>
                <c:pt idx="754">
                  <c:v>16429.797373431305</c:v>
                </c:pt>
                <c:pt idx="755">
                  <c:v>14075.84890563418</c:v>
                </c:pt>
                <c:pt idx="756">
                  <c:v>18273.004258415243</c:v>
                </c:pt>
                <c:pt idx="757">
                  <c:v>15223.591957444138</c:v>
                </c:pt>
                <c:pt idx="758">
                  <c:v>19813.680448293489</c:v>
                </c:pt>
                <c:pt idx="759">
                  <c:v>14991.836280182319</c:v>
                </c:pt>
                <c:pt idx="760">
                  <c:v>17654.396219334576</c:v>
                </c:pt>
                <c:pt idx="761">
                  <c:v>14329.842740133266</c:v>
                </c:pt>
                <c:pt idx="762">
                  <c:v>12908.151815455776</c:v>
                </c:pt>
                <c:pt idx="763">
                  <c:v>21488.102828276002</c:v>
                </c:pt>
                <c:pt idx="764">
                  <c:v>15053.995695266072</c:v>
                </c:pt>
                <c:pt idx="765">
                  <c:v>16844.336796009422</c:v>
                </c:pt>
                <c:pt idx="766">
                  <c:v>20478.664837793331</c:v>
                </c:pt>
                <c:pt idx="767">
                  <c:v>13932.916421716336</c:v>
                </c:pt>
                <c:pt idx="768">
                  <c:v>16715.499646941735</c:v>
                </c:pt>
                <c:pt idx="769">
                  <c:v>14652.603048290122</c:v>
                </c:pt>
                <c:pt idx="770">
                  <c:v>17200.942406797916</c:v>
                </c:pt>
                <c:pt idx="771">
                  <c:v>19435.808650593684</c:v>
                </c:pt>
                <c:pt idx="772">
                  <c:v>15760.438259613496</c:v>
                </c:pt>
                <c:pt idx="773">
                  <c:v>19897.656786449745</c:v>
                </c:pt>
                <c:pt idx="774">
                  <c:v>15516.413821936821</c:v>
                </c:pt>
                <c:pt idx="775">
                  <c:v>15966.354649505696</c:v>
                </c:pt>
                <c:pt idx="776">
                  <c:v>18512.793066560327</c:v>
                </c:pt>
                <c:pt idx="777">
                  <c:v>17567.916210255589</c:v>
                </c:pt>
                <c:pt idx="778">
                  <c:v>20108.609907625712</c:v>
                </c:pt>
                <c:pt idx="779">
                  <c:v>22239.185790846303</c:v>
                </c:pt>
                <c:pt idx="780">
                  <c:v>13996.07088931929</c:v>
                </c:pt>
                <c:pt idx="781">
                  <c:v>15580.612891007995</c:v>
                </c:pt>
                <c:pt idx="782">
                  <c:v>15728.039386991251</c:v>
                </c:pt>
                <c:pt idx="783">
                  <c:v>13365.66437270393</c:v>
                </c:pt>
                <c:pt idx="784">
                  <c:v>13897.773009581128</c:v>
                </c:pt>
                <c:pt idx="785">
                  <c:v>14077.602896843229</c:v>
                </c:pt>
                <c:pt idx="786">
                  <c:v>13714.612860104642</c:v>
                </c:pt>
                <c:pt idx="787">
                  <c:v>12339.207596388856</c:v>
                </c:pt>
                <c:pt idx="788">
                  <c:v>14016.241488777998</c:v>
                </c:pt>
                <c:pt idx="789">
                  <c:v>17847.44928349839</c:v>
                </c:pt>
                <c:pt idx="790">
                  <c:v>12376.913678502266</c:v>
                </c:pt>
                <c:pt idx="791">
                  <c:v>12836.728112346998</c:v>
                </c:pt>
                <c:pt idx="792">
                  <c:v>20217.817611943392</c:v>
                </c:pt>
                <c:pt idx="793">
                  <c:v>21420.079167044787</c:v>
                </c:pt>
                <c:pt idx="794">
                  <c:v>19295.04834985187</c:v>
                </c:pt>
                <c:pt idx="795">
                  <c:v>13402.189703401014</c:v>
                </c:pt>
                <c:pt idx="796">
                  <c:v>13799.373567144896</c:v>
                </c:pt>
                <c:pt idx="797">
                  <c:v>20207.997202858449</c:v>
                </c:pt>
                <c:pt idx="798">
                  <c:v>15278.276095964327</c:v>
                </c:pt>
                <c:pt idx="799">
                  <c:v>19364.202311786808</c:v>
                </c:pt>
                <c:pt idx="800">
                  <c:v>16416.485909948045</c:v>
                </c:pt>
                <c:pt idx="801">
                  <c:v>19857.596437437747</c:v>
                </c:pt>
                <c:pt idx="802">
                  <c:v>19021.29219931359</c:v>
                </c:pt>
                <c:pt idx="803">
                  <c:v>13773.789924858098</c:v>
                </c:pt>
                <c:pt idx="804">
                  <c:v>17472.817394585356</c:v>
                </c:pt>
                <c:pt idx="805">
                  <c:v>13932.729873210536</c:v>
                </c:pt>
                <c:pt idx="806">
                  <c:v>13478.43860582717</c:v>
                </c:pt>
                <c:pt idx="807">
                  <c:v>15820.265439069703</c:v>
                </c:pt>
                <c:pt idx="808">
                  <c:v>21650.539297333544</c:v>
                </c:pt>
                <c:pt idx="809">
                  <c:v>17383.765584787194</c:v>
                </c:pt>
                <c:pt idx="810">
                  <c:v>16060.153542557979</c:v>
                </c:pt>
                <c:pt idx="811">
                  <c:v>15150.010464340165</c:v>
                </c:pt>
                <c:pt idx="812">
                  <c:v>26062.736616744845</c:v>
                </c:pt>
                <c:pt idx="813">
                  <c:v>14323.365817127617</c:v>
                </c:pt>
                <c:pt idx="814">
                  <c:v>15154.598484392392</c:v>
                </c:pt>
                <c:pt idx="815">
                  <c:v>17508.207237915278</c:v>
                </c:pt>
                <c:pt idx="816">
                  <c:v>21217.637585243749</c:v>
                </c:pt>
                <c:pt idx="817">
                  <c:v>16525.270029729232</c:v>
                </c:pt>
                <c:pt idx="818">
                  <c:v>15722.090478746633</c:v>
                </c:pt>
                <c:pt idx="819">
                  <c:v>11382.186312267311</c:v>
                </c:pt>
                <c:pt idx="820">
                  <c:v>13668.568082188873</c:v>
                </c:pt>
                <c:pt idx="821">
                  <c:v>17629.420108345577</c:v>
                </c:pt>
                <c:pt idx="822">
                  <c:v>16359.959863851416</c:v>
                </c:pt>
                <c:pt idx="823">
                  <c:v>18513.588837663374</c:v>
                </c:pt>
                <c:pt idx="824">
                  <c:v>18796.239965608478</c:v>
                </c:pt>
                <c:pt idx="825">
                  <c:v>19277.608104260347</c:v>
                </c:pt>
                <c:pt idx="826">
                  <c:v>16579.27801204133</c:v>
                </c:pt>
                <c:pt idx="827">
                  <c:v>14697.012932540521</c:v>
                </c:pt>
                <c:pt idx="828">
                  <c:v>18405.917501052896</c:v>
                </c:pt>
                <c:pt idx="829">
                  <c:v>16202.964097682277</c:v>
                </c:pt>
                <c:pt idx="830">
                  <c:v>17100.881425067408</c:v>
                </c:pt>
                <c:pt idx="831">
                  <c:v>14896.138439602013</c:v>
                </c:pt>
                <c:pt idx="832">
                  <c:v>13720.241299060563</c:v>
                </c:pt>
                <c:pt idx="833">
                  <c:v>13800.301184300579</c:v>
                </c:pt>
                <c:pt idx="834">
                  <c:v>20593.738761464054</c:v>
                </c:pt>
                <c:pt idx="835">
                  <c:v>21436.506303566581</c:v>
                </c:pt>
                <c:pt idx="836">
                  <c:v>16809.938724779549</c:v>
                </c:pt>
                <c:pt idx="837">
                  <c:v>19172.683795073961</c:v>
                </c:pt>
                <c:pt idx="838">
                  <c:v>19590.166928483512</c:v>
                </c:pt>
                <c:pt idx="839">
                  <c:v>11355.22595768646</c:v>
                </c:pt>
                <c:pt idx="840">
                  <c:v>19761.128642198728</c:v>
                </c:pt>
                <c:pt idx="841">
                  <c:v>22664.748630636786</c:v>
                </c:pt>
                <c:pt idx="842">
                  <c:v>12596.136574029673</c:v>
                </c:pt>
                <c:pt idx="843">
                  <c:v>18448.204919299042</c:v>
                </c:pt>
                <c:pt idx="844">
                  <c:v>21671.506965582103</c:v>
                </c:pt>
                <c:pt idx="845">
                  <c:v>21950.403514924619</c:v>
                </c:pt>
                <c:pt idx="846">
                  <c:v>13693.325826713686</c:v>
                </c:pt>
                <c:pt idx="847">
                  <c:v>17077.868872341998</c:v>
                </c:pt>
                <c:pt idx="848">
                  <c:v>26064.989076260914</c:v>
                </c:pt>
                <c:pt idx="849">
                  <c:v>25442.627755018068</c:v>
                </c:pt>
                <c:pt idx="850">
                  <c:v>17594.852782168626</c:v>
                </c:pt>
                <c:pt idx="851">
                  <c:v>14605.390623408217</c:v>
                </c:pt>
                <c:pt idx="852">
                  <c:v>15671.334746831353</c:v>
                </c:pt>
                <c:pt idx="853">
                  <c:v>15263.92666973057</c:v>
                </c:pt>
                <c:pt idx="854">
                  <c:v>15217.214224804147</c:v>
                </c:pt>
                <c:pt idx="855">
                  <c:v>18058.427744050579</c:v>
                </c:pt>
                <c:pt idx="856">
                  <c:v>10347.992794940459</c:v>
                </c:pt>
                <c:pt idx="857">
                  <c:v>20085.260139062277</c:v>
                </c:pt>
                <c:pt idx="858">
                  <c:v>9504.1032602818523</c:v>
                </c:pt>
                <c:pt idx="859">
                  <c:v>18721.139797112639</c:v>
                </c:pt>
                <c:pt idx="860">
                  <c:v>20459.356103960996</c:v>
                </c:pt>
                <c:pt idx="861">
                  <c:v>15695.289487419599</c:v>
                </c:pt>
                <c:pt idx="862">
                  <c:v>16300.855837544626</c:v>
                </c:pt>
                <c:pt idx="863">
                  <c:v>9743.2400398619538</c:v>
                </c:pt>
                <c:pt idx="864">
                  <c:v>17731.815731326067</c:v>
                </c:pt>
                <c:pt idx="865">
                  <c:v>11753.991748048384</c:v>
                </c:pt>
                <c:pt idx="866">
                  <c:v>23935.303405273651</c:v>
                </c:pt>
                <c:pt idx="867">
                  <c:v>12461.49382374621</c:v>
                </c:pt>
                <c:pt idx="868">
                  <c:v>18454.938683043405</c:v>
                </c:pt>
                <c:pt idx="869">
                  <c:v>23386.798492193328</c:v>
                </c:pt>
                <c:pt idx="870">
                  <c:v>13651.312968145514</c:v>
                </c:pt>
                <c:pt idx="871">
                  <c:v>24127.662638822665</c:v>
                </c:pt>
                <c:pt idx="872">
                  <c:v>13494.394434411903</c:v>
                </c:pt>
                <c:pt idx="873">
                  <c:v>17703.180904104742</c:v>
                </c:pt>
                <c:pt idx="874">
                  <c:v>16649.993064257087</c:v>
                </c:pt>
                <c:pt idx="875">
                  <c:v>15562.004680750126</c:v>
                </c:pt>
                <c:pt idx="876">
                  <c:v>18346.714756591839</c:v>
                </c:pt>
                <c:pt idx="877">
                  <c:v>21725.287200728661</c:v>
                </c:pt>
                <c:pt idx="878">
                  <c:v>18864.561083660206</c:v>
                </c:pt>
                <c:pt idx="879">
                  <c:v>24725.943159007657</c:v>
                </c:pt>
                <c:pt idx="880">
                  <c:v>33199.320455609828</c:v>
                </c:pt>
                <c:pt idx="881">
                  <c:v>18052.13693760163</c:v>
                </c:pt>
                <c:pt idx="882">
                  <c:v>21905.237545449469</c:v>
                </c:pt>
                <c:pt idx="883">
                  <c:v>16711.867856630906</c:v>
                </c:pt>
                <c:pt idx="884">
                  <c:v>18903.385073561982</c:v>
                </c:pt>
                <c:pt idx="885">
                  <c:v>17228.089678856628</c:v>
                </c:pt>
                <c:pt idx="886">
                  <c:v>19162.233089122263</c:v>
                </c:pt>
                <c:pt idx="887">
                  <c:v>23860.186446047119</c:v>
                </c:pt>
                <c:pt idx="888">
                  <c:v>13901.532014952501</c:v>
                </c:pt>
                <c:pt idx="889">
                  <c:v>13901.955905671799</c:v>
                </c:pt>
                <c:pt idx="890">
                  <c:v>19284.07929501617</c:v>
                </c:pt>
                <c:pt idx="891">
                  <c:v>15404.010895644495</c:v>
                </c:pt>
                <c:pt idx="892">
                  <c:v>18137.530748766996</c:v>
                </c:pt>
                <c:pt idx="893">
                  <c:v>16528.11119440274</c:v>
                </c:pt>
                <c:pt idx="894">
                  <c:v>12413.98292621982</c:v>
                </c:pt>
                <c:pt idx="895">
                  <c:v>15059.944607039395</c:v>
                </c:pt>
                <c:pt idx="896">
                  <c:v>14639.232940569316</c:v>
                </c:pt>
                <c:pt idx="897">
                  <c:v>21951.257887729171</c:v>
                </c:pt>
                <c:pt idx="898">
                  <c:v>16983.588404441456</c:v>
                </c:pt>
                <c:pt idx="899">
                  <c:v>19585.841415017629</c:v>
                </c:pt>
                <c:pt idx="900">
                  <c:v>22081.455134227348</c:v>
                </c:pt>
                <c:pt idx="901">
                  <c:v>19208.576078153772</c:v>
                </c:pt>
                <c:pt idx="902">
                  <c:v>22749.544223116205</c:v>
                </c:pt>
                <c:pt idx="903">
                  <c:v>15531.976051478396</c:v>
                </c:pt>
                <c:pt idx="904">
                  <c:v>13877.184571395166</c:v>
                </c:pt>
                <c:pt idx="905">
                  <c:v>15709.953335971315</c:v>
                </c:pt>
                <c:pt idx="906">
                  <c:v>14476.625186369214</c:v>
                </c:pt>
                <c:pt idx="907">
                  <c:v>17626.683054106023</c:v>
                </c:pt>
                <c:pt idx="908">
                  <c:v>16581.092710187815</c:v>
                </c:pt>
                <c:pt idx="909">
                  <c:v>18869.579558650868</c:v>
                </c:pt>
                <c:pt idx="910">
                  <c:v>20430.581192656246</c:v>
                </c:pt>
                <c:pt idx="911">
                  <c:v>17383.893230765745</c:v>
                </c:pt>
                <c:pt idx="912">
                  <c:v>14073.730379706136</c:v>
                </c:pt>
                <c:pt idx="913">
                  <c:v>15996.292012567335</c:v>
                </c:pt>
                <c:pt idx="914">
                  <c:v>19196.971978697773</c:v>
                </c:pt>
                <c:pt idx="915">
                  <c:v>18108.314617169948</c:v>
                </c:pt>
                <c:pt idx="916">
                  <c:v>14722.266020272902</c:v>
                </c:pt>
                <c:pt idx="917">
                  <c:v>15320.864428479614</c:v>
                </c:pt>
                <c:pt idx="918">
                  <c:v>20953.024008388034</c:v>
                </c:pt>
                <c:pt idx="919">
                  <c:v>20698.353773909981</c:v>
                </c:pt>
                <c:pt idx="920">
                  <c:v>16802.006084261506</c:v>
                </c:pt>
                <c:pt idx="921">
                  <c:v>19472.957192707501</c:v>
                </c:pt>
                <c:pt idx="922">
                  <c:v>12792.55303976685</c:v>
                </c:pt>
                <c:pt idx="923">
                  <c:v>15463.075240863376</c:v>
                </c:pt>
                <c:pt idx="924">
                  <c:v>16253.898297066433</c:v>
                </c:pt>
                <c:pt idx="925">
                  <c:v>20298.085444750348</c:v>
                </c:pt>
                <c:pt idx="926">
                  <c:v>16370.262234356434</c:v>
                </c:pt>
                <c:pt idx="927">
                  <c:v>15410.106881192864</c:v>
                </c:pt>
                <c:pt idx="928">
                  <c:v>20291.992691042229</c:v>
                </c:pt>
                <c:pt idx="929">
                  <c:v>22098.911533466486</c:v>
                </c:pt>
                <c:pt idx="930">
                  <c:v>13154.912360498043</c:v>
                </c:pt>
                <c:pt idx="931">
                  <c:v>17194.468568334421</c:v>
                </c:pt>
                <c:pt idx="932">
                  <c:v>13404.796178785384</c:v>
                </c:pt>
                <c:pt idx="933">
                  <c:v>16215.740829774402</c:v>
                </c:pt>
                <c:pt idx="934">
                  <c:v>18929.811404168115</c:v>
                </c:pt>
                <c:pt idx="935">
                  <c:v>19780.606450725711</c:v>
                </c:pt>
                <c:pt idx="936">
                  <c:v>19857.162348064463</c:v>
                </c:pt>
                <c:pt idx="937">
                  <c:v>20634.953969954262</c:v>
                </c:pt>
                <c:pt idx="938">
                  <c:v>17836.710322478353</c:v>
                </c:pt>
                <c:pt idx="939">
                  <c:v>12975.66948209892</c:v>
                </c:pt>
                <c:pt idx="940">
                  <c:v>18184.943229224929</c:v>
                </c:pt>
                <c:pt idx="941">
                  <c:v>15020.464170028965</c:v>
                </c:pt>
                <c:pt idx="942">
                  <c:v>22932.194319595448</c:v>
                </c:pt>
                <c:pt idx="943">
                  <c:v>17171.688139782753</c:v>
                </c:pt>
                <c:pt idx="944">
                  <c:v>17277.996026860867</c:v>
                </c:pt>
                <c:pt idx="945">
                  <c:v>20019.311857839875</c:v>
                </c:pt>
                <c:pt idx="946">
                  <c:v>14606.151140106422</c:v>
                </c:pt>
                <c:pt idx="947">
                  <c:v>23713.203486958679</c:v>
                </c:pt>
                <c:pt idx="948">
                  <c:v>16765.421717305901</c:v>
                </c:pt>
                <c:pt idx="949">
                  <c:v>16604.737928403916</c:v>
                </c:pt>
                <c:pt idx="950">
                  <c:v>22673.991365387876</c:v>
                </c:pt>
                <c:pt idx="951">
                  <c:v>18008.561799214447</c:v>
                </c:pt>
                <c:pt idx="952">
                  <c:v>18641.077852302507</c:v>
                </c:pt>
                <c:pt idx="953">
                  <c:v>12156.447916816553</c:v>
                </c:pt>
                <c:pt idx="954">
                  <c:v>18442.029487402175</c:v>
                </c:pt>
                <c:pt idx="955">
                  <c:v>15849.838123520869</c:v>
                </c:pt>
                <c:pt idx="956">
                  <c:v>18125.19662510795</c:v>
                </c:pt>
                <c:pt idx="957">
                  <c:v>17788.799170804148</c:v>
                </c:pt>
                <c:pt idx="958">
                  <c:v>16978.582252458051</c:v>
                </c:pt>
                <c:pt idx="959">
                  <c:v>20329.23814079598</c:v>
                </c:pt>
                <c:pt idx="960">
                  <c:v>21167.800832768971</c:v>
                </c:pt>
                <c:pt idx="961">
                  <c:v>17084.480807788597</c:v>
                </c:pt>
                <c:pt idx="962">
                  <c:v>12786.665867164953</c:v>
                </c:pt>
                <c:pt idx="963">
                  <c:v>16603.537793879575</c:v>
                </c:pt>
                <c:pt idx="964">
                  <c:v>21680.366335644427</c:v>
                </c:pt>
                <c:pt idx="965">
                  <c:v>18229.720381641066</c:v>
                </c:pt>
                <c:pt idx="966">
                  <c:v>16714.237827508161</c:v>
                </c:pt>
                <c:pt idx="967">
                  <c:v>22189.85539518221</c:v>
                </c:pt>
                <c:pt idx="968">
                  <c:v>19187.96921795954</c:v>
                </c:pt>
                <c:pt idx="969">
                  <c:v>22027.772986988733</c:v>
                </c:pt>
                <c:pt idx="970">
                  <c:v>14683.766407969024</c:v>
                </c:pt>
                <c:pt idx="971">
                  <c:v>15864.428298085604</c:v>
                </c:pt>
                <c:pt idx="972">
                  <c:v>17080.424259633608</c:v>
                </c:pt>
                <c:pt idx="973">
                  <c:v>12917.413624085508</c:v>
                </c:pt>
                <c:pt idx="974">
                  <c:v>18304.791184933529</c:v>
                </c:pt>
                <c:pt idx="975">
                  <c:v>23346.116820547595</c:v>
                </c:pt>
                <c:pt idx="976">
                  <c:v>16743.144949646707</c:v>
                </c:pt>
                <c:pt idx="977">
                  <c:v>14845.267379818928</c:v>
                </c:pt>
                <c:pt idx="978">
                  <c:v>15076.944526120831</c:v>
                </c:pt>
                <c:pt idx="979">
                  <c:v>19318.529258778741</c:v>
                </c:pt>
                <c:pt idx="980">
                  <c:v>15609.405463762869</c:v>
                </c:pt>
                <c:pt idx="981">
                  <c:v>15810.530795044775</c:v>
                </c:pt>
                <c:pt idx="982">
                  <c:v>14449.649823094973</c:v>
                </c:pt>
                <c:pt idx="983">
                  <c:v>14983.674016542847</c:v>
                </c:pt>
                <c:pt idx="984">
                  <c:v>15515.302300227784</c:v>
                </c:pt>
                <c:pt idx="985">
                  <c:v>15151.175547059238</c:v>
                </c:pt>
                <c:pt idx="986">
                  <c:v>11772.136188875273</c:v>
                </c:pt>
                <c:pt idx="987">
                  <c:v>19452.915922402579</c:v>
                </c:pt>
                <c:pt idx="988">
                  <c:v>16886.322503618241</c:v>
                </c:pt>
                <c:pt idx="989">
                  <c:v>12205.573407880665</c:v>
                </c:pt>
                <c:pt idx="990">
                  <c:v>18270.958938049327</c:v>
                </c:pt>
                <c:pt idx="991">
                  <c:v>14944.528264882871</c:v>
                </c:pt>
                <c:pt idx="992">
                  <c:v>15561.020979618968</c:v>
                </c:pt>
                <c:pt idx="993">
                  <c:v>18366.209289401173</c:v>
                </c:pt>
                <c:pt idx="994">
                  <c:v>14758.46231029543</c:v>
                </c:pt>
                <c:pt idx="995">
                  <c:v>15850.866189971572</c:v>
                </c:pt>
                <c:pt idx="996">
                  <c:v>18464.847764579721</c:v>
                </c:pt>
                <c:pt idx="997">
                  <c:v>14130.681196656158</c:v>
                </c:pt>
                <c:pt idx="998">
                  <c:v>12469.391659457779</c:v>
                </c:pt>
                <c:pt idx="999">
                  <c:v>12729.751260557339</c:v>
                </c:pt>
              </c:numCache>
            </c:numRef>
          </c:yVal>
          <c:smooth val="0"/>
        </c:ser>
        <c:ser>
          <c:idx val="1"/>
          <c:order val="1"/>
          <c:tx>
            <c:v>rFIIa</c:v>
          </c:tx>
          <c:spPr>
            <a:ln w="19050">
              <a:noFill/>
            </a:ln>
          </c:spPr>
          <c:xVal>
            <c:numRef>
              <c:f>Simulation!$Q$6:$Q$1005</c:f>
              <c:numCache>
                <c:formatCode>0.00_ ;\-0.00\ </c:formatCode>
                <c:ptCount val="1000"/>
                <c:pt idx="0">
                  <c:v>4.3800014862683367</c:v>
                </c:pt>
                <c:pt idx="1">
                  <c:v>4.5042397073212967</c:v>
                </c:pt>
                <c:pt idx="2">
                  <c:v>4.4856076078448339</c:v>
                </c:pt>
                <c:pt idx="3">
                  <c:v>4.7633220631546083</c:v>
                </c:pt>
                <c:pt idx="4">
                  <c:v>3.9024037289589959</c:v>
                </c:pt>
                <c:pt idx="5">
                  <c:v>3.6969777714612246</c:v>
                </c:pt>
                <c:pt idx="6">
                  <c:v>4.716591775213403</c:v>
                </c:pt>
                <c:pt idx="7">
                  <c:v>4.0978884780202378</c:v>
                </c:pt>
                <c:pt idx="8">
                  <c:v>4.65436343667632</c:v>
                </c:pt>
                <c:pt idx="9">
                  <c:v>4.3449462876535065</c:v>
                </c:pt>
                <c:pt idx="10">
                  <c:v>4.6122799363706228</c:v>
                </c:pt>
                <c:pt idx="11">
                  <c:v>4.6701018135035754</c:v>
                </c:pt>
                <c:pt idx="12">
                  <c:v>4.0074617251204616</c:v>
                </c:pt>
                <c:pt idx="13">
                  <c:v>4.6434715261439683</c:v>
                </c:pt>
                <c:pt idx="14">
                  <c:v>4.7042145153190793</c:v>
                </c:pt>
                <c:pt idx="15">
                  <c:v>4.7200331915900939</c:v>
                </c:pt>
                <c:pt idx="16">
                  <c:v>3.9048175763738371</c:v>
                </c:pt>
                <c:pt idx="17">
                  <c:v>4.8268654451136488</c:v>
                </c:pt>
                <c:pt idx="18">
                  <c:v>4.4713447337283156</c:v>
                </c:pt>
                <c:pt idx="19">
                  <c:v>4.4625949705724226</c:v>
                </c:pt>
                <c:pt idx="20">
                  <c:v>4.4767908209313125</c:v>
                </c:pt>
                <c:pt idx="21">
                  <c:v>4.0091172752849831</c:v>
                </c:pt>
                <c:pt idx="22">
                  <c:v>4.4197845228375314</c:v>
                </c:pt>
                <c:pt idx="23">
                  <c:v>3.7130278736719422</c:v>
                </c:pt>
                <c:pt idx="24">
                  <c:v>4.727525303399096</c:v>
                </c:pt>
                <c:pt idx="25">
                  <c:v>4.5947679322736352</c:v>
                </c:pt>
                <c:pt idx="26">
                  <c:v>3.8783685876355101</c:v>
                </c:pt>
                <c:pt idx="27">
                  <c:v>4.6192146557495759</c:v>
                </c:pt>
                <c:pt idx="28">
                  <c:v>3.9581426898058902</c:v>
                </c:pt>
                <c:pt idx="29">
                  <c:v>4.0575793951621559</c:v>
                </c:pt>
                <c:pt idx="30">
                  <c:v>3.1554146046803395</c:v>
                </c:pt>
                <c:pt idx="31">
                  <c:v>4.1143943558745057</c:v>
                </c:pt>
                <c:pt idx="32">
                  <c:v>4.3075434578566663</c:v>
                </c:pt>
                <c:pt idx="33">
                  <c:v>4.5073163650598183</c:v>
                </c:pt>
                <c:pt idx="34">
                  <c:v>4.7905011294213233</c:v>
                </c:pt>
                <c:pt idx="35">
                  <c:v>4.7841088525995845</c:v>
                </c:pt>
                <c:pt idx="36">
                  <c:v>4.7116693184888909</c:v>
                </c:pt>
                <c:pt idx="37">
                  <c:v>4.0924823980624057</c:v>
                </c:pt>
                <c:pt idx="38">
                  <c:v>4.3608052766755909</c:v>
                </c:pt>
                <c:pt idx="39">
                  <c:v>4.5275207651494647</c:v>
                </c:pt>
                <c:pt idx="40">
                  <c:v>4.5822369912246526</c:v>
                </c:pt>
                <c:pt idx="41">
                  <c:v>3.5992222419604056</c:v>
                </c:pt>
                <c:pt idx="42">
                  <c:v>4.3357870775938334</c:v>
                </c:pt>
                <c:pt idx="43">
                  <c:v>4.4354262867019445</c:v>
                </c:pt>
                <c:pt idx="44">
                  <c:v>4.6974881283495327</c:v>
                </c:pt>
                <c:pt idx="45">
                  <c:v>4.306908242045596</c:v>
                </c:pt>
                <c:pt idx="46">
                  <c:v>4.4304713692303173</c:v>
                </c:pt>
                <c:pt idx="47">
                  <c:v>4.1690179125595463</c:v>
                </c:pt>
                <c:pt idx="48">
                  <c:v>4.5361110528315249</c:v>
                </c:pt>
                <c:pt idx="49">
                  <c:v>4.4057922208051252</c:v>
                </c:pt>
                <c:pt idx="50">
                  <c:v>4.5829160420602193</c:v>
                </c:pt>
                <c:pt idx="51">
                  <c:v>4.2088651933773367</c:v>
                </c:pt>
                <c:pt idx="52">
                  <c:v>4.4696415419408426</c:v>
                </c:pt>
                <c:pt idx="53">
                  <c:v>4.2572262932317919</c:v>
                </c:pt>
                <c:pt idx="54">
                  <c:v>3.7357546468420009</c:v>
                </c:pt>
                <c:pt idx="55">
                  <c:v>3.7818001262442911</c:v>
                </c:pt>
                <c:pt idx="56">
                  <c:v>3.7189755657249486</c:v>
                </c:pt>
                <c:pt idx="57">
                  <c:v>4.1817194580847419</c:v>
                </c:pt>
                <c:pt idx="58">
                  <c:v>3.9718146473784151</c:v>
                </c:pt>
                <c:pt idx="59">
                  <c:v>4.5374006802205553</c:v>
                </c:pt>
                <c:pt idx="60">
                  <c:v>4.5672861415031125</c:v>
                </c:pt>
                <c:pt idx="61">
                  <c:v>4.8751611455414734</c:v>
                </c:pt>
                <c:pt idx="62">
                  <c:v>4.650605753714296</c:v>
                </c:pt>
                <c:pt idx="63">
                  <c:v>4.4230170717720618</c:v>
                </c:pt>
                <c:pt idx="64">
                  <c:v>4.4509819045983825</c:v>
                </c:pt>
                <c:pt idx="65">
                  <c:v>2.9887025015439388</c:v>
                </c:pt>
                <c:pt idx="66">
                  <c:v>4.2542924890962919</c:v>
                </c:pt>
                <c:pt idx="67">
                  <c:v>4.2209352569626528</c:v>
                </c:pt>
                <c:pt idx="68">
                  <c:v>4.3767854019338097</c:v>
                </c:pt>
                <c:pt idx="69">
                  <c:v>3.8770704522500448</c:v>
                </c:pt>
                <c:pt idx="70">
                  <c:v>4.2804709001171979</c:v>
                </c:pt>
                <c:pt idx="71">
                  <c:v>3.3416405471398263</c:v>
                </c:pt>
                <c:pt idx="72">
                  <c:v>3.8962832969184102</c:v>
                </c:pt>
                <c:pt idx="73">
                  <c:v>4.3827717199368292</c:v>
                </c:pt>
                <c:pt idx="74">
                  <c:v>4.154965576324722</c:v>
                </c:pt>
                <c:pt idx="75">
                  <c:v>4.809807526894236</c:v>
                </c:pt>
                <c:pt idx="76">
                  <c:v>4.5194463332458659</c:v>
                </c:pt>
                <c:pt idx="77">
                  <c:v>4.4457833745784976</c:v>
                </c:pt>
                <c:pt idx="78">
                  <c:v>4.4500188680635135</c:v>
                </c:pt>
                <c:pt idx="79">
                  <c:v>4.244532029103504</c:v>
                </c:pt>
                <c:pt idx="80">
                  <c:v>3.9246312882402261</c:v>
                </c:pt>
                <c:pt idx="81">
                  <c:v>4.6954524997692921</c:v>
                </c:pt>
                <c:pt idx="82">
                  <c:v>4.4522467547272315</c:v>
                </c:pt>
                <c:pt idx="83">
                  <c:v>3.6425439192724962</c:v>
                </c:pt>
                <c:pt idx="84">
                  <c:v>3.6643875194121276</c:v>
                </c:pt>
                <c:pt idx="85">
                  <c:v>3.1940261281788382</c:v>
                </c:pt>
                <c:pt idx="86">
                  <c:v>3.9922317720670852</c:v>
                </c:pt>
                <c:pt idx="87">
                  <c:v>4.2352757292366148</c:v>
                </c:pt>
                <c:pt idx="88">
                  <c:v>3.4292327659972717</c:v>
                </c:pt>
                <c:pt idx="89">
                  <c:v>3.8544321410155908</c:v>
                </c:pt>
                <c:pt idx="90">
                  <c:v>4.5986894169004158</c:v>
                </c:pt>
                <c:pt idx="91">
                  <c:v>4.2234299214720803</c:v>
                </c:pt>
                <c:pt idx="92">
                  <c:v>4.666697539972926</c:v>
                </c:pt>
                <c:pt idx="93">
                  <c:v>4.6660986866720737</c:v>
                </c:pt>
                <c:pt idx="94">
                  <c:v>4.4814287078151738</c:v>
                </c:pt>
                <c:pt idx="95">
                  <c:v>3.6931844036686852</c:v>
                </c:pt>
                <c:pt idx="96">
                  <c:v>2.6523211321970339</c:v>
                </c:pt>
                <c:pt idx="97">
                  <c:v>4.4327344524730288</c:v>
                </c:pt>
                <c:pt idx="98">
                  <c:v>4.5844794792709775</c:v>
                </c:pt>
                <c:pt idx="99">
                  <c:v>3.2492005531965273</c:v>
                </c:pt>
                <c:pt idx="100">
                  <c:v>4.197173383646434</c:v>
                </c:pt>
                <c:pt idx="101">
                  <c:v>3.9974985904845397</c:v>
                </c:pt>
                <c:pt idx="102">
                  <c:v>4.6735491453842029</c:v>
                </c:pt>
                <c:pt idx="103">
                  <c:v>4.1470282739537163</c:v>
                </c:pt>
                <c:pt idx="104">
                  <c:v>4.4314658616599392</c:v>
                </c:pt>
                <c:pt idx="105">
                  <c:v>4.8210465232052684</c:v>
                </c:pt>
                <c:pt idx="106">
                  <c:v>4.0090368200232325</c:v>
                </c:pt>
                <c:pt idx="107">
                  <c:v>4.7290990421897101</c:v>
                </c:pt>
                <c:pt idx="108">
                  <c:v>3.4204348946285901</c:v>
                </c:pt>
                <c:pt idx="109">
                  <c:v>4.8497622253284227</c:v>
                </c:pt>
                <c:pt idx="110">
                  <c:v>4.2193938199380714</c:v>
                </c:pt>
                <c:pt idx="111">
                  <c:v>4.1225019267200222</c:v>
                </c:pt>
                <c:pt idx="112">
                  <c:v>3.2484297097664552</c:v>
                </c:pt>
                <c:pt idx="113">
                  <c:v>4.873931183578148</c:v>
                </c:pt>
                <c:pt idx="114">
                  <c:v>4.6538314243794492</c:v>
                </c:pt>
                <c:pt idx="115">
                  <c:v>4.23890336061194</c:v>
                </c:pt>
                <c:pt idx="116">
                  <c:v>4.6465732949650533</c:v>
                </c:pt>
                <c:pt idx="117">
                  <c:v>3.186020387901606</c:v>
                </c:pt>
                <c:pt idx="118">
                  <c:v>4.7491699143163837</c:v>
                </c:pt>
                <c:pt idx="119">
                  <c:v>4.5505187607264936</c:v>
                </c:pt>
                <c:pt idx="120">
                  <c:v>3.7111492430359321</c:v>
                </c:pt>
                <c:pt idx="121">
                  <c:v>4.6719150553959299</c:v>
                </c:pt>
                <c:pt idx="122">
                  <c:v>4.6468302855378454</c:v>
                </c:pt>
                <c:pt idx="123">
                  <c:v>4.6766445440899274</c:v>
                </c:pt>
                <c:pt idx="124">
                  <c:v>4.3965545654619671</c:v>
                </c:pt>
                <c:pt idx="125">
                  <c:v>4.8052030787903419</c:v>
                </c:pt>
                <c:pt idx="126">
                  <c:v>4.4173931075032193</c:v>
                </c:pt>
                <c:pt idx="127">
                  <c:v>3.1756197864972635</c:v>
                </c:pt>
                <c:pt idx="128">
                  <c:v>2.8737116615282656</c:v>
                </c:pt>
                <c:pt idx="129">
                  <c:v>4.4750182377426944</c:v>
                </c:pt>
                <c:pt idx="130">
                  <c:v>4.3519815012788383</c:v>
                </c:pt>
                <c:pt idx="131">
                  <c:v>3.6315390141742085</c:v>
                </c:pt>
                <c:pt idx="132">
                  <c:v>3.9182598889516571</c:v>
                </c:pt>
                <c:pt idx="133">
                  <c:v>4.6206685689986333</c:v>
                </c:pt>
                <c:pt idx="134">
                  <c:v>3.5694394526557627</c:v>
                </c:pt>
                <c:pt idx="135">
                  <c:v>4.5451687916027721</c:v>
                </c:pt>
                <c:pt idx="136">
                  <c:v>4.714806235792806</c:v>
                </c:pt>
                <c:pt idx="137">
                  <c:v>4.5572735101874935</c:v>
                </c:pt>
                <c:pt idx="138">
                  <c:v>2.8366042188152778</c:v>
                </c:pt>
                <c:pt idx="139">
                  <c:v>4.293688278380607</c:v>
                </c:pt>
                <c:pt idx="140">
                  <c:v>4.5472941667302234</c:v>
                </c:pt>
                <c:pt idx="141">
                  <c:v>4.0256820678535767</c:v>
                </c:pt>
                <c:pt idx="142">
                  <c:v>4.6567626487653069</c:v>
                </c:pt>
                <c:pt idx="143">
                  <c:v>4.7041524673331558</c:v>
                </c:pt>
                <c:pt idx="144">
                  <c:v>4.46782504680447</c:v>
                </c:pt>
                <c:pt idx="145">
                  <c:v>4.7245927548973965</c:v>
                </c:pt>
                <c:pt idx="146">
                  <c:v>4.7175247539307579</c:v>
                </c:pt>
                <c:pt idx="147">
                  <c:v>4.4508330461397287</c:v>
                </c:pt>
                <c:pt idx="148">
                  <c:v>3.5774223346207243</c:v>
                </c:pt>
                <c:pt idx="149">
                  <c:v>3.6693714517330802</c:v>
                </c:pt>
                <c:pt idx="150">
                  <c:v>3.841426063602341</c:v>
                </c:pt>
                <c:pt idx="151">
                  <c:v>4.4990389927064678</c:v>
                </c:pt>
                <c:pt idx="152">
                  <c:v>4.3424228539629501</c:v>
                </c:pt>
                <c:pt idx="153">
                  <c:v>3.8973234522351285</c:v>
                </c:pt>
                <c:pt idx="154">
                  <c:v>4.6519601758243594</c:v>
                </c:pt>
                <c:pt idx="155">
                  <c:v>4.227074980876381</c:v>
                </c:pt>
                <c:pt idx="156">
                  <c:v>4.7412195105567214</c:v>
                </c:pt>
                <c:pt idx="157">
                  <c:v>4.5354938872133586</c:v>
                </c:pt>
                <c:pt idx="158">
                  <c:v>4.1855908563524133</c:v>
                </c:pt>
                <c:pt idx="159">
                  <c:v>4.0760412311786514</c:v>
                </c:pt>
                <c:pt idx="160">
                  <c:v>4.6351510062857715</c:v>
                </c:pt>
                <c:pt idx="161">
                  <c:v>3.5366394070572746</c:v>
                </c:pt>
                <c:pt idx="162">
                  <c:v>4.2832109778584533</c:v>
                </c:pt>
                <c:pt idx="163">
                  <c:v>4.5185048365915685</c:v>
                </c:pt>
                <c:pt idx="164">
                  <c:v>4.4256352957220901</c:v>
                </c:pt>
                <c:pt idx="165">
                  <c:v>4.7828163295350388</c:v>
                </c:pt>
                <c:pt idx="166">
                  <c:v>3.3064219430361352</c:v>
                </c:pt>
                <c:pt idx="167">
                  <c:v>4.4425800946870124</c:v>
                </c:pt>
                <c:pt idx="168">
                  <c:v>4.522925922737608</c:v>
                </c:pt>
                <c:pt idx="169">
                  <c:v>4.3875056755215063</c:v>
                </c:pt>
                <c:pt idx="170">
                  <c:v>4.5426497215986057</c:v>
                </c:pt>
                <c:pt idx="171">
                  <c:v>4.5821946882497695</c:v>
                </c:pt>
                <c:pt idx="172">
                  <c:v>4.3403047444559721</c:v>
                </c:pt>
                <c:pt idx="173">
                  <c:v>4.2802985786382015</c:v>
                </c:pt>
                <c:pt idx="174">
                  <c:v>4.6120119948167222</c:v>
                </c:pt>
                <c:pt idx="175">
                  <c:v>4.1602548031654845</c:v>
                </c:pt>
                <c:pt idx="176">
                  <c:v>4.1111045979861078</c:v>
                </c:pt>
                <c:pt idx="177">
                  <c:v>4.4994875708253499</c:v>
                </c:pt>
                <c:pt idx="178">
                  <c:v>3.6552834403169983</c:v>
                </c:pt>
                <c:pt idx="179">
                  <c:v>4.7870726320150716</c:v>
                </c:pt>
                <c:pt idx="180">
                  <c:v>4.6800792240409637</c:v>
                </c:pt>
                <c:pt idx="181">
                  <c:v>3.6870109362441004</c:v>
                </c:pt>
                <c:pt idx="182">
                  <c:v>4.3480364208918481</c:v>
                </c:pt>
                <c:pt idx="183">
                  <c:v>4.7754599221667497</c:v>
                </c:pt>
                <c:pt idx="184">
                  <c:v>4.2869117657215359</c:v>
                </c:pt>
                <c:pt idx="185">
                  <c:v>4.6359813677432848</c:v>
                </c:pt>
                <c:pt idx="186">
                  <c:v>3.7791419649303872</c:v>
                </c:pt>
                <c:pt idx="187">
                  <c:v>4.7657954091654569</c:v>
                </c:pt>
                <c:pt idx="188">
                  <c:v>4.4972608998223604</c:v>
                </c:pt>
                <c:pt idx="189">
                  <c:v>4.5297549579993701</c:v>
                </c:pt>
                <c:pt idx="190">
                  <c:v>4.4714808196702052</c:v>
                </c:pt>
                <c:pt idx="191">
                  <c:v>4.3783107126419596</c:v>
                </c:pt>
                <c:pt idx="192">
                  <c:v>3.55092391238539</c:v>
                </c:pt>
                <c:pt idx="193">
                  <c:v>3.4704566656671059</c:v>
                </c:pt>
                <c:pt idx="194">
                  <c:v>4.6872218079213042</c:v>
                </c:pt>
                <c:pt idx="195">
                  <c:v>4.4136209894933494</c:v>
                </c:pt>
                <c:pt idx="196">
                  <c:v>4.831492019638957</c:v>
                </c:pt>
                <c:pt idx="197">
                  <c:v>3.7853800159167603</c:v>
                </c:pt>
                <c:pt idx="198">
                  <c:v>3.9751465012104124</c:v>
                </c:pt>
                <c:pt idx="199">
                  <c:v>4.0568819829378961</c:v>
                </c:pt>
                <c:pt idx="200">
                  <c:v>4.7684047976377233</c:v>
                </c:pt>
                <c:pt idx="201">
                  <c:v>3.8424769695617105</c:v>
                </c:pt>
                <c:pt idx="202">
                  <c:v>4.7442588968687271</c:v>
                </c:pt>
                <c:pt idx="203">
                  <c:v>4.1425343080876749</c:v>
                </c:pt>
                <c:pt idx="204">
                  <c:v>4.2782704088257928</c:v>
                </c:pt>
                <c:pt idx="205">
                  <c:v>3.9477695889780988</c:v>
                </c:pt>
                <c:pt idx="206">
                  <c:v>4.132340300095934</c:v>
                </c:pt>
                <c:pt idx="207">
                  <c:v>4.1504138761217781</c:v>
                </c:pt>
                <c:pt idx="208">
                  <c:v>4.434546363328737</c:v>
                </c:pt>
                <c:pt idx="209">
                  <c:v>4.1284377087014787</c:v>
                </c:pt>
                <c:pt idx="210">
                  <c:v>4.0004122953798635</c:v>
                </c:pt>
                <c:pt idx="211">
                  <c:v>4.7192324182335268</c:v>
                </c:pt>
                <c:pt idx="212">
                  <c:v>4.644222416403692</c:v>
                </c:pt>
                <c:pt idx="213">
                  <c:v>4.6670923394627533</c:v>
                </c:pt>
                <c:pt idx="214">
                  <c:v>4.6227157558833571</c:v>
                </c:pt>
                <c:pt idx="215">
                  <c:v>4.6913623823089905</c:v>
                </c:pt>
                <c:pt idx="216">
                  <c:v>4.2579074390582869</c:v>
                </c:pt>
                <c:pt idx="217">
                  <c:v>4.3254374137594098</c:v>
                </c:pt>
                <c:pt idx="218">
                  <c:v>4.8305455487591953</c:v>
                </c:pt>
                <c:pt idx="219">
                  <c:v>4.3291745849952967</c:v>
                </c:pt>
                <c:pt idx="220">
                  <c:v>4.2176605072275786</c:v>
                </c:pt>
                <c:pt idx="221">
                  <c:v>4.6572665323075446</c:v>
                </c:pt>
                <c:pt idx="222">
                  <c:v>4.8478658178788336</c:v>
                </c:pt>
                <c:pt idx="223">
                  <c:v>4.5764554417500918</c:v>
                </c:pt>
                <c:pt idx="224">
                  <c:v>4.0404182126405503</c:v>
                </c:pt>
                <c:pt idx="225">
                  <c:v>4.2473468541926067</c:v>
                </c:pt>
                <c:pt idx="226">
                  <c:v>4.148057272129023</c:v>
                </c:pt>
                <c:pt idx="227">
                  <c:v>3.3090952941214371</c:v>
                </c:pt>
                <c:pt idx="228">
                  <c:v>3.3896194593269677</c:v>
                </c:pt>
                <c:pt idx="229">
                  <c:v>4.527206564639787</c:v>
                </c:pt>
                <c:pt idx="230">
                  <c:v>4.1083422834734575</c:v>
                </c:pt>
                <c:pt idx="231">
                  <c:v>4.3727475043580011</c:v>
                </c:pt>
                <c:pt idx="232">
                  <c:v>3.7076581374618773</c:v>
                </c:pt>
                <c:pt idx="233">
                  <c:v>4.3141805257541748</c:v>
                </c:pt>
                <c:pt idx="234">
                  <c:v>4.6604307278265322</c:v>
                </c:pt>
                <c:pt idx="235">
                  <c:v>4.7548311774011971</c:v>
                </c:pt>
                <c:pt idx="236">
                  <c:v>3.4871963978025078</c:v>
                </c:pt>
                <c:pt idx="237">
                  <c:v>3.8970154199754763</c:v>
                </c:pt>
                <c:pt idx="238">
                  <c:v>4.7819508911695667</c:v>
                </c:pt>
                <c:pt idx="239">
                  <c:v>4.2863275679490975</c:v>
                </c:pt>
                <c:pt idx="240">
                  <c:v>4.3498736881763902</c:v>
                </c:pt>
                <c:pt idx="241">
                  <c:v>4.639248245569914</c:v>
                </c:pt>
                <c:pt idx="242">
                  <c:v>3.1381731431700484</c:v>
                </c:pt>
                <c:pt idx="243">
                  <c:v>4.7481272081483148</c:v>
                </c:pt>
                <c:pt idx="244">
                  <c:v>4.3300865076831991</c:v>
                </c:pt>
                <c:pt idx="245">
                  <c:v>3.9241065548932736</c:v>
                </c:pt>
                <c:pt idx="246">
                  <c:v>3.9821491345603275</c:v>
                </c:pt>
                <c:pt idx="247">
                  <c:v>4.6405353321575209</c:v>
                </c:pt>
                <c:pt idx="248">
                  <c:v>4.641685264851886</c:v>
                </c:pt>
                <c:pt idx="249">
                  <c:v>4.3380635062564075</c:v>
                </c:pt>
                <c:pt idx="250">
                  <c:v>3.8330990488175711</c:v>
                </c:pt>
                <c:pt idx="251">
                  <c:v>4.4800690544099719</c:v>
                </c:pt>
                <c:pt idx="252">
                  <c:v>3.9622715171834915</c:v>
                </c:pt>
                <c:pt idx="253">
                  <c:v>3.0594203598086898</c:v>
                </c:pt>
                <c:pt idx="254">
                  <c:v>2.9960623616447655</c:v>
                </c:pt>
                <c:pt idx="255">
                  <c:v>4.2585533207438058</c:v>
                </c:pt>
                <c:pt idx="256">
                  <c:v>4.5945715936290075</c:v>
                </c:pt>
                <c:pt idx="257">
                  <c:v>3.6350923600457037</c:v>
                </c:pt>
                <c:pt idx="258">
                  <c:v>4.2260041425746149</c:v>
                </c:pt>
                <c:pt idx="259">
                  <c:v>4.1202410581412661</c:v>
                </c:pt>
                <c:pt idx="260">
                  <c:v>4.1318478297578203</c:v>
                </c:pt>
                <c:pt idx="261">
                  <c:v>4.3806010332237193</c:v>
                </c:pt>
                <c:pt idx="262">
                  <c:v>4.6951686861427451</c:v>
                </c:pt>
                <c:pt idx="263">
                  <c:v>4.5606700854209103</c:v>
                </c:pt>
                <c:pt idx="264">
                  <c:v>4.2754238524115387</c:v>
                </c:pt>
                <c:pt idx="265">
                  <c:v>4.3853570933942256</c:v>
                </c:pt>
                <c:pt idx="266">
                  <c:v>4.3863501730080827</c:v>
                </c:pt>
                <c:pt idx="267">
                  <c:v>4.5592238203692004</c:v>
                </c:pt>
                <c:pt idx="268">
                  <c:v>4.188339690686929</c:v>
                </c:pt>
                <c:pt idx="269">
                  <c:v>4.7194994534470975</c:v>
                </c:pt>
                <c:pt idx="270">
                  <c:v>4.4491103575183466</c:v>
                </c:pt>
                <c:pt idx="271">
                  <c:v>2.7018996903653232</c:v>
                </c:pt>
                <c:pt idx="272">
                  <c:v>4.0545134432604595</c:v>
                </c:pt>
                <c:pt idx="273">
                  <c:v>4.5658999291023274</c:v>
                </c:pt>
                <c:pt idx="274">
                  <c:v>3.8780727360542695</c:v>
                </c:pt>
                <c:pt idx="275">
                  <c:v>4.1177472070587449</c:v>
                </c:pt>
                <c:pt idx="276">
                  <c:v>4.2326416182353563</c:v>
                </c:pt>
                <c:pt idx="277">
                  <c:v>3.6981539860317039</c:v>
                </c:pt>
                <c:pt idx="278">
                  <c:v>4.0450446950078254</c:v>
                </c:pt>
                <c:pt idx="279">
                  <c:v>4.6897798078712727</c:v>
                </c:pt>
                <c:pt idx="280">
                  <c:v>4.5824417962853952</c:v>
                </c:pt>
                <c:pt idx="281">
                  <c:v>4.6617768045678112</c:v>
                </c:pt>
                <c:pt idx="282">
                  <c:v>4.5587325637073359</c:v>
                </c:pt>
                <c:pt idx="283">
                  <c:v>4.6606298201487286</c:v>
                </c:pt>
                <c:pt idx="284">
                  <c:v>4.35761517966887</c:v>
                </c:pt>
                <c:pt idx="285">
                  <c:v>3.7600521821050306</c:v>
                </c:pt>
                <c:pt idx="286">
                  <c:v>4.2574987031062221</c:v>
                </c:pt>
                <c:pt idx="287">
                  <c:v>3.5857116770433803</c:v>
                </c:pt>
                <c:pt idx="288">
                  <c:v>4.2433540119525075</c:v>
                </c:pt>
                <c:pt idx="289">
                  <c:v>4.5463072001616904</c:v>
                </c:pt>
                <c:pt idx="290">
                  <c:v>4.7328036515151375</c:v>
                </c:pt>
                <c:pt idx="291">
                  <c:v>4.3713065361953678</c:v>
                </c:pt>
                <c:pt idx="292">
                  <c:v>4.1906578261725587</c:v>
                </c:pt>
                <c:pt idx="293">
                  <c:v>4.7621706051506969</c:v>
                </c:pt>
                <c:pt idx="294">
                  <c:v>4.191788809973465</c:v>
                </c:pt>
                <c:pt idx="295">
                  <c:v>4.3195176203889858</c:v>
                </c:pt>
                <c:pt idx="296">
                  <c:v>4.1355207714580189</c:v>
                </c:pt>
                <c:pt idx="297">
                  <c:v>4.714403979079683</c:v>
                </c:pt>
                <c:pt idx="298">
                  <c:v>4.579408946959636</c:v>
                </c:pt>
                <c:pt idx="299">
                  <c:v>3.3284019652962087</c:v>
                </c:pt>
                <c:pt idx="300">
                  <c:v>4.7894048264068951</c:v>
                </c:pt>
                <c:pt idx="301">
                  <c:v>3.9309291065105181</c:v>
                </c:pt>
                <c:pt idx="302">
                  <c:v>4.6528588501994701</c:v>
                </c:pt>
                <c:pt idx="303">
                  <c:v>4.336712817461569</c:v>
                </c:pt>
                <c:pt idx="304">
                  <c:v>4.4530051320318158</c:v>
                </c:pt>
                <c:pt idx="305">
                  <c:v>4.1115989129354951</c:v>
                </c:pt>
                <c:pt idx="306">
                  <c:v>4.232097925305041</c:v>
                </c:pt>
                <c:pt idx="307">
                  <c:v>4.1904828093278974</c:v>
                </c:pt>
                <c:pt idx="308">
                  <c:v>4.5850232383224867</c:v>
                </c:pt>
                <c:pt idx="309">
                  <c:v>4.7941411241851464</c:v>
                </c:pt>
                <c:pt idx="310">
                  <c:v>4.6938176996074903</c:v>
                </c:pt>
                <c:pt idx="311">
                  <c:v>4.1028218712879188</c:v>
                </c:pt>
                <c:pt idx="312">
                  <c:v>4.7220183057669765</c:v>
                </c:pt>
                <c:pt idx="313">
                  <c:v>3.5773480343632902</c:v>
                </c:pt>
                <c:pt idx="314">
                  <c:v>4.4646245754457849</c:v>
                </c:pt>
                <c:pt idx="315">
                  <c:v>3.736771347463494</c:v>
                </c:pt>
                <c:pt idx="316">
                  <c:v>4.7742917932168121</c:v>
                </c:pt>
                <c:pt idx="317">
                  <c:v>4.579027498292084</c:v>
                </c:pt>
                <c:pt idx="318">
                  <c:v>4.8535551080364732</c:v>
                </c:pt>
                <c:pt idx="319">
                  <c:v>3.5248295245737853</c:v>
                </c:pt>
                <c:pt idx="320">
                  <c:v>4.5695356517541299</c:v>
                </c:pt>
                <c:pt idx="321">
                  <c:v>3.7354928825711071</c:v>
                </c:pt>
                <c:pt idx="322">
                  <c:v>3.4625182925502931</c:v>
                </c:pt>
                <c:pt idx="323">
                  <c:v>4.8273626974505559</c:v>
                </c:pt>
                <c:pt idx="324">
                  <c:v>4.3520558172151267</c:v>
                </c:pt>
                <c:pt idx="325">
                  <c:v>4.2637219101228583</c:v>
                </c:pt>
                <c:pt idx="326">
                  <c:v>3.3543673791009159</c:v>
                </c:pt>
                <c:pt idx="327">
                  <c:v>4.1661844053456294</c:v>
                </c:pt>
                <c:pt idx="328">
                  <c:v>3.9401866427704566</c:v>
                </c:pt>
                <c:pt idx="329">
                  <c:v>4.1052682546687915</c:v>
                </c:pt>
                <c:pt idx="330">
                  <c:v>4.1060450125867689</c:v>
                </c:pt>
                <c:pt idx="331">
                  <c:v>4.5219397487076343</c:v>
                </c:pt>
                <c:pt idx="332">
                  <c:v>4.261914341187186</c:v>
                </c:pt>
                <c:pt idx="333">
                  <c:v>3.2315454386975127</c:v>
                </c:pt>
                <c:pt idx="334">
                  <c:v>4.6762665533785626</c:v>
                </c:pt>
                <c:pt idx="335">
                  <c:v>3.9639470603686622</c:v>
                </c:pt>
                <c:pt idx="336">
                  <c:v>4.3255164525368084</c:v>
                </c:pt>
                <c:pt idx="337">
                  <c:v>4.6776991181396355</c:v>
                </c:pt>
                <c:pt idx="338">
                  <c:v>4.0039110669970794</c:v>
                </c:pt>
                <c:pt idx="339">
                  <c:v>3.9660107146431107</c:v>
                </c:pt>
                <c:pt idx="340">
                  <c:v>4.4767220015064479</c:v>
                </c:pt>
                <c:pt idx="341">
                  <c:v>3.9193768207192168</c:v>
                </c:pt>
                <c:pt idx="342">
                  <c:v>4.3638591992942022</c:v>
                </c:pt>
                <c:pt idx="343">
                  <c:v>4.5627783080976823</c:v>
                </c:pt>
                <c:pt idx="344">
                  <c:v>3.8818324443863128</c:v>
                </c:pt>
                <c:pt idx="345">
                  <c:v>4.2835053621549353</c:v>
                </c:pt>
                <c:pt idx="346">
                  <c:v>4.5485075046141752</c:v>
                </c:pt>
                <c:pt idx="347">
                  <c:v>3.8993022011344891</c:v>
                </c:pt>
                <c:pt idx="348">
                  <c:v>4.4075548643990521</c:v>
                </c:pt>
                <c:pt idx="349">
                  <c:v>4.7354579618362465</c:v>
                </c:pt>
                <c:pt idx="350">
                  <c:v>4.6377641862207195</c:v>
                </c:pt>
                <c:pt idx="351">
                  <c:v>4.2673854028891105</c:v>
                </c:pt>
                <c:pt idx="352">
                  <c:v>4.0595823448827311</c:v>
                </c:pt>
                <c:pt idx="353">
                  <c:v>4.8174222707365644</c:v>
                </c:pt>
                <c:pt idx="354">
                  <c:v>4.4905362031240781</c:v>
                </c:pt>
                <c:pt idx="355">
                  <c:v>3.9931284663440061</c:v>
                </c:pt>
                <c:pt idx="356">
                  <c:v>2.5993643653278431</c:v>
                </c:pt>
                <c:pt idx="357">
                  <c:v>3.1648687384927312</c:v>
                </c:pt>
                <c:pt idx="358">
                  <c:v>4.3769055231334857</c:v>
                </c:pt>
                <c:pt idx="359">
                  <c:v>4.4962533775277276</c:v>
                </c:pt>
                <c:pt idx="360">
                  <c:v>4.066330250857531</c:v>
                </c:pt>
                <c:pt idx="361">
                  <c:v>4.1626943634861648</c:v>
                </c:pt>
                <c:pt idx="362">
                  <c:v>4.0836312875972975</c:v>
                </c:pt>
                <c:pt idx="363">
                  <c:v>4.0392609738929721</c:v>
                </c:pt>
                <c:pt idx="364">
                  <c:v>4.2070733648165755</c:v>
                </c:pt>
                <c:pt idx="365">
                  <c:v>4.2979921685891354</c:v>
                </c:pt>
                <c:pt idx="366">
                  <c:v>4.4060396071842112</c:v>
                </c:pt>
                <c:pt idx="367">
                  <c:v>4.7381146697081178</c:v>
                </c:pt>
                <c:pt idx="368">
                  <c:v>4.4823694523468722</c:v>
                </c:pt>
                <c:pt idx="369">
                  <c:v>4.3949322317111941</c:v>
                </c:pt>
                <c:pt idx="370">
                  <c:v>4.3374895444314925</c:v>
                </c:pt>
                <c:pt idx="371">
                  <c:v>4.7208189563316472</c:v>
                </c:pt>
                <c:pt idx="372">
                  <c:v>4.5919356499470565</c:v>
                </c:pt>
                <c:pt idx="373">
                  <c:v>3.0025318031768711</c:v>
                </c:pt>
                <c:pt idx="374">
                  <c:v>4.5497666610617928</c:v>
                </c:pt>
                <c:pt idx="375">
                  <c:v>4.0556822982738661</c:v>
                </c:pt>
                <c:pt idx="376">
                  <c:v>4.7385093305204897</c:v>
                </c:pt>
                <c:pt idx="377">
                  <c:v>4.1041231053371412</c:v>
                </c:pt>
                <c:pt idx="378">
                  <c:v>4.195523510195601</c:v>
                </c:pt>
                <c:pt idx="379">
                  <c:v>4.7423869057547972</c:v>
                </c:pt>
                <c:pt idx="380">
                  <c:v>3.8275939709266447</c:v>
                </c:pt>
                <c:pt idx="381">
                  <c:v>4.215731922155987</c:v>
                </c:pt>
                <c:pt idx="382">
                  <c:v>4.8890536712377068</c:v>
                </c:pt>
                <c:pt idx="383">
                  <c:v>4.6436947282797165</c:v>
                </c:pt>
                <c:pt idx="384">
                  <c:v>4.4706865971179193</c:v>
                </c:pt>
                <c:pt idx="385">
                  <c:v>3.6884904646630714</c:v>
                </c:pt>
                <c:pt idx="386">
                  <c:v>3.7267048140725394</c:v>
                </c:pt>
                <c:pt idx="387">
                  <c:v>4.2681304086670426</c:v>
                </c:pt>
                <c:pt idx="388">
                  <c:v>4.6765648856152504</c:v>
                </c:pt>
                <c:pt idx="389">
                  <c:v>4.3878884909273808</c:v>
                </c:pt>
                <c:pt idx="390">
                  <c:v>4.7503547159787578</c:v>
                </c:pt>
                <c:pt idx="391">
                  <c:v>4.7224798687655545</c:v>
                </c:pt>
                <c:pt idx="392">
                  <c:v>4.360623536032473</c:v>
                </c:pt>
                <c:pt idx="393">
                  <c:v>4.8379072752111352</c:v>
                </c:pt>
                <c:pt idx="394">
                  <c:v>3.8459222887924716</c:v>
                </c:pt>
                <c:pt idx="395">
                  <c:v>3.5824694566595925</c:v>
                </c:pt>
                <c:pt idx="396">
                  <c:v>4.6609386464784679</c:v>
                </c:pt>
                <c:pt idx="397">
                  <c:v>4.8291521225401732</c:v>
                </c:pt>
                <c:pt idx="398">
                  <c:v>4.1557810289126849</c:v>
                </c:pt>
                <c:pt idx="399">
                  <c:v>2.6817748634589669</c:v>
                </c:pt>
                <c:pt idx="400">
                  <c:v>4.4448394688081914</c:v>
                </c:pt>
                <c:pt idx="401">
                  <c:v>4.64963851208541</c:v>
                </c:pt>
                <c:pt idx="402">
                  <c:v>4.7297142340507881</c:v>
                </c:pt>
                <c:pt idx="403">
                  <c:v>2.8633600585822303</c:v>
                </c:pt>
                <c:pt idx="404">
                  <c:v>4.8306708052858465</c:v>
                </c:pt>
                <c:pt idx="405">
                  <c:v>3.299993208275195</c:v>
                </c:pt>
                <c:pt idx="406">
                  <c:v>4.539494990351522</c:v>
                </c:pt>
                <c:pt idx="407">
                  <c:v>4.215820050901959</c:v>
                </c:pt>
                <c:pt idx="408">
                  <c:v>3.7192470093153713</c:v>
                </c:pt>
                <c:pt idx="409">
                  <c:v>4.8027808054370293</c:v>
                </c:pt>
                <c:pt idx="410">
                  <c:v>4.2975033108471683</c:v>
                </c:pt>
                <c:pt idx="411">
                  <c:v>4.2790275327189855</c:v>
                </c:pt>
                <c:pt idx="412">
                  <c:v>4.5178299252433076</c:v>
                </c:pt>
                <c:pt idx="413">
                  <c:v>3.9019112899862129</c:v>
                </c:pt>
                <c:pt idx="414">
                  <c:v>4.6066329489783415</c:v>
                </c:pt>
                <c:pt idx="415">
                  <c:v>4.4626768389671989</c:v>
                </c:pt>
                <c:pt idx="416">
                  <c:v>4.5712109029480397</c:v>
                </c:pt>
                <c:pt idx="417">
                  <c:v>4.2372756457672018</c:v>
                </c:pt>
                <c:pt idx="418">
                  <c:v>3.7583508229511482</c:v>
                </c:pt>
                <c:pt idx="419">
                  <c:v>3.0985606255415989</c:v>
                </c:pt>
                <c:pt idx="420">
                  <c:v>4.7789636833683469</c:v>
                </c:pt>
                <c:pt idx="421">
                  <c:v>4.0894473586414612</c:v>
                </c:pt>
                <c:pt idx="422">
                  <c:v>3.6595920909838098</c:v>
                </c:pt>
                <c:pt idx="423">
                  <c:v>4.7441208546558826</c:v>
                </c:pt>
                <c:pt idx="424">
                  <c:v>4.8307126207864188</c:v>
                </c:pt>
                <c:pt idx="425">
                  <c:v>3.9934392358449915</c:v>
                </c:pt>
                <c:pt idx="426">
                  <c:v>2.6277426912937045</c:v>
                </c:pt>
                <c:pt idx="427">
                  <c:v>4.7390843313948059</c:v>
                </c:pt>
                <c:pt idx="428">
                  <c:v>4.0878772678706374</c:v>
                </c:pt>
                <c:pt idx="429">
                  <c:v>3.5020738737818324</c:v>
                </c:pt>
                <c:pt idx="430">
                  <c:v>3.6976510101007829</c:v>
                </c:pt>
                <c:pt idx="431">
                  <c:v>4.3693216854003429</c:v>
                </c:pt>
                <c:pt idx="432">
                  <c:v>3.9800785167506691</c:v>
                </c:pt>
                <c:pt idx="433">
                  <c:v>3.095513020327763</c:v>
                </c:pt>
                <c:pt idx="434">
                  <c:v>4.1469378410648003</c:v>
                </c:pt>
                <c:pt idx="435">
                  <c:v>4.4560731763606416</c:v>
                </c:pt>
                <c:pt idx="436">
                  <c:v>3.7384375516021282</c:v>
                </c:pt>
                <c:pt idx="437">
                  <c:v>4.6795295595255402</c:v>
                </c:pt>
                <c:pt idx="438">
                  <c:v>4.2498959073678133</c:v>
                </c:pt>
                <c:pt idx="439">
                  <c:v>4.3414567979127341</c:v>
                </c:pt>
                <c:pt idx="440">
                  <c:v>4.2910123493163645</c:v>
                </c:pt>
                <c:pt idx="441">
                  <c:v>3.8740471403637011</c:v>
                </c:pt>
                <c:pt idx="442">
                  <c:v>3.3028055308458018</c:v>
                </c:pt>
                <c:pt idx="443">
                  <c:v>4.2603028358855086</c:v>
                </c:pt>
                <c:pt idx="444">
                  <c:v>4.2072641888534159</c:v>
                </c:pt>
                <c:pt idx="445">
                  <c:v>4.5049506352415047</c:v>
                </c:pt>
                <c:pt idx="446">
                  <c:v>4.6299361152445275</c:v>
                </c:pt>
                <c:pt idx="447">
                  <c:v>4.8138069271304547</c:v>
                </c:pt>
                <c:pt idx="448">
                  <c:v>4.3300252320106303</c:v>
                </c:pt>
                <c:pt idx="449">
                  <c:v>4.1811847113107907</c:v>
                </c:pt>
                <c:pt idx="450">
                  <c:v>4.1585205655887272</c:v>
                </c:pt>
                <c:pt idx="451">
                  <c:v>3.9555612375894205</c:v>
                </c:pt>
                <c:pt idx="452">
                  <c:v>4.0412885558358509</c:v>
                </c:pt>
                <c:pt idx="453">
                  <c:v>4.0355590900362541</c:v>
                </c:pt>
                <c:pt idx="454">
                  <c:v>3.8738425053731058</c:v>
                </c:pt>
                <c:pt idx="455">
                  <c:v>4.3498391817153106</c:v>
                </c:pt>
                <c:pt idx="456">
                  <c:v>3.8802922861377858</c:v>
                </c:pt>
                <c:pt idx="457">
                  <c:v>4.5668749823712416</c:v>
                </c:pt>
                <c:pt idx="458">
                  <c:v>3.9389773323100434</c:v>
                </c:pt>
                <c:pt idx="459">
                  <c:v>4.258614318111908</c:v>
                </c:pt>
                <c:pt idx="460">
                  <c:v>3.5571171806217872</c:v>
                </c:pt>
                <c:pt idx="461">
                  <c:v>3.6094597295057675</c:v>
                </c:pt>
                <c:pt idx="462">
                  <c:v>4.4872138945616546</c:v>
                </c:pt>
                <c:pt idx="463">
                  <c:v>4.5366031247520127</c:v>
                </c:pt>
                <c:pt idx="464">
                  <c:v>4.4033369346692677</c:v>
                </c:pt>
                <c:pt idx="465">
                  <c:v>3.3712980854606149</c:v>
                </c:pt>
                <c:pt idx="466">
                  <c:v>3.6009430277999597</c:v>
                </c:pt>
                <c:pt idx="467">
                  <c:v>4.356712350738337</c:v>
                </c:pt>
                <c:pt idx="468">
                  <c:v>2.6867734377541548</c:v>
                </c:pt>
                <c:pt idx="469">
                  <c:v>4.5828661395445449</c:v>
                </c:pt>
                <c:pt idx="470">
                  <c:v>4.5672254238811778</c:v>
                </c:pt>
                <c:pt idx="471">
                  <c:v>4.2139632737157751</c:v>
                </c:pt>
                <c:pt idx="472">
                  <c:v>3.6503807893424218</c:v>
                </c:pt>
                <c:pt idx="473">
                  <c:v>3.878916560238419</c:v>
                </c:pt>
                <c:pt idx="474">
                  <c:v>3.6802304715084331</c:v>
                </c:pt>
                <c:pt idx="475">
                  <c:v>4.1042433050578797</c:v>
                </c:pt>
                <c:pt idx="476">
                  <c:v>4.3440381981930996</c:v>
                </c:pt>
                <c:pt idx="477">
                  <c:v>4.0766462465171109</c:v>
                </c:pt>
                <c:pt idx="478">
                  <c:v>4.6341257900301054</c:v>
                </c:pt>
                <c:pt idx="479">
                  <c:v>4.6298198154500234</c:v>
                </c:pt>
                <c:pt idx="480">
                  <c:v>3.3918645048324807</c:v>
                </c:pt>
                <c:pt idx="481">
                  <c:v>4.609377381326822</c:v>
                </c:pt>
                <c:pt idx="482">
                  <c:v>4.7176044829092314</c:v>
                </c:pt>
                <c:pt idx="483">
                  <c:v>2.9724731483017877</c:v>
                </c:pt>
                <c:pt idx="484">
                  <c:v>4.6279764419983538</c:v>
                </c:pt>
                <c:pt idx="485">
                  <c:v>3.8540251510818124</c:v>
                </c:pt>
                <c:pt idx="486">
                  <c:v>4.1408981720666729</c:v>
                </c:pt>
                <c:pt idx="487">
                  <c:v>4.5829882812349734</c:v>
                </c:pt>
                <c:pt idx="488">
                  <c:v>4.5935783262097658</c:v>
                </c:pt>
                <c:pt idx="489">
                  <c:v>4.0936100124562183</c:v>
                </c:pt>
                <c:pt idx="490">
                  <c:v>4.6766070846318595</c:v>
                </c:pt>
                <c:pt idx="491">
                  <c:v>3.1737474576359008</c:v>
                </c:pt>
                <c:pt idx="492">
                  <c:v>4.3055600416988309</c:v>
                </c:pt>
                <c:pt idx="493">
                  <c:v>4.171835193403802</c:v>
                </c:pt>
                <c:pt idx="494">
                  <c:v>4.5400167685438682</c:v>
                </c:pt>
                <c:pt idx="495">
                  <c:v>3.4492205815310744</c:v>
                </c:pt>
                <c:pt idx="496">
                  <c:v>4.6186724147427674</c:v>
                </c:pt>
                <c:pt idx="497">
                  <c:v>4.7274253936349204</c:v>
                </c:pt>
                <c:pt idx="498">
                  <c:v>4.1826647735210978</c:v>
                </c:pt>
                <c:pt idx="499">
                  <c:v>4.7297486860254887</c:v>
                </c:pt>
                <c:pt idx="500">
                  <c:v>4.8273535296620249</c:v>
                </c:pt>
                <c:pt idx="501">
                  <c:v>4.0287429530951702</c:v>
                </c:pt>
                <c:pt idx="502">
                  <c:v>4.2611412074092865</c:v>
                </c:pt>
                <c:pt idx="503">
                  <c:v>4.7126133984867762</c:v>
                </c:pt>
                <c:pt idx="504">
                  <c:v>4.6120558735649162</c:v>
                </c:pt>
                <c:pt idx="505">
                  <c:v>4.5589541842409842</c:v>
                </c:pt>
                <c:pt idx="506">
                  <c:v>4.8359752928005122</c:v>
                </c:pt>
                <c:pt idx="507">
                  <c:v>4.5940022117214525</c:v>
                </c:pt>
                <c:pt idx="508">
                  <c:v>3.6227950832816034</c:v>
                </c:pt>
                <c:pt idx="509">
                  <c:v>4.2667340990047506</c:v>
                </c:pt>
                <c:pt idx="510">
                  <c:v>4.8201786984845887</c:v>
                </c:pt>
                <c:pt idx="511">
                  <c:v>3.0134792667099113</c:v>
                </c:pt>
                <c:pt idx="512">
                  <c:v>4.0511508357961112</c:v>
                </c:pt>
                <c:pt idx="513">
                  <c:v>4.3246575111803249</c:v>
                </c:pt>
                <c:pt idx="514">
                  <c:v>4.6235809725449597</c:v>
                </c:pt>
                <c:pt idx="515">
                  <c:v>4.2605675180739331</c:v>
                </c:pt>
                <c:pt idx="516">
                  <c:v>3.0340283751288726</c:v>
                </c:pt>
                <c:pt idx="517">
                  <c:v>4.4026363952122178</c:v>
                </c:pt>
                <c:pt idx="518">
                  <c:v>4.3878723362066943</c:v>
                </c:pt>
                <c:pt idx="519">
                  <c:v>4.1215740787277539</c:v>
                </c:pt>
                <c:pt idx="520">
                  <c:v>4.6737347376444305</c:v>
                </c:pt>
                <c:pt idx="521">
                  <c:v>4.1198173220622012</c:v>
                </c:pt>
                <c:pt idx="522">
                  <c:v>3.7212913503398339</c:v>
                </c:pt>
                <c:pt idx="523">
                  <c:v>3.8831685731073398</c:v>
                </c:pt>
                <c:pt idx="524">
                  <c:v>4.6065920001090594</c:v>
                </c:pt>
                <c:pt idx="525">
                  <c:v>4.7208910599953624</c:v>
                </c:pt>
                <c:pt idx="526">
                  <c:v>4.5947772136384124</c:v>
                </c:pt>
                <c:pt idx="527">
                  <c:v>4.6670997733940887</c:v>
                </c:pt>
                <c:pt idx="528">
                  <c:v>4.5211975297686715</c:v>
                </c:pt>
                <c:pt idx="529">
                  <c:v>3.820972373329262</c:v>
                </c:pt>
                <c:pt idx="530">
                  <c:v>4.1503547940562662</c:v>
                </c:pt>
                <c:pt idx="531">
                  <c:v>4.3817980807145425</c:v>
                </c:pt>
                <c:pt idx="532">
                  <c:v>3.8024198233613054</c:v>
                </c:pt>
                <c:pt idx="533">
                  <c:v>3.9004351318561352</c:v>
                </c:pt>
                <c:pt idx="534">
                  <c:v>4.0259865880951766</c:v>
                </c:pt>
                <c:pt idx="535">
                  <c:v>4.2208781628176615</c:v>
                </c:pt>
                <c:pt idx="536">
                  <c:v>4.4890069317829093</c:v>
                </c:pt>
                <c:pt idx="537">
                  <c:v>4.6743144363764717</c:v>
                </c:pt>
                <c:pt idx="538">
                  <c:v>4.5536907209344841</c:v>
                </c:pt>
                <c:pt idx="539">
                  <c:v>4.3209166726223831</c:v>
                </c:pt>
                <c:pt idx="540">
                  <c:v>4.3007191768698618</c:v>
                </c:pt>
                <c:pt idx="541">
                  <c:v>4.6536752160771977</c:v>
                </c:pt>
                <c:pt idx="542">
                  <c:v>4.3859468437072922</c:v>
                </c:pt>
                <c:pt idx="543">
                  <c:v>3.7053236034902182</c:v>
                </c:pt>
                <c:pt idx="544">
                  <c:v>3.3480707021689713</c:v>
                </c:pt>
                <c:pt idx="545">
                  <c:v>3.7501925407285563</c:v>
                </c:pt>
                <c:pt idx="546">
                  <c:v>3.140569158546358</c:v>
                </c:pt>
                <c:pt idx="547">
                  <c:v>4.3301929094250147</c:v>
                </c:pt>
                <c:pt idx="548">
                  <c:v>4.6567155047886448</c:v>
                </c:pt>
                <c:pt idx="549">
                  <c:v>4.1943623921864361</c:v>
                </c:pt>
                <c:pt idx="550">
                  <c:v>4.4154570576309586</c:v>
                </c:pt>
                <c:pt idx="551">
                  <c:v>4.8504897737430293</c:v>
                </c:pt>
                <c:pt idx="552">
                  <c:v>4.3230585602157658</c:v>
                </c:pt>
                <c:pt idx="553">
                  <c:v>4.7695773690096184</c:v>
                </c:pt>
                <c:pt idx="554">
                  <c:v>4.8880953409180989</c:v>
                </c:pt>
                <c:pt idx="555">
                  <c:v>4.6166006520526199</c:v>
                </c:pt>
                <c:pt idx="556">
                  <c:v>4.6350978703136381</c:v>
                </c:pt>
                <c:pt idx="557">
                  <c:v>4.3944753504374408</c:v>
                </c:pt>
                <c:pt idx="558">
                  <c:v>3.9722392291243711</c:v>
                </c:pt>
                <c:pt idx="559">
                  <c:v>4.3546714882991617</c:v>
                </c:pt>
                <c:pt idx="560">
                  <c:v>4.3862988871157471</c:v>
                </c:pt>
                <c:pt idx="561">
                  <c:v>4.6713375835256272</c:v>
                </c:pt>
                <c:pt idx="562">
                  <c:v>4.2705313053546154</c:v>
                </c:pt>
                <c:pt idx="563">
                  <c:v>4.6060630234548254</c:v>
                </c:pt>
                <c:pt idx="564">
                  <c:v>4.479131540628198</c:v>
                </c:pt>
                <c:pt idx="565">
                  <c:v>3.589012507983846</c:v>
                </c:pt>
                <c:pt idx="566">
                  <c:v>4.6887295797209916</c:v>
                </c:pt>
                <c:pt idx="567">
                  <c:v>4.6373715387121095</c:v>
                </c:pt>
                <c:pt idx="568">
                  <c:v>4.4392734317575693</c:v>
                </c:pt>
                <c:pt idx="569">
                  <c:v>4.8063313774120751</c:v>
                </c:pt>
                <c:pt idx="570">
                  <c:v>4.4891919055438692</c:v>
                </c:pt>
                <c:pt idx="571">
                  <c:v>3.9367632615863304</c:v>
                </c:pt>
                <c:pt idx="572">
                  <c:v>4.833916996567706</c:v>
                </c:pt>
                <c:pt idx="573">
                  <c:v>3.4075325617699193</c:v>
                </c:pt>
                <c:pt idx="574">
                  <c:v>3.8419587850500632</c:v>
                </c:pt>
                <c:pt idx="575">
                  <c:v>4.7467840953611233</c:v>
                </c:pt>
                <c:pt idx="576">
                  <c:v>4.5693728802928586</c:v>
                </c:pt>
                <c:pt idx="577">
                  <c:v>4.0376737575825894</c:v>
                </c:pt>
                <c:pt idx="578">
                  <c:v>4.8259871249363604</c:v>
                </c:pt>
                <c:pt idx="579">
                  <c:v>3.9722605622784348</c:v>
                </c:pt>
                <c:pt idx="580">
                  <c:v>3.545505241673975</c:v>
                </c:pt>
                <c:pt idx="581">
                  <c:v>4.3817956117911478</c:v>
                </c:pt>
                <c:pt idx="582">
                  <c:v>4.2018196634857476</c:v>
                </c:pt>
                <c:pt idx="583">
                  <c:v>3.8476755660984008</c:v>
                </c:pt>
                <c:pt idx="584">
                  <c:v>4.1022695498604813</c:v>
                </c:pt>
                <c:pt idx="585">
                  <c:v>4.7666202596470431</c:v>
                </c:pt>
                <c:pt idx="586">
                  <c:v>4.3879639649149631</c:v>
                </c:pt>
                <c:pt idx="587">
                  <c:v>4.7641613277143033</c:v>
                </c:pt>
                <c:pt idx="588">
                  <c:v>4.5469494074209926</c:v>
                </c:pt>
                <c:pt idx="589">
                  <c:v>4.2492498766037929</c:v>
                </c:pt>
                <c:pt idx="590">
                  <c:v>3.7490087115853363</c:v>
                </c:pt>
                <c:pt idx="591">
                  <c:v>4.5035406444159012</c:v>
                </c:pt>
                <c:pt idx="592">
                  <c:v>4.7701894020671629</c:v>
                </c:pt>
                <c:pt idx="593">
                  <c:v>3.8433513969869049</c:v>
                </c:pt>
                <c:pt idx="594">
                  <c:v>2.917414227664989</c:v>
                </c:pt>
                <c:pt idx="595">
                  <c:v>4.169603814110574</c:v>
                </c:pt>
                <c:pt idx="596">
                  <c:v>4.6081987298724734</c:v>
                </c:pt>
                <c:pt idx="597">
                  <c:v>4.5213213661562097</c:v>
                </c:pt>
                <c:pt idx="598">
                  <c:v>4.3421029843260097</c:v>
                </c:pt>
                <c:pt idx="599">
                  <c:v>3.2124263924891805</c:v>
                </c:pt>
                <c:pt idx="600">
                  <c:v>3.5526167321335569</c:v>
                </c:pt>
                <c:pt idx="601">
                  <c:v>4.2629822663510915</c:v>
                </c:pt>
                <c:pt idx="602">
                  <c:v>4.5203222728254442</c:v>
                </c:pt>
                <c:pt idx="603">
                  <c:v>3.3638320607806853</c:v>
                </c:pt>
                <c:pt idx="604">
                  <c:v>4.6822700864455067</c:v>
                </c:pt>
                <c:pt idx="605">
                  <c:v>4.7535381523938787</c:v>
                </c:pt>
                <c:pt idx="606">
                  <c:v>3.7199824413355564</c:v>
                </c:pt>
                <c:pt idx="607">
                  <c:v>4.6944332463555911</c:v>
                </c:pt>
                <c:pt idx="608">
                  <c:v>4.3025861962719993</c:v>
                </c:pt>
                <c:pt idx="609">
                  <c:v>4.2815142518318368</c:v>
                </c:pt>
                <c:pt idx="610">
                  <c:v>4.1886969058324013</c:v>
                </c:pt>
                <c:pt idx="611">
                  <c:v>4.0739850398406325</c:v>
                </c:pt>
                <c:pt idx="612">
                  <c:v>4.4690684066620285</c:v>
                </c:pt>
                <c:pt idx="613">
                  <c:v>3.9461337959350642</c:v>
                </c:pt>
                <c:pt idx="614">
                  <c:v>4.6803895102023585</c:v>
                </c:pt>
                <c:pt idx="615">
                  <c:v>4.3635117132371661</c:v>
                </c:pt>
                <c:pt idx="616">
                  <c:v>4.6565402940378586</c:v>
                </c:pt>
                <c:pt idx="617">
                  <c:v>4.6449510854365972</c:v>
                </c:pt>
                <c:pt idx="618">
                  <c:v>3.7464143254073394</c:v>
                </c:pt>
                <c:pt idx="619">
                  <c:v>3.7841949569378817</c:v>
                </c:pt>
                <c:pt idx="620">
                  <c:v>3.8894412188990195</c:v>
                </c:pt>
                <c:pt idx="621">
                  <c:v>4.4539308115917935</c:v>
                </c:pt>
                <c:pt idx="622">
                  <c:v>4.2901711239781184</c:v>
                </c:pt>
                <c:pt idx="623">
                  <c:v>3.8846059721059119</c:v>
                </c:pt>
                <c:pt idx="624">
                  <c:v>4.5744798322647044</c:v>
                </c:pt>
                <c:pt idx="625">
                  <c:v>3.8890252331203352</c:v>
                </c:pt>
                <c:pt idx="626">
                  <c:v>4.7756762981025789</c:v>
                </c:pt>
                <c:pt idx="627">
                  <c:v>4.3351828090102495</c:v>
                </c:pt>
                <c:pt idx="628">
                  <c:v>4.7226699803377379</c:v>
                </c:pt>
                <c:pt idx="629">
                  <c:v>4.1627437219254801</c:v>
                </c:pt>
                <c:pt idx="630">
                  <c:v>4.6164430506021814</c:v>
                </c:pt>
                <c:pt idx="631">
                  <c:v>3.8605715148943784</c:v>
                </c:pt>
                <c:pt idx="632">
                  <c:v>4.4052031169119461</c:v>
                </c:pt>
                <c:pt idx="633">
                  <c:v>4.7158460011840804</c:v>
                </c:pt>
                <c:pt idx="634">
                  <c:v>4.1350317753080725</c:v>
                </c:pt>
                <c:pt idx="635">
                  <c:v>4.7181451235759573</c:v>
                </c:pt>
                <c:pt idx="636">
                  <c:v>3.6868853517756635</c:v>
                </c:pt>
                <c:pt idx="637">
                  <c:v>4.223379649564639</c:v>
                </c:pt>
                <c:pt idx="638">
                  <c:v>4.7399023501743329</c:v>
                </c:pt>
                <c:pt idx="639">
                  <c:v>3.5589106903939398</c:v>
                </c:pt>
                <c:pt idx="640">
                  <c:v>4.6159951638292096</c:v>
                </c:pt>
                <c:pt idx="641">
                  <c:v>3.7282154969826498</c:v>
                </c:pt>
                <c:pt idx="642">
                  <c:v>3.8146185118758242</c:v>
                </c:pt>
                <c:pt idx="643">
                  <c:v>4.8514070888782843</c:v>
                </c:pt>
                <c:pt idx="644">
                  <c:v>4.0205768460362981</c:v>
                </c:pt>
                <c:pt idx="645">
                  <c:v>4.4923252943620939</c:v>
                </c:pt>
                <c:pt idx="646">
                  <c:v>3.9715764178189401</c:v>
                </c:pt>
                <c:pt idx="647">
                  <c:v>4.4269875236917615</c:v>
                </c:pt>
                <c:pt idx="648">
                  <c:v>3.4647808318390356</c:v>
                </c:pt>
                <c:pt idx="649">
                  <c:v>4.0637936842275142</c:v>
                </c:pt>
                <c:pt idx="650">
                  <c:v>4.3282420931020953</c:v>
                </c:pt>
                <c:pt idx="651">
                  <c:v>3.6829925911311174</c:v>
                </c:pt>
                <c:pt idx="652">
                  <c:v>4.2384898620060829</c:v>
                </c:pt>
                <c:pt idx="653">
                  <c:v>4.5064889031082602</c:v>
                </c:pt>
                <c:pt idx="654">
                  <c:v>4.6086955815714772</c:v>
                </c:pt>
                <c:pt idx="655">
                  <c:v>4.5052260541653002</c:v>
                </c:pt>
                <c:pt idx="656">
                  <c:v>4.6107980210237365</c:v>
                </c:pt>
                <c:pt idx="657">
                  <c:v>4.1397260165984848</c:v>
                </c:pt>
                <c:pt idx="658">
                  <c:v>2.3456721391365649</c:v>
                </c:pt>
                <c:pt idx="659">
                  <c:v>3.835363587984395</c:v>
                </c:pt>
                <c:pt idx="660">
                  <c:v>4.3944947141701887</c:v>
                </c:pt>
                <c:pt idx="661">
                  <c:v>4.0514502759225346</c:v>
                </c:pt>
                <c:pt idx="662">
                  <c:v>3.9002082047810864</c:v>
                </c:pt>
                <c:pt idx="663">
                  <c:v>3.773707067068063</c:v>
                </c:pt>
                <c:pt idx="664">
                  <c:v>4.0619421152905728</c:v>
                </c:pt>
                <c:pt idx="665">
                  <c:v>4.0158600263647477</c:v>
                </c:pt>
                <c:pt idx="666">
                  <c:v>4.0250935076575844</c:v>
                </c:pt>
                <c:pt idx="667">
                  <c:v>4.061114446940393</c:v>
                </c:pt>
                <c:pt idx="668">
                  <c:v>4.3112466601610686</c:v>
                </c:pt>
                <c:pt idx="669">
                  <c:v>4.7592752452304943</c:v>
                </c:pt>
                <c:pt idx="670">
                  <c:v>4.3358590485171149</c:v>
                </c:pt>
                <c:pt idx="671">
                  <c:v>4.1575369843605907</c:v>
                </c:pt>
                <c:pt idx="672">
                  <c:v>4.1300296871989239</c:v>
                </c:pt>
                <c:pt idx="673">
                  <c:v>4.142755705402096</c:v>
                </c:pt>
                <c:pt idx="674">
                  <c:v>4.0140631176445085</c:v>
                </c:pt>
                <c:pt idx="675">
                  <c:v>4.3814664886358834</c:v>
                </c:pt>
                <c:pt idx="676">
                  <c:v>3.8573088542199998</c:v>
                </c:pt>
                <c:pt idx="677">
                  <c:v>4.7659648600074034</c:v>
                </c:pt>
                <c:pt idx="678">
                  <c:v>4.1647292176934227</c:v>
                </c:pt>
                <c:pt idx="679">
                  <c:v>3.8176728040495203</c:v>
                </c:pt>
                <c:pt idx="680">
                  <c:v>4.387472658938381</c:v>
                </c:pt>
                <c:pt idx="681">
                  <c:v>4.738654453118377</c:v>
                </c:pt>
                <c:pt idx="682">
                  <c:v>4.0787664149258536</c:v>
                </c:pt>
                <c:pt idx="683">
                  <c:v>3.6149974188658107</c:v>
                </c:pt>
                <c:pt idx="684">
                  <c:v>3.6913343655768038</c:v>
                </c:pt>
                <c:pt idx="685">
                  <c:v>4.4284639464806359</c:v>
                </c:pt>
                <c:pt idx="686">
                  <c:v>4.2413016967855413</c:v>
                </c:pt>
                <c:pt idx="687">
                  <c:v>3.7641751202860672</c:v>
                </c:pt>
                <c:pt idx="688">
                  <c:v>4.8014792516514628</c:v>
                </c:pt>
                <c:pt idx="689">
                  <c:v>4.4647911567473777</c:v>
                </c:pt>
                <c:pt idx="690">
                  <c:v>4.5313765135029334</c:v>
                </c:pt>
                <c:pt idx="691">
                  <c:v>4.5870022371615402</c:v>
                </c:pt>
                <c:pt idx="692">
                  <c:v>2.884875470827319</c:v>
                </c:pt>
                <c:pt idx="693">
                  <c:v>3.7053748162765268</c:v>
                </c:pt>
                <c:pt idx="694">
                  <c:v>3.7338762528249307</c:v>
                </c:pt>
                <c:pt idx="695">
                  <c:v>3.8240456257494184</c:v>
                </c:pt>
                <c:pt idx="696">
                  <c:v>4.78628271433079</c:v>
                </c:pt>
                <c:pt idx="697">
                  <c:v>4.611221035522866</c:v>
                </c:pt>
                <c:pt idx="698">
                  <c:v>4.6134928878148935</c:v>
                </c:pt>
                <c:pt idx="699">
                  <c:v>4.2897932738258397</c:v>
                </c:pt>
                <c:pt idx="700">
                  <c:v>3.8820807451294161</c:v>
                </c:pt>
                <c:pt idx="701">
                  <c:v>4.2724007290590125</c:v>
                </c:pt>
                <c:pt idx="702">
                  <c:v>4.4824513158013364</c:v>
                </c:pt>
                <c:pt idx="703">
                  <c:v>4.4040215904735502</c:v>
                </c:pt>
                <c:pt idx="704">
                  <c:v>4.281415261739463</c:v>
                </c:pt>
                <c:pt idx="705">
                  <c:v>4.7962492470690243</c:v>
                </c:pt>
                <c:pt idx="706">
                  <c:v>4.3968969721669886</c:v>
                </c:pt>
                <c:pt idx="707">
                  <c:v>4.2559402910339807</c:v>
                </c:pt>
                <c:pt idx="708">
                  <c:v>3.8431521477790214</c:v>
                </c:pt>
                <c:pt idx="709">
                  <c:v>4.3681303783845005</c:v>
                </c:pt>
                <c:pt idx="710">
                  <c:v>4.7141661440952172</c:v>
                </c:pt>
                <c:pt idx="711">
                  <c:v>3.7864245098249478</c:v>
                </c:pt>
                <c:pt idx="712">
                  <c:v>4.3461727821563709</c:v>
                </c:pt>
                <c:pt idx="713">
                  <c:v>3.6416052170615671</c:v>
                </c:pt>
                <c:pt idx="714">
                  <c:v>4.3871803818570774</c:v>
                </c:pt>
                <c:pt idx="715">
                  <c:v>4.6427757867028632</c:v>
                </c:pt>
                <c:pt idx="716">
                  <c:v>3.8221127677266495</c:v>
                </c:pt>
                <c:pt idx="717">
                  <c:v>4.5356243370104661</c:v>
                </c:pt>
                <c:pt idx="718">
                  <c:v>4.364428604160409</c:v>
                </c:pt>
                <c:pt idx="719">
                  <c:v>4.760172972704126</c:v>
                </c:pt>
                <c:pt idx="720">
                  <c:v>3.6096034607779175</c:v>
                </c:pt>
                <c:pt idx="721">
                  <c:v>4.2652919330830992</c:v>
                </c:pt>
                <c:pt idx="722">
                  <c:v>3.7957212576661181</c:v>
                </c:pt>
                <c:pt idx="723">
                  <c:v>4.2606467868334397</c:v>
                </c:pt>
                <c:pt idx="724">
                  <c:v>4.3910803639159868</c:v>
                </c:pt>
                <c:pt idx="725">
                  <c:v>4.3765675288908046</c:v>
                </c:pt>
                <c:pt idx="726">
                  <c:v>4.1640053329135087</c:v>
                </c:pt>
                <c:pt idx="727">
                  <c:v>3.8954110226900851</c:v>
                </c:pt>
                <c:pt idx="728">
                  <c:v>2.7480906918720689</c:v>
                </c:pt>
                <c:pt idx="729">
                  <c:v>4.6918407829648379</c:v>
                </c:pt>
                <c:pt idx="730">
                  <c:v>4.3852709375047692</c:v>
                </c:pt>
                <c:pt idx="731">
                  <c:v>4.215697078778847</c:v>
                </c:pt>
                <c:pt idx="732">
                  <c:v>2.6319367484453235</c:v>
                </c:pt>
                <c:pt idx="733">
                  <c:v>4.5421332049494811</c:v>
                </c:pt>
                <c:pt idx="734">
                  <c:v>4.4544656557856701</c:v>
                </c:pt>
                <c:pt idx="735">
                  <c:v>4.4179734220327918</c:v>
                </c:pt>
                <c:pt idx="736">
                  <c:v>4.6212348306694473</c:v>
                </c:pt>
                <c:pt idx="737">
                  <c:v>2.4661624376265485</c:v>
                </c:pt>
                <c:pt idx="738">
                  <c:v>3.8172244379150362</c:v>
                </c:pt>
                <c:pt idx="739">
                  <c:v>3.7657985607263798</c:v>
                </c:pt>
                <c:pt idx="740">
                  <c:v>3.3859065328264242</c:v>
                </c:pt>
                <c:pt idx="741">
                  <c:v>4.3707353005881604</c:v>
                </c:pt>
                <c:pt idx="742">
                  <c:v>4.4899615759251157</c:v>
                </c:pt>
                <c:pt idx="743">
                  <c:v>4.5251142576528274</c:v>
                </c:pt>
                <c:pt idx="744">
                  <c:v>2.8942051564409188</c:v>
                </c:pt>
                <c:pt idx="745">
                  <c:v>4.6718884829272707</c:v>
                </c:pt>
                <c:pt idx="746">
                  <c:v>4.305352319454653</c:v>
                </c:pt>
                <c:pt idx="747">
                  <c:v>4.5320029300835047</c:v>
                </c:pt>
                <c:pt idx="748">
                  <c:v>4.3575907977484931</c:v>
                </c:pt>
                <c:pt idx="749">
                  <c:v>4.2976804673151063</c:v>
                </c:pt>
                <c:pt idx="750">
                  <c:v>4.7913568348242368</c:v>
                </c:pt>
                <c:pt idx="751">
                  <c:v>3.3458525968403747</c:v>
                </c:pt>
                <c:pt idx="752">
                  <c:v>4.1467600200705785</c:v>
                </c:pt>
                <c:pt idx="753">
                  <c:v>4.2762748576580973</c:v>
                </c:pt>
                <c:pt idx="754">
                  <c:v>4.7442525804755524</c:v>
                </c:pt>
                <c:pt idx="755">
                  <c:v>4.0745346594594238</c:v>
                </c:pt>
                <c:pt idx="756">
                  <c:v>4.5867429354424845</c:v>
                </c:pt>
                <c:pt idx="757">
                  <c:v>4.4887406351961801</c:v>
                </c:pt>
                <c:pt idx="758">
                  <c:v>4.7199772774213891</c:v>
                </c:pt>
                <c:pt idx="759">
                  <c:v>4.6756758652231332</c:v>
                </c:pt>
                <c:pt idx="760">
                  <c:v>4.1181213706312141</c:v>
                </c:pt>
                <c:pt idx="761">
                  <c:v>4.457137729843919</c:v>
                </c:pt>
                <c:pt idx="762">
                  <c:v>4.1217243715619807</c:v>
                </c:pt>
                <c:pt idx="763">
                  <c:v>3.7886223011943034</c:v>
                </c:pt>
                <c:pt idx="764">
                  <c:v>4.021700182180461</c:v>
                </c:pt>
                <c:pt idx="765">
                  <c:v>4.1232655381226593</c:v>
                </c:pt>
                <c:pt idx="766">
                  <c:v>3.9022366563154289</c:v>
                </c:pt>
                <c:pt idx="767">
                  <c:v>3.5198526837288062</c:v>
                </c:pt>
                <c:pt idx="768">
                  <c:v>4.4522530358176828</c:v>
                </c:pt>
                <c:pt idx="769">
                  <c:v>4.6605108993658853</c:v>
                </c:pt>
                <c:pt idx="770">
                  <c:v>4.6089760987260506</c:v>
                </c:pt>
                <c:pt idx="771">
                  <c:v>4.0871217962849924</c:v>
                </c:pt>
                <c:pt idx="772">
                  <c:v>4.1448693949842372</c:v>
                </c:pt>
                <c:pt idx="773">
                  <c:v>4.7036804093672435</c:v>
                </c:pt>
                <c:pt idx="774">
                  <c:v>4.387267853597872</c:v>
                </c:pt>
                <c:pt idx="775">
                  <c:v>3.9946710185130958</c:v>
                </c:pt>
                <c:pt idx="776">
                  <c:v>4.1540967168249292</c:v>
                </c:pt>
                <c:pt idx="777">
                  <c:v>4.1735495053442095</c:v>
                </c:pt>
                <c:pt idx="778">
                  <c:v>3.9826844328523667</c:v>
                </c:pt>
                <c:pt idx="779">
                  <c:v>4.0580030372219431</c:v>
                </c:pt>
                <c:pt idx="780">
                  <c:v>4.5587829270937839</c:v>
                </c:pt>
                <c:pt idx="781">
                  <c:v>4.126419133959784</c:v>
                </c:pt>
                <c:pt idx="782">
                  <c:v>3.5538431130895054</c:v>
                </c:pt>
                <c:pt idx="783">
                  <c:v>4.2673175506888672</c:v>
                </c:pt>
                <c:pt idx="784">
                  <c:v>4.5955372762676596</c:v>
                </c:pt>
                <c:pt idx="785">
                  <c:v>4.2979833528549864</c:v>
                </c:pt>
                <c:pt idx="786">
                  <c:v>4.4575885532654631</c:v>
                </c:pt>
                <c:pt idx="787">
                  <c:v>3.6584482747933147</c:v>
                </c:pt>
                <c:pt idx="788">
                  <c:v>3.7511326173246404</c:v>
                </c:pt>
                <c:pt idx="789">
                  <c:v>4.0823061067208188</c:v>
                </c:pt>
                <c:pt idx="790">
                  <c:v>4.0389091000583868</c:v>
                </c:pt>
                <c:pt idx="791">
                  <c:v>4.6003441136804071</c:v>
                </c:pt>
                <c:pt idx="792">
                  <c:v>4.743273860754198</c:v>
                </c:pt>
                <c:pt idx="793">
                  <c:v>4.5840810336322129</c:v>
                </c:pt>
                <c:pt idx="794">
                  <c:v>4.4120768249702493</c:v>
                </c:pt>
                <c:pt idx="795">
                  <c:v>4.8039650437210719</c:v>
                </c:pt>
                <c:pt idx="796">
                  <c:v>4.5086183333457841</c:v>
                </c:pt>
                <c:pt idx="797">
                  <c:v>3.9939118115915382</c:v>
                </c:pt>
                <c:pt idx="798">
                  <c:v>3.4557018871376166</c:v>
                </c:pt>
                <c:pt idx="799">
                  <c:v>3.736411778798236</c:v>
                </c:pt>
                <c:pt idx="800">
                  <c:v>3.2745208660733609</c:v>
                </c:pt>
                <c:pt idx="801">
                  <c:v>4.1142747026561244</c:v>
                </c:pt>
                <c:pt idx="802">
                  <c:v>4.8640299369390947</c:v>
                </c:pt>
                <c:pt idx="803">
                  <c:v>4.6180335014073393</c:v>
                </c:pt>
                <c:pt idx="804">
                  <c:v>4.6559868883131568</c:v>
                </c:pt>
                <c:pt idx="805">
                  <c:v>4.3725838909287011</c:v>
                </c:pt>
                <c:pt idx="806">
                  <c:v>4.2945061902554444</c:v>
                </c:pt>
                <c:pt idx="807">
                  <c:v>4.2935397437339411</c:v>
                </c:pt>
                <c:pt idx="808">
                  <c:v>4.3182150063383959</c:v>
                </c:pt>
                <c:pt idx="809">
                  <c:v>4.3201530905934575</c:v>
                </c:pt>
                <c:pt idx="810">
                  <c:v>4.534749111595648</c:v>
                </c:pt>
                <c:pt idx="811">
                  <c:v>4.5556574528753142</c:v>
                </c:pt>
                <c:pt idx="812">
                  <c:v>2.3076856571856514</c:v>
                </c:pt>
                <c:pt idx="813">
                  <c:v>4.7923269289466761</c:v>
                </c:pt>
                <c:pt idx="814">
                  <c:v>4.3287310478475662</c:v>
                </c:pt>
                <c:pt idx="815">
                  <c:v>4.7548995957652798</c:v>
                </c:pt>
                <c:pt idx="816">
                  <c:v>4.7687457257094632</c:v>
                </c:pt>
                <c:pt idx="817">
                  <c:v>3.8568831497026457</c:v>
                </c:pt>
                <c:pt idx="818">
                  <c:v>4.7350462628017489</c:v>
                </c:pt>
                <c:pt idx="819">
                  <c:v>3.9634801924900724</c:v>
                </c:pt>
                <c:pt idx="820">
                  <c:v>3.2815650047069185</c:v>
                </c:pt>
                <c:pt idx="821">
                  <c:v>4.3156232364217226</c:v>
                </c:pt>
                <c:pt idx="822">
                  <c:v>4.1715790654725202</c:v>
                </c:pt>
                <c:pt idx="823">
                  <c:v>4.0461563168670871</c:v>
                </c:pt>
                <c:pt idx="824">
                  <c:v>4.8694958313635279</c:v>
                </c:pt>
                <c:pt idx="825">
                  <c:v>4.0166894555949204</c:v>
                </c:pt>
                <c:pt idx="826">
                  <c:v>4.5639318621741172</c:v>
                </c:pt>
                <c:pt idx="827">
                  <c:v>4.5677458094833661</c:v>
                </c:pt>
                <c:pt idx="828">
                  <c:v>4.1759669434890023</c:v>
                </c:pt>
                <c:pt idx="829">
                  <c:v>4.1527832411011971</c:v>
                </c:pt>
                <c:pt idx="830">
                  <c:v>4.2647246522535607</c:v>
                </c:pt>
                <c:pt idx="831">
                  <c:v>4.6567860223220778</c:v>
                </c:pt>
                <c:pt idx="832">
                  <c:v>4.7896174760170336</c:v>
                </c:pt>
                <c:pt idx="833">
                  <c:v>4.1916068977546965</c:v>
                </c:pt>
                <c:pt idx="834">
                  <c:v>4.6005015540425509</c:v>
                </c:pt>
                <c:pt idx="835">
                  <c:v>3.6875192750300205</c:v>
                </c:pt>
                <c:pt idx="836">
                  <c:v>3.8818683678311707</c:v>
                </c:pt>
                <c:pt idx="837">
                  <c:v>4.6162912862648344</c:v>
                </c:pt>
                <c:pt idx="838">
                  <c:v>4.7589439800107733</c:v>
                </c:pt>
                <c:pt idx="839">
                  <c:v>4.4875759204164574</c:v>
                </c:pt>
                <c:pt idx="840">
                  <c:v>4.2382675019990561</c:v>
                </c:pt>
                <c:pt idx="841">
                  <c:v>4.1687240975442412</c:v>
                </c:pt>
                <c:pt idx="842">
                  <c:v>4.5649422906863748</c:v>
                </c:pt>
                <c:pt idx="843">
                  <c:v>3.4667729067869808</c:v>
                </c:pt>
                <c:pt idx="844">
                  <c:v>4.5814586366147143</c:v>
                </c:pt>
                <c:pt idx="845">
                  <c:v>3.4235095799823894</c:v>
                </c:pt>
                <c:pt idx="846">
                  <c:v>4.4213044706211146</c:v>
                </c:pt>
                <c:pt idx="847">
                  <c:v>4.3909624060916075</c:v>
                </c:pt>
                <c:pt idx="848">
                  <c:v>4.1743707579693909</c:v>
                </c:pt>
                <c:pt idx="849">
                  <c:v>4.6967068492821014</c:v>
                </c:pt>
                <c:pt idx="850">
                  <c:v>4.5330171806521511</c:v>
                </c:pt>
                <c:pt idx="851">
                  <c:v>3.5733802896180742</c:v>
                </c:pt>
                <c:pt idx="852">
                  <c:v>4.7253916872778916</c:v>
                </c:pt>
                <c:pt idx="853">
                  <c:v>3.7360534311932159</c:v>
                </c:pt>
                <c:pt idx="854">
                  <c:v>4.7529717443400772</c:v>
                </c:pt>
                <c:pt idx="855">
                  <c:v>4.2174559975881323</c:v>
                </c:pt>
                <c:pt idx="856">
                  <c:v>4.4295564568488857</c:v>
                </c:pt>
                <c:pt idx="857">
                  <c:v>4.7365826131566315</c:v>
                </c:pt>
                <c:pt idx="858">
                  <c:v>4.1737361701419395</c:v>
                </c:pt>
                <c:pt idx="859">
                  <c:v>4.4515763030554618</c:v>
                </c:pt>
                <c:pt idx="860">
                  <c:v>4.3146152575766044</c:v>
                </c:pt>
                <c:pt idx="861">
                  <c:v>4.2926103993752029</c:v>
                </c:pt>
                <c:pt idx="862">
                  <c:v>4.3222851157104465</c:v>
                </c:pt>
                <c:pt idx="863">
                  <c:v>4.2347331695313084</c:v>
                </c:pt>
                <c:pt idx="864">
                  <c:v>4.421864717755958</c:v>
                </c:pt>
                <c:pt idx="865">
                  <c:v>3.9510363465296323</c:v>
                </c:pt>
                <c:pt idx="866">
                  <c:v>4.1256877063226689</c:v>
                </c:pt>
                <c:pt idx="867">
                  <c:v>4.3252030832670076</c:v>
                </c:pt>
                <c:pt idx="868">
                  <c:v>4.5317851802088835</c:v>
                </c:pt>
                <c:pt idx="869">
                  <c:v>4.711593936409658</c:v>
                </c:pt>
                <c:pt idx="870">
                  <c:v>4.4015891116672119</c:v>
                </c:pt>
                <c:pt idx="871">
                  <c:v>3.8997226336980941</c:v>
                </c:pt>
                <c:pt idx="872">
                  <c:v>4.3829203796143847</c:v>
                </c:pt>
                <c:pt idx="873">
                  <c:v>4.4116560438683772</c:v>
                </c:pt>
                <c:pt idx="874">
                  <c:v>4.033813719256627</c:v>
                </c:pt>
                <c:pt idx="875">
                  <c:v>3.2767002801790657</c:v>
                </c:pt>
                <c:pt idx="876">
                  <c:v>3.3378211090665832</c:v>
                </c:pt>
                <c:pt idx="877">
                  <c:v>3.1580054126442909</c:v>
                </c:pt>
                <c:pt idx="878">
                  <c:v>4.6492608647451661</c:v>
                </c:pt>
                <c:pt idx="879">
                  <c:v>4.2161220163940127</c:v>
                </c:pt>
                <c:pt idx="880">
                  <c:v>3.3936280404465253</c:v>
                </c:pt>
                <c:pt idx="881">
                  <c:v>4.6726110161742778</c:v>
                </c:pt>
                <c:pt idx="882">
                  <c:v>4.4839818665683815</c:v>
                </c:pt>
                <c:pt idx="883">
                  <c:v>4.0732473350892349</c:v>
                </c:pt>
                <c:pt idx="884">
                  <c:v>4.5311167071949026</c:v>
                </c:pt>
                <c:pt idx="885">
                  <c:v>4.6234118882362072</c:v>
                </c:pt>
                <c:pt idx="886">
                  <c:v>4.4585975896453274</c:v>
                </c:pt>
                <c:pt idx="887">
                  <c:v>2.1930138193703921</c:v>
                </c:pt>
                <c:pt idx="888">
                  <c:v>4.7667371815521671</c:v>
                </c:pt>
                <c:pt idx="889">
                  <c:v>3.498178617162369</c:v>
                </c:pt>
                <c:pt idx="890">
                  <c:v>4.3606446484040546</c:v>
                </c:pt>
                <c:pt idx="891">
                  <c:v>4.7073242727993359</c:v>
                </c:pt>
                <c:pt idx="892">
                  <c:v>4.713191373926068</c:v>
                </c:pt>
                <c:pt idx="893">
                  <c:v>4.4997157051143466</c:v>
                </c:pt>
                <c:pt idx="894">
                  <c:v>3.9509369649829114</c:v>
                </c:pt>
                <c:pt idx="895">
                  <c:v>4.64931910369648</c:v>
                </c:pt>
                <c:pt idx="896">
                  <c:v>4.3254413765094917</c:v>
                </c:pt>
                <c:pt idx="897">
                  <c:v>3.7959503749717722</c:v>
                </c:pt>
                <c:pt idx="898">
                  <c:v>4.2242381131378002</c:v>
                </c:pt>
                <c:pt idx="899">
                  <c:v>3.4360243508023953</c:v>
                </c:pt>
                <c:pt idx="900">
                  <c:v>3.846993513088897</c:v>
                </c:pt>
                <c:pt idx="901">
                  <c:v>2.7535779013326671</c:v>
                </c:pt>
                <c:pt idx="902">
                  <c:v>4.6549632575761537</c:v>
                </c:pt>
                <c:pt idx="903">
                  <c:v>4.4032005525936704</c:v>
                </c:pt>
                <c:pt idx="904">
                  <c:v>4.0879963139077722</c:v>
                </c:pt>
                <c:pt idx="905">
                  <c:v>4.3718579021680029</c:v>
                </c:pt>
                <c:pt idx="906">
                  <c:v>4.7884603997820099</c:v>
                </c:pt>
                <c:pt idx="907">
                  <c:v>3.8122254801645523</c:v>
                </c:pt>
                <c:pt idx="908">
                  <c:v>3.0202902129491904</c:v>
                </c:pt>
                <c:pt idx="909">
                  <c:v>3.5842095872994792</c:v>
                </c:pt>
                <c:pt idx="910">
                  <c:v>3.3174188566682079</c:v>
                </c:pt>
                <c:pt idx="911">
                  <c:v>4.0403171381854808</c:v>
                </c:pt>
                <c:pt idx="912">
                  <c:v>4.3455700567419191</c:v>
                </c:pt>
                <c:pt idx="913">
                  <c:v>3.078994826605963</c:v>
                </c:pt>
                <c:pt idx="914">
                  <c:v>4.6267178724196185</c:v>
                </c:pt>
                <c:pt idx="915">
                  <c:v>4.8286372653609684</c:v>
                </c:pt>
                <c:pt idx="916">
                  <c:v>4.6996479993638269</c:v>
                </c:pt>
                <c:pt idx="917">
                  <c:v>3.8915685207189363</c:v>
                </c:pt>
                <c:pt idx="918">
                  <c:v>4.2812445274603235</c:v>
                </c:pt>
                <c:pt idx="919">
                  <c:v>4.0549672294096961</c:v>
                </c:pt>
                <c:pt idx="920">
                  <c:v>3.7827451350411909</c:v>
                </c:pt>
                <c:pt idx="921">
                  <c:v>4.1507109162601772</c:v>
                </c:pt>
                <c:pt idx="922">
                  <c:v>3.8791378762819795</c:v>
                </c:pt>
                <c:pt idx="923">
                  <c:v>4.4876481456077277</c:v>
                </c:pt>
                <c:pt idx="924">
                  <c:v>4.2321493358638982</c:v>
                </c:pt>
                <c:pt idx="925">
                  <c:v>4.2244506048472621</c:v>
                </c:pt>
                <c:pt idx="926">
                  <c:v>3.7815966597232675</c:v>
                </c:pt>
                <c:pt idx="927">
                  <c:v>4.4676490578889423</c:v>
                </c:pt>
                <c:pt idx="928">
                  <c:v>4.4491030551496475</c:v>
                </c:pt>
                <c:pt idx="929">
                  <c:v>4.9068145359688149</c:v>
                </c:pt>
                <c:pt idx="930">
                  <c:v>3.4473703687367481</c:v>
                </c:pt>
                <c:pt idx="931">
                  <c:v>3.3062320624174615</c:v>
                </c:pt>
                <c:pt idx="932">
                  <c:v>4.0871556547624204</c:v>
                </c:pt>
                <c:pt idx="933">
                  <c:v>4.5381842768737952</c:v>
                </c:pt>
                <c:pt idx="934">
                  <c:v>4.4404491403200934</c:v>
                </c:pt>
                <c:pt idx="935">
                  <c:v>4.0783097151985324</c:v>
                </c:pt>
                <c:pt idx="936">
                  <c:v>4.7720779735191252</c:v>
                </c:pt>
                <c:pt idx="937">
                  <c:v>3.9186749154922609</c:v>
                </c:pt>
                <c:pt idx="938">
                  <c:v>4.4241387418133487</c:v>
                </c:pt>
                <c:pt idx="939">
                  <c:v>4.8399813278388653</c:v>
                </c:pt>
                <c:pt idx="940">
                  <c:v>4.4883481363022657</c:v>
                </c:pt>
                <c:pt idx="941">
                  <c:v>3.6224234287241348</c:v>
                </c:pt>
                <c:pt idx="942">
                  <c:v>4.667540360575031</c:v>
                </c:pt>
                <c:pt idx="943">
                  <c:v>4.6695967244441778</c:v>
                </c:pt>
                <c:pt idx="944">
                  <c:v>4.374189037416353</c:v>
                </c:pt>
                <c:pt idx="945">
                  <c:v>4.1435339046964463</c:v>
                </c:pt>
                <c:pt idx="946">
                  <c:v>3.7225395773623426</c:v>
                </c:pt>
                <c:pt idx="947">
                  <c:v>4.4724762061685199</c:v>
                </c:pt>
                <c:pt idx="948">
                  <c:v>4.2129789005972205</c:v>
                </c:pt>
                <c:pt idx="949">
                  <c:v>3.7753757204277392</c:v>
                </c:pt>
                <c:pt idx="950">
                  <c:v>4.7096658053273011</c:v>
                </c:pt>
                <c:pt idx="951">
                  <c:v>4.7698898579840243</c:v>
                </c:pt>
                <c:pt idx="952">
                  <c:v>4.5714799440641283</c:v>
                </c:pt>
                <c:pt idx="953">
                  <c:v>4.7976407115816277</c:v>
                </c:pt>
                <c:pt idx="954">
                  <c:v>4.1744255931935568</c:v>
                </c:pt>
                <c:pt idx="955">
                  <c:v>3.3521203908546386</c:v>
                </c:pt>
                <c:pt idx="956">
                  <c:v>4.2785215374153704</c:v>
                </c:pt>
                <c:pt idx="957">
                  <c:v>3.6639175156422756</c:v>
                </c:pt>
                <c:pt idx="958">
                  <c:v>4.0703480489237833</c:v>
                </c:pt>
                <c:pt idx="959">
                  <c:v>4.1047184251065696</c:v>
                </c:pt>
                <c:pt idx="960">
                  <c:v>4.2495409784329459</c:v>
                </c:pt>
                <c:pt idx="961">
                  <c:v>3.9235442819814752</c:v>
                </c:pt>
                <c:pt idx="962">
                  <c:v>4.4709240299083817</c:v>
                </c:pt>
                <c:pt idx="963">
                  <c:v>4.6012173758810926</c:v>
                </c:pt>
                <c:pt idx="964">
                  <c:v>4.6508451500576484</c:v>
                </c:pt>
                <c:pt idx="965">
                  <c:v>4.6404321768715455</c:v>
                </c:pt>
                <c:pt idx="966">
                  <c:v>4.4563929848403809</c:v>
                </c:pt>
                <c:pt idx="967">
                  <c:v>4.0577739801300812</c:v>
                </c:pt>
                <c:pt idx="968">
                  <c:v>4.7317568839069155</c:v>
                </c:pt>
                <c:pt idx="969">
                  <c:v>4.0935834071549353</c:v>
                </c:pt>
                <c:pt idx="970">
                  <c:v>4.5287868223340491</c:v>
                </c:pt>
                <c:pt idx="971">
                  <c:v>4.128524455879357</c:v>
                </c:pt>
                <c:pt idx="972">
                  <c:v>4.3648498524032568</c:v>
                </c:pt>
                <c:pt idx="973">
                  <c:v>4.2261883707212595</c:v>
                </c:pt>
                <c:pt idx="974">
                  <c:v>4.5807304749071065</c:v>
                </c:pt>
                <c:pt idx="975">
                  <c:v>4.8316770623050456</c:v>
                </c:pt>
                <c:pt idx="976">
                  <c:v>4.516355485051756</c:v>
                </c:pt>
                <c:pt idx="977">
                  <c:v>4.0245546388753919</c:v>
                </c:pt>
                <c:pt idx="978">
                  <c:v>4.7767202939822466</c:v>
                </c:pt>
                <c:pt idx="979">
                  <c:v>4.5141971142279749</c:v>
                </c:pt>
                <c:pt idx="980">
                  <c:v>4.7579934890112288</c:v>
                </c:pt>
                <c:pt idx="981">
                  <c:v>4.0306686161595939</c:v>
                </c:pt>
                <c:pt idx="982">
                  <c:v>4.5650266123998158</c:v>
                </c:pt>
                <c:pt idx="983">
                  <c:v>4.7059074342832652</c:v>
                </c:pt>
                <c:pt idx="984">
                  <c:v>4.2618280446662586</c:v>
                </c:pt>
                <c:pt idx="985">
                  <c:v>4.5281033137853202</c:v>
                </c:pt>
                <c:pt idx="986">
                  <c:v>4.6123507115017786</c:v>
                </c:pt>
                <c:pt idx="987">
                  <c:v>3.4775133284114346</c:v>
                </c:pt>
                <c:pt idx="988">
                  <c:v>4.0262912033158722</c:v>
                </c:pt>
                <c:pt idx="989">
                  <c:v>4.8100826755024935</c:v>
                </c:pt>
                <c:pt idx="990">
                  <c:v>4.7040275133309164</c:v>
                </c:pt>
                <c:pt idx="991">
                  <c:v>4.6288745475201845</c:v>
                </c:pt>
                <c:pt idx="992">
                  <c:v>4.4085796718570558</c:v>
                </c:pt>
                <c:pt idx="993">
                  <c:v>4.305947623267226</c:v>
                </c:pt>
                <c:pt idx="994">
                  <c:v>3.8961176453818154</c:v>
                </c:pt>
                <c:pt idx="995">
                  <c:v>4.2751451706683525</c:v>
                </c:pt>
                <c:pt idx="996">
                  <c:v>3.7074884433751314</c:v>
                </c:pt>
                <c:pt idx="997">
                  <c:v>4.0628807097598676</c:v>
                </c:pt>
                <c:pt idx="998">
                  <c:v>4.5147527022274048</c:v>
                </c:pt>
                <c:pt idx="999">
                  <c:v>4.0225525982286934</c:v>
                </c:pt>
              </c:numCache>
            </c:numRef>
          </c:xVal>
          <c:yVal>
            <c:numRef>
              <c:f>Simulation!$R$6:$R$1005</c:f>
              <c:numCache>
                <c:formatCode>0.00_ ;\-0.00\ </c:formatCode>
                <c:ptCount val="1000"/>
                <c:pt idx="0">
                  <c:v>35835.216107366745</c:v>
                </c:pt>
                <c:pt idx="1">
                  <c:v>40401.659255719052</c:v>
                </c:pt>
                <c:pt idx="2">
                  <c:v>35576.804787240981</c:v>
                </c:pt>
                <c:pt idx="3">
                  <c:v>32745.820771117287</c:v>
                </c:pt>
                <c:pt idx="4">
                  <c:v>37005.930278944426</c:v>
                </c:pt>
                <c:pt idx="5">
                  <c:v>41080.659214512707</c:v>
                </c:pt>
                <c:pt idx="6">
                  <c:v>47172.423728029098</c:v>
                </c:pt>
                <c:pt idx="7">
                  <c:v>36201.562456648273</c:v>
                </c:pt>
                <c:pt idx="8">
                  <c:v>32059.207543063661</c:v>
                </c:pt>
                <c:pt idx="9">
                  <c:v>43242.184945045679</c:v>
                </c:pt>
                <c:pt idx="10">
                  <c:v>33095.462272166915</c:v>
                </c:pt>
                <c:pt idx="11">
                  <c:v>47196.107008762629</c:v>
                </c:pt>
                <c:pt idx="12">
                  <c:v>31255.902248635946</c:v>
                </c:pt>
                <c:pt idx="13">
                  <c:v>49739.558816628502</c:v>
                </c:pt>
                <c:pt idx="14">
                  <c:v>50205.339234845967</c:v>
                </c:pt>
                <c:pt idx="15">
                  <c:v>59089.292762902973</c:v>
                </c:pt>
                <c:pt idx="16">
                  <c:v>40518.296940615648</c:v>
                </c:pt>
                <c:pt idx="17">
                  <c:v>28870.786214286796</c:v>
                </c:pt>
                <c:pt idx="18">
                  <c:v>35281.844955390763</c:v>
                </c:pt>
                <c:pt idx="19">
                  <c:v>24920.182412213115</c:v>
                </c:pt>
                <c:pt idx="20">
                  <c:v>48349.280033319876</c:v>
                </c:pt>
                <c:pt idx="21">
                  <c:v>30014.18156075976</c:v>
                </c:pt>
                <c:pt idx="22">
                  <c:v>41447.12717538204</c:v>
                </c:pt>
                <c:pt idx="23">
                  <c:v>38733.593011871657</c:v>
                </c:pt>
                <c:pt idx="24">
                  <c:v>40049.339941620572</c:v>
                </c:pt>
                <c:pt idx="25">
                  <c:v>38422.750909791124</c:v>
                </c:pt>
                <c:pt idx="26">
                  <c:v>34719.782301788691</c:v>
                </c:pt>
                <c:pt idx="27">
                  <c:v>47526.015813189042</c:v>
                </c:pt>
                <c:pt idx="28">
                  <c:v>38296.840592727211</c:v>
                </c:pt>
                <c:pt idx="29">
                  <c:v>41746.339073539049</c:v>
                </c:pt>
                <c:pt idx="30">
                  <c:v>30016.407895077307</c:v>
                </c:pt>
                <c:pt idx="31">
                  <c:v>49004.054061150709</c:v>
                </c:pt>
                <c:pt idx="32">
                  <c:v>40265.455499021926</c:v>
                </c:pt>
                <c:pt idx="33">
                  <c:v>59219.321071462953</c:v>
                </c:pt>
                <c:pt idx="34">
                  <c:v>30587.508745851286</c:v>
                </c:pt>
                <c:pt idx="35">
                  <c:v>20198.103399690044</c:v>
                </c:pt>
                <c:pt idx="36">
                  <c:v>24307.573292394274</c:v>
                </c:pt>
                <c:pt idx="37">
                  <c:v>40511.117798102445</c:v>
                </c:pt>
                <c:pt idx="38">
                  <c:v>45674.848139691749</c:v>
                </c:pt>
                <c:pt idx="39">
                  <c:v>24003.185498312145</c:v>
                </c:pt>
                <c:pt idx="40">
                  <c:v>70997.22353925716</c:v>
                </c:pt>
                <c:pt idx="41">
                  <c:v>24532.267170776176</c:v>
                </c:pt>
                <c:pt idx="42">
                  <c:v>46757.927944961521</c:v>
                </c:pt>
                <c:pt idx="43">
                  <c:v>36179.386201422465</c:v>
                </c:pt>
                <c:pt idx="44">
                  <c:v>36156.348280895698</c:v>
                </c:pt>
                <c:pt idx="45">
                  <c:v>48446.329992547486</c:v>
                </c:pt>
                <c:pt idx="46">
                  <c:v>28990.168250367642</c:v>
                </c:pt>
                <c:pt idx="47">
                  <c:v>21986.679254808139</c:v>
                </c:pt>
                <c:pt idx="48">
                  <c:v>41126.078826544319</c:v>
                </c:pt>
                <c:pt idx="49">
                  <c:v>33076.056207125548</c:v>
                </c:pt>
                <c:pt idx="50">
                  <c:v>36110.187446571181</c:v>
                </c:pt>
                <c:pt idx="51">
                  <c:v>37243.764339885849</c:v>
                </c:pt>
                <c:pt idx="52">
                  <c:v>34543.297525883216</c:v>
                </c:pt>
                <c:pt idx="53">
                  <c:v>36417.184495371672</c:v>
                </c:pt>
                <c:pt idx="54">
                  <c:v>47504.110236610213</c:v>
                </c:pt>
                <c:pt idx="55">
                  <c:v>37484.934130803187</c:v>
                </c:pt>
                <c:pt idx="56">
                  <c:v>67043.330354069723</c:v>
                </c:pt>
                <c:pt idx="57">
                  <c:v>30077.799511112917</c:v>
                </c:pt>
                <c:pt idx="58">
                  <c:v>51061.955068824318</c:v>
                </c:pt>
                <c:pt idx="59">
                  <c:v>31890.480217398581</c:v>
                </c:pt>
                <c:pt idx="60">
                  <c:v>57048.474207051913</c:v>
                </c:pt>
                <c:pt idx="61">
                  <c:v>30583.77892992711</c:v>
                </c:pt>
                <c:pt idx="62">
                  <c:v>34374.327905231868</c:v>
                </c:pt>
                <c:pt idx="63">
                  <c:v>37470.667905006856</c:v>
                </c:pt>
                <c:pt idx="64">
                  <c:v>36439.204621479927</c:v>
                </c:pt>
                <c:pt idx="65">
                  <c:v>26929.931424494353</c:v>
                </c:pt>
                <c:pt idx="66">
                  <c:v>29692.167080493324</c:v>
                </c:pt>
                <c:pt idx="67">
                  <c:v>50492.50316669239</c:v>
                </c:pt>
                <c:pt idx="68">
                  <c:v>64702.920015226249</c:v>
                </c:pt>
                <c:pt idx="69">
                  <c:v>68124.288144745398</c:v>
                </c:pt>
                <c:pt idx="70">
                  <c:v>28648.255028020627</c:v>
                </c:pt>
                <c:pt idx="71">
                  <c:v>36429.000957368844</c:v>
                </c:pt>
                <c:pt idx="72">
                  <c:v>22705.287565374969</c:v>
                </c:pt>
                <c:pt idx="73">
                  <c:v>40062.766327489175</c:v>
                </c:pt>
                <c:pt idx="74">
                  <c:v>47059.164170162388</c:v>
                </c:pt>
                <c:pt idx="75">
                  <c:v>29699.541423539446</c:v>
                </c:pt>
                <c:pt idx="76">
                  <c:v>40401.985657532503</c:v>
                </c:pt>
                <c:pt idx="77">
                  <c:v>55504.368493223068</c:v>
                </c:pt>
                <c:pt idx="78">
                  <c:v>39137.453530824634</c:v>
                </c:pt>
                <c:pt idx="79">
                  <c:v>36962.997092390215</c:v>
                </c:pt>
                <c:pt idx="80">
                  <c:v>55291.239056949991</c:v>
                </c:pt>
                <c:pt idx="81">
                  <c:v>36170.0486067405</c:v>
                </c:pt>
                <c:pt idx="82">
                  <c:v>54004.554003263031</c:v>
                </c:pt>
                <c:pt idx="83">
                  <c:v>39779.283960818815</c:v>
                </c:pt>
                <c:pt idx="84">
                  <c:v>58754.34205507025</c:v>
                </c:pt>
                <c:pt idx="85">
                  <c:v>71697.060722947266</c:v>
                </c:pt>
                <c:pt idx="86">
                  <c:v>25469.818446340287</c:v>
                </c:pt>
                <c:pt idx="87">
                  <c:v>43723.199998342352</c:v>
                </c:pt>
                <c:pt idx="88">
                  <c:v>36731.897808359565</c:v>
                </c:pt>
                <c:pt idx="89">
                  <c:v>48073.650791637869</c:v>
                </c:pt>
                <c:pt idx="90">
                  <c:v>25806.21638828198</c:v>
                </c:pt>
                <c:pt idx="91">
                  <c:v>29345.576060250231</c:v>
                </c:pt>
                <c:pt idx="92">
                  <c:v>44322.024404729949</c:v>
                </c:pt>
                <c:pt idx="93">
                  <c:v>23611.983483375141</c:v>
                </c:pt>
                <c:pt idx="94">
                  <c:v>30399.668805239595</c:v>
                </c:pt>
                <c:pt idx="95">
                  <c:v>51680.372210273075</c:v>
                </c:pt>
                <c:pt idx="96">
                  <c:v>47212.493714758617</c:v>
                </c:pt>
                <c:pt idx="97">
                  <c:v>60030.294480375058</c:v>
                </c:pt>
                <c:pt idx="98">
                  <c:v>39359.596812574375</c:v>
                </c:pt>
                <c:pt idx="99">
                  <c:v>35902.712909336624</c:v>
                </c:pt>
                <c:pt idx="100">
                  <c:v>59764.062049081826</c:v>
                </c:pt>
                <c:pt idx="101">
                  <c:v>31052.178416674833</c:v>
                </c:pt>
                <c:pt idx="102">
                  <c:v>34321.294402611689</c:v>
                </c:pt>
                <c:pt idx="103">
                  <c:v>33736.758949500938</c:v>
                </c:pt>
                <c:pt idx="104">
                  <c:v>64262.693940479367</c:v>
                </c:pt>
                <c:pt idx="105">
                  <c:v>37187.107353192048</c:v>
                </c:pt>
                <c:pt idx="106">
                  <c:v>21516.06033240931</c:v>
                </c:pt>
                <c:pt idx="107">
                  <c:v>47591.436854168038</c:v>
                </c:pt>
                <c:pt idx="108">
                  <c:v>34484.320776535606</c:v>
                </c:pt>
                <c:pt idx="109">
                  <c:v>40452.678114835224</c:v>
                </c:pt>
                <c:pt idx="110">
                  <c:v>35656.284583213237</c:v>
                </c:pt>
                <c:pt idx="111">
                  <c:v>45422.819457236874</c:v>
                </c:pt>
                <c:pt idx="112">
                  <c:v>35683.909759549715</c:v>
                </c:pt>
                <c:pt idx="113">
                  <c:v>26931.01250076115</c:v>
                </c:pt>
                <c:pt idx="114">
                  <c:v>33705.253409862678</c:v>
                </c:pt>
                <c:pt idx="115">
                  <c:v>43985.288213768741</c:v>
                </c:pt>
                <c:pt idx="116">
                  <c:v>42432.273249017133</c:v>
                </c:pt>
                <c:pt idx="117">
                  <c:v>42026.099542739968</c:v>
                </c:pt>
                <c:pt idx="118">
                  <c:v>42534.254848369936</c:v>
                </c:pt>
                <c:pt idx="119">
                  <c:v>34859.354742397336</c:v>
                </c:pt>
                <c:pt idx="120">
                  <c:v>44937.471256356104</c:v>
                </c:pt>
                <c:pt idx="121">
                  <c:v>32137.642762275369</c:v>
                </c:pt>
                <c:pt idx="122">
                  <c:v>33349.669499537966</c:v>
                </c:pt>
                <c:pt idx="123">
                  <c:v>36837.179516804339</c:v>
                </c:pt>
                <c:pt idx="124">
                  <c:v>28115.262721502691</c:v>
                </c:pt>
                <c:pt idx="125">
                  <c:v>45169.846683952113</c:v>
                </c:pt>
                <c:pt idx="126">
                  <c:v>39170.965021821146</c:v>
                </c:pt>
                <c:pt idx="127">
                  <c:v>49714.184915482838</c:v>
                </c:pt>
                <c:pt idx="128">
                  <c:v>58636.97634239246</c:v>
                </c:pt>
                <c:pt idx="129">
                  <c:v>37507.731471409119</c:v>
                </c:pt>
                <c:pt idx="130">
                  <c:v>58390.820306265479</c:v>
                </c:pt>
                <c:pt idx="131">
                  <c:v>44877.970241648945</c:v>
                </c:pt>
                <c:pt idx="132">
                  <c:v>52934.9606841477</c:v>
                </c:pt>
                <c:pt idx="133">
                  <c:v>25971.525473851296</c:v>
                </c:pt>
                <c:pt idx="134">
                  <c:v>37515.980772345611</c:v>
                </c:pt>
                <c:pt idx="135">
                  <c:v>39523.31969477547</c:v>
                </c:pt>
                <c:pt idx="136">
                  <c:v>36567.287622711505</c:v>
                </c:pt>
                <c:pt idx="137">
                  <c:v>19486.570529605262</c:v>
                </c:pt>
                <c:pt idx="138">
                  <c:v>46269.760390805845</c:v>
                </c:pt>
                <c:pt idx="139">
                  <c:v>29604.044297299333</c:v>
                </c:pt>
                <c:pt idx="140">
                  <c:v>42090.581881652062</c:v>
                </c:pt>
                <c:pt idx="141">
                  <c:v>53899.905276869475</c:v>
                </c:pt>
                <c:pt idx="142">
                  <c:v>44904.525714967458</c:v>
                </c:pt>
                <c:pt idx="143">
                  <c:v>46020.687526523114</c:v>
                </c:pt>
                <c:pt idx="144">
                  <c:v>41223.838771136492</c:v>
                </c:pt>
                <c:pt idx="145">
                  <c:v>22454.764274943744</c:v>
                </c:pt>
                <c:pt idx="146">
                  <c:v>38980.967045964324</c:v>
                </c:pt>
                <c:pt idx="147">
                  <c:v>41231.608586839007</c:v>
                </c:pt>
                <c:pt idx="148">
                  <c:v>37538.983704949183</c:v>
                </c:pt>
                <c:pt idx="149">
                  <c:v>37690.079878682664</c:v>
                </c:pt>
                <c:pt idx="150">
                  <c:v>54372.500120367804</c:v>
                </c:pt>
                <c:pt idx="151">
                  <c:v>48758.774323963276</c:v>
                </c:pt>
                <c:pt idx="152">
                  <c:v>31983.4285522061</c:v>
                </c:pt>
                <c:pt idx="153">
                  <c:v>64479.788710534143</c:v>
                </c:pt>
                <c:pt idx="154">
                  <c:v>38959.926933691786</c:v>
                </c:pt>
                <c:pt idx="155">
                  <c:v>34869.754402004735</c:v>
                </c:pt>
                <c:pt idx="156">
                  <c:v>35473.547167119876</c:v>
                </c:pt>
                <c:pt idx="157">
                  <c:v>17879.464771361709</c:v>
                </c:pt>
                <c:pt idx="158">
                  <c:v>35518.242782319801</c:v>
                </c:pt>
                <c:pt idx="159">
                  <c:v>24115.636889252921</c:v>
                </c:pt>
                <c:pt idx="160">
                  <c:v>34466.801838148807</c:v>
                </c:pt>
                <c:pt idx="161">
                  <c:v>42867.676138144925</c:v>
                </c:pt>
                <c:pt idx="162">
                  <c:v>53428.826803257485</c:v>
                </c:pt>
                <c:pt idx="163">
                  <c:v>56691.912854164628</c:v>
                </c:pt>
                <c:pt idx="164">
                  <c:v>35269.77515232336</c:v>
                </c:pt>
                <c:pt idx="165">
                  <c:v>27591.886034855634</c:v>
                </c:pt>
                <c:pt idx="166">
                  <c:v>46089.56529389663</c:v>
                </c:pt>
                <c:pt idx="167">
                  <c:v>25174.832920569199</c:v>
                </c:pt>
                <c:pt idx="168">
                  <c:v>36723.715891111817</c:v>
                </c:pt>
                <c:pt idx="169">
                  <c:v>49495.616735160314</c:v>
                </c:pt>
                <c:pt idx="170">
                  <c:v>55608.367924214159</c:v>
                </c:pt>
                <c:pt idx="171">
                  <c:v>35563.235194313726</c:v>
                </c:pt>
                <c:pt idx="172">
                  <c:v>34160.876033854191</c:v>
                </c:pt>
                <c:pt idx="173">
                  <c:v>50405.094291822403</c:v>
                </c:pt>
                <c:pt idx="174">
                  <c:v>33456.362445895065</c:v>
                </c:pt>
                <c:pt idx="175">
                  <c:v>35757.810798719816</c:v>
                </c:pt>
                <c:pt idx="176">
                  <c:v>54744.922791401797</c:v>
                </c:pt>
                <c:pt idx="177">
                  <c:v>33155.948943953801</c:v>
                </c:pt>
                <c:pt idx="178">
                  <c:v>39841.837610584822</c:v>
                </c:pt>
                <c:pt idx="179">
                  <c:v>33328.188520688112</c:v>
                </c:pt>
                <c:pt idx="180">
                  <c:v>42685.041103235839</c:v>
                </c:pt>
                <c:pt idx="181">
                  <c:v>19926.256014871706</c:v>
                </c:pt>
                <c:pt idx="182">
                  <c:v>52120.811807226572</c:v>
                </c:pt>
                <c:pt idx="183">
                  <c:v>34083.552538045245</c:v>
                </c:pt>
                <c:pt idx="184">
                  <c:v>50834.210981225006</c:v>
                </c:pt>
                <c:pt idx="185">
                  <c:v>25520.766930704522</c:v>
                </c:pt>
                <c:pt idx="186">
                  <c:v>39180.262153015516</c:v>
                </c:pt>
                <c:pt idx="187">
                  <c:v>29557.209489017954</c:v>
                </c:pt>
                <c:pt idx="188">
                  <c:v>35415.398400335012</c:v>
                </c:pt>
                <c:pt idx="189">
                  <c:v>49450.963707901443</c:v>
                </c:pt>
                <c:pt idx="190">
                  <c:v>45364.877075878474</c:v>
                </c:pt>
                <c:pt idx="191">
                  <c:v>50940.459717253558</c:v>
                </c:pt>
                <c:pt idx="192">
                  <c:v>48041.290281094487</c:v>
                </c:pt>
                <c:pt idx="193">
                  <c:v>37639.221205961716</c:v>
                </c:pt>
                <c:pt idx="194">
                  <c:v>50111.900794008201</c:v>
                </c:pt>
                <c:pt idx="195">
                  <c:v>32938.099614061757</c:v>
                </c:pt>
                <c:pt idx="196">
                  <c:v>21713.883074294397</c:v>
                </c:pt>
                <c:pt idx="197">
                  <c:v>50962.912345379315</c:v>
                </c:pt>
                <c:pt idx="198">
                  <c:v>51919.680573039106</c:v>
                </c:pt>
                <c:pt idx="199">
                  <c:v>39868.39852164976</c:v>
                </c:pt>
                <c:pt idx="200">
                  <c:v>39574.781804422149</c:v>
                </c:pt>
                <c:pt idx="201">
                  <c:v>33747.596546661684</c:v>
                </c:pt>
                <c:pt idx="202">
                  <c:v>43472.223026148844</c:v>
                </c:pt>
                <c:pt idx="203">
                  <c:v>40757.248549351498</c:v>
                </c:pt>
                <c:pt idx="204">
                  <c:v>50704.947988665481</c:v>
                </c:pt>
                <c:pt idx="205">
                  <c:v>40187.728260590673</c:v>
                </c:pt>
                <c:pt idx="206">
                  <c:v>34578.5370742308</c:v>
                </c:pt>
                <c:pt idx="207">
                  <c:v>44914.936499010408</c:v>
                </c:pt>
                <c:pt idx="208">
                  <c:v>46813.566247909817</c:v>
                </c:pt>
                <c:pt idx="209">
                  <c:v>31781.548813752685</c:v>
                </c:pt>
                <c:pt idx="210">
                  <c:v>37751.875555804196</c:v>
                </c:pt>
                <c:pt idx="211">
                  <c:v>42942.586947538672</c:v>
                </c:pt>
                <c:pt idx="212">
                  <c:v>36865.52552208367</c:v>
                </c:pt>
                <c:pt idx="213">
                  <c:v>29931.154281651357</c:v>
                </c:pt>
                <c:pt idx="214">
                  <c:v>30346.313872733263</c:v>
                </c:pt>
                <c:pt idx="215">
                  <c:v>46425.654631900805</c:v>
                </c:pt>
                <c:pt idx="216">
                  <c:v>47608.82778794827</c:v>
                </c:pt>
                <c:pt idx="217">
                  <c:v>56170.183574656323</c:v>
                </c:pt>
                <c:pt idx="218">
                  <c:v>30821.37937072348</c:v>
                </c:pt>
                <c:pt idx="219">
                  <c:v>36865.115136745175</c:v>
                </c:pt>
                <c:pt idx="220">
                  <c:v>51231.303476973808</c:v>
                </c:pt>
                <c:pt idx="221">
                  <c:v>31456.798194945066</c:v>
                </c:pt>
                <c:pt idx="222">
                  <c:v>25039.827984578562</c:v>
                </c:pt>
                <c:pt idx="223">
                  <c:v>46331.232547074454</c:v>
                </c:pt>
                <c:pt idx="224">
                  <c:v>41166.461086993448</c:v>
                </c:pt>
                <c:pt idx="225">
                  <c:v>32175.389789572677</c:v>
                </c:pt>
                <c:pt idx="226">
                  <c:v>44909.85527852425</c:v>
                </c:pt>
                <c:pt idx="227">
                  <c:v>33802.596924063764</c:v>
                </c:pt>
                <c:pt idx="228">
                  <c:v>50351.677689357537</c:v>
                </c:pt>
                <c:pt idx="229">
                  <c:v>56089.118044461546</c:v>
                </c:pt>
                <c:pt idx="230">
                  <c:v>34310.595537922658</c:v>
                </c:pt>
                <c:pt idx="231">
                  <c:v>20665.983832398324</c:v>
                </c:pt>
                <c:pt idx="232">
                  <c:v>35426.781091241646</c:v>
                </c:pt>
                <c:pt idx="233">
                  <c:v>37387.850161886665</c:v>
                </c:pt>
                <c:pt idx="234">
                  <c:v>35834.542452530732</c:v>
                </c:pt>
                <c:pt idx="235">
                  <c:v>34157.597710654649</c:v>
                </c:pt>
                <c:pt idx="236">
                  <c:v>45291.124001769516</c:v>
                </c:pt>
                <c:pt idx="237">
                  <c:v>36941.042953719625</c:v>
                </c:pt>
                <c:pt idx="238">
                  <c:v>41893.512598221976</c:v>
                </c:pt>
                <c:pt idx="239">
                  <c:v>41410.069756503166</c:v>
                </c:pt>
                <c:pt idx="240">
                  <c:v>29492.7003674673</c:v>
                </c:pt>
                <c:pt idx="241">
                  <c:v>48415.505448183132</c:v>
                </c:pt>
                <c:pt idx="242">
                  <c:v>47622.151761847992</c:v>
                </c:pt>
                <c:pt idx="243">
                  <c:v>32591.122183121028</c:v>
                </c:pt>
                <c:pt idx="244">
                  <c:v>48917.31775518872</c:v>
                </c:pt>
                <c:pt idx="245">
                  <c:v>26146.419750712565</c:v>
                </c:pt>
                <c:pt idx="246">
                  <c:v>42665.224269993545</c:v>
                </c:pt>
                <c:pt idx="247">
                  <c:v>19074.908018951275</c:v>
                </c:pt>
                <c:pt idx="248">
                  <c:v>53736.629206019126</c:v>
                </c:pt>
                <c:pt idx="249">
                  <c:v>42528.380159513705</c:v>
                </c:pt>
                <c:pt idx="250">
                  <c:v>44138.30016305473</c:v>
                </c:pt>
                <c:pt idx="251">
                  <c:v>47396.740255147539</c:v>
                </c:pt>
                <c:pt idx="252">
                  <c:v>22155.906231057168</c:v>
                </c:pt>
                <c:pt idx="253">
                  <c:v>41729.875282055204</c:v>
                </c:pt>
                <c:pt idx="254">
                  <c:v>33690.139236142801</c:v>
                </c:pt>
                <c:pt idx="255">
                  <c:v>53695.163854108985</c:v>
                </c:pt>
                <c:pt idx="256">
                  <c:v>40605.347659062238</c:v>
                </c:pt>
                <c:pt idx="257">
                  <c:v>31894.775904624741</c:v>
                </c:pt>
                <c:pt idx="258">
                  <c:v>23788.580052569279</c:v>
                </c:pt>
                <c:pt idx="259">
                  <c:v>27063.463914027354</c:v>
                </c:pt>
                <c:pt idx="260">
                  <c:v>42378.538916003381</c:v>
                </c:pt>
                <c:pt idx="261">
                  <c:v>37952.166839956604</c:v>
                </c:pt>
                <c:pt idx="262">
                  <c:v>42724.926350797257</c:v>
                </c:pt>
                <c:pt idx="263">
                  <c:v>34605.184091546005</c:v>
                </c:pt>
                <c:pt idx="264">
                  <c:v>36924.744640854791</c:v>
                </c:pt>
                <c:pt idx="265">
                  <c:v>64084.816153322448</c:v>
                </c:pt>
                <c:pt idx="266">
                  <c:v>28078.43378470324</c:v>
                </c:pt>
                <c:pt idx="267">
                  <c:v>36197.16852609715</c:v>
                </c:pt>
                <c:pt idx="268">
                  <c:v>33934.373410275526</c:v>
                </c:pt>
                <c:pt idx="269">
                  <c:v>48669.811972036528</c:v>
                </c:pt>
                <c:pt idx="270">
                  <c:v>26852.168824029832</c:v>
                </c:pt>
                <c:pt idx="271">
                  <c:v>20081.021963438187</c:v>
                </c:pt>
                <c:pt idx="272">
                  <c:v>43325.299942840509</c:v>
                </c:pt>
                <c:pt idx="273">
                  <c:v>41018.264522223159</c:v>
                </c:pt>
                <c:pt idx="274">
                  <c:v>26704.586846975213</c:v>
                </c:pt>
                <c:pt idx="275">
                  <c:v>34043.391844196994</c:v>
                </c:pt>
                <c:pt idx="276">
                  <c:v>39752.421819140611</c:v>
                </c:pt>
                <c:pt idx="277">
                  <c:v>21824.893174639503</c:v>
                </c:pt>
                <c:pt idx="278">
                  <c:v>31405.973229673225</c:v>
                </c:pt>
                <c:pt idx="279">
                  <c:v>30160.473769109863</c:v>
                </c:pt>
                <c:pt idx="280">
                  <c:v>33190.694333712374</c:v>
                </c:pt>
                <c:pt idx="281">
                  <c:v>36844.171355129096</c:v>
                </c:pt>
                <c:pt idx="282">
                  <c:v>38147.568636887117</c:v>
                </c:pt>
                <c:pt idx="283">
                  <c:v>45852.473830761446</c:v>
                </c:pt>
                <c:pt idx="284">
                  <c:v>41838.957865408476</c:v>
                </c:pt>
                <c:pt idx="285">
                  <c:v>51360.638159558694</c:v>
                </c:pt>
                <c:pt idx="286">
                  <c:v>24067.896988416931</c:v>
                </c:pt>
                <c:pt idx="287">
                  <c:v>43761.069684596878</c:v>
                </c:pt>
                <c:pt idx="288">
                  <c:v>49589.799904214713</c:v>
                </c:pt>
                <c:pt idx="289">
                  <c:v>40186.593592047902</c:v>
                </c:pt>
                <c:pt idx="290">
                  <c:v>66845.29210172742</c:v>
                </c:pt>
                <c:pt idx="291">
                  <c:v>46240.282398222022</c:v>
                </c:pt>
                <c:pt idx="292">
                  <c:v>36057.741985880792</c:v>
                </c:pt>
                <c:pt idx="293">
                  <c:v>24645.203626980161</c:v>
                </c:pt>
                <c:pt idx="294">
                  <c:v>30272.039346716279</c:v>
                </c:pt>
                <c:pt idx="295">
                  <c:v>47739.393360141155</c:v>
                </c:pt>
                <c:pt idx="296">
                  <c:v>33393.548201949758</c:v>
                </c:pt>
                <c:pt idx="297">
                  <c:v>30904.969961285329</c:v>
                </c:pt>
                <c:pt idx="298">
                  <c:v>34146.42107239645</c:v>
                </c:pt>
                <c:pt idx="299">
                  <c:v>27204.892497461209</c:v>
                </c:pt>
                <c:pt idx="300">
                  <c:v>30276.6709465024</c:v>
                </c:pt>
                <c:pt idx="301">
                  <c:v>33839.153551662377</c:v>
                </c:pt>
                <c:pt idx="302">
                  <c:v>62505.270303843405</c:v>
                </c:pt>
                <c:pt idx="303">
                  <c:v>64619.492760535773</c:v>
                </c:pt>
                <c:pt idx="304">
                  <c:v>32426.590544707084</c:v>
                </c:pt>
                <c:pt idx="305">
                  <c:v>28517.532609403599</c:v>
                </c:pt>
                <c:pt idx="306">
                  <c:v>33614.328948192189</c:v>
                </c:pt>
                <c:pt idx="307">
                  <c:v>35960.698065669152</c:v>
                </c:pt>
                <c:pt idx="308">
                  <c:v>46499.683335177768</c:v>
                </c:pt>
                <c:pt idx="309">
                  <c:v>38968.004623114721</c:v>
                </c:pt>
                <c:pt idx="310">
                  <c:v>51306.729263728375</c:v>
                </c:pt>
                <c:pt idx="311">
                  <c:v>40614.48408302723</c:v>
                </c:pt>
                <c:pt idx="312">
                  <c:v>37232.467713122591</c:v>
                </c:pt>
                <c:pt idx="313">
                  <c:v>37009.143076795641</c:v>
                </c:pt>
                <c:pt idx="314">
                  <c:v>34884.931743262227</c:v>
                </c:pt>
                <c:pt idx="315">
                  <c:v>41261.380521068742</c:v>
                </c:pt>
                <c:pt idx="316">
                  <c:v>35449.272977666689</c:v>
                </c:pt>
                <c:pt idx="317">
                  <c:v>50443.134834028577</c:v>
                </c:pt>
                <c:pt idx="318">
                  <c:v>34956.300663612208</c:v>
                </c:pt>
                <c:pt idx="319">
                  <c:v>40171.148180621836</c:v>
                </c:pt>
                <c:pt idx="320">
                  <c:v>74305.422980821197</c:v>
                </c:pt>
                <c:pt idx="321">
                  <c:v>59331.900001344147</c:v>
                </c:pt>
                <c:pt idx="322">
                  <c:v>26105.171455158725</c:v>
                </c:pt>
                <c:pt idx="323">
                  <c:v>31371.757109367834</c:v>
                </c:pt>
                <c:pt idx="324">
                  <c:v>34120.926908567948</c:v>
                </c:pt>
                <c:pt idx="325">
                  <c:v>47796.269178240684</c:v>
                </c:pt>
                <c:pt idx="326">
                  <c:v>36476.404245032245</c:v>
                </c:pt>
                <c:pt idx="327">
                  <c:v>46913.899899279175</c:v>
                </c:pt>
                <c:pt idx="328">
                  <c:v>34193.354533981699</c:v>
                </c:pt>
                <c:pt idx="329">
                  <c:v>39234.278560944382</c:v>
                </c:pt>
                <c:pt idx="330">
                  <c:v>36121.165744596983</c:v>
                </c:pt>
                <c:pt idx="331">
                  <c:v>37093.766891750696</c:v>
                </c:pt>
                <c:pt idx="332">
                  <c:v>32993.430177957591</c:v>
                </c:pt>
                <c:pt idx="333">
                  <c:v>31701.253967849429</c:v>
                </c:pt>
                <c:pt idx="334">
                  <c:v>31788.165556322761</c:v>
                </c:pt>
                <c:pt idx="335">
                  <c:v>46544.673934321065</c:v>
                </c:pt>
                <c:pt idx="336">
                  <c:v>69821.051739737595</c:v>
                </c:pt>
                <c:pt idx="337">
                  <c:v>32276.62793062269</c:v>
                </c:pt>
                <c:pt idx="338">
                  <c:v>45460.946264133345</c:v>
                </c:pt>
                <c:pt idx="339">
                  <c:v>43375.785410196928</c:v>
                </c:pt>
                <c:pt idx="340">
                  <c:v>71102.222616987739</c:v>
                </c:pt>
                <c:pt idx="341">
                  <c:v>30354.932226013396</c:v>
                </c:pt>
                <c:pt idx="342">
                  <c:v>35641.089244550036</c:v>
                </c:pt>
                <c:pt idx="343">
                  <c:v>40339.191019130922</c:v>
                </c:pt>
                <c:pt idx="344">
                  <c:v>36994.47397079692</c:v>
                </c:pt>
                <c:pt idx="345">
                  <c:v>31379.676289209601</c:v>
                </c:pt>
                <c:pt idx="346">
                  <c:v>56446.160462678512</c:v>
                </c:pt>
                <c:pt idx="347">
                  <c:v>38484.208466082637</c:v>
                </c:pt>
                <c:pt idx="348">
                  <c:v>61900.506827768557</c:v>
                </c:pt>
                <c:pt idx="349">
                  <c:v>50656.740880477075</c:v>
                </c:pt>
                <c:pt idx="350">
                  <c:v>33508.85023768527</c:v>
                </c:pt>
                <c:pt idx="351">
                  <c:v>38119.46196666771</c:v>
                </c:pt>
                <c:pt idx="352">
                  <c:v>44895.598357306524</c:v>
                </c:pt>
                <c:pt idx="353">
                  <c:v>42956.122482318497</c:v>
                </c:pt>
                <c:pt idx="354">
                  <c:v>31137.069885945119</c:v>
                </c:pt>
                <c:pt idx="355">
                  <c:v>22287.804405700899</c:v>
                </c:pt>
                <c:pt idx="356">
                  <c:v>56600.000033761607</c:v>
                </c:pt>
                <c:pt idx="357">
                  <c:v>54225.966759034163</c:v>
                </c:pt>
                <c:pt idx="358">
                  <c:v>64809.144467241858</c:v>
                </c:pt>
                <c:pt idx="359">
                  <c:v>26907.354969175223</c:v>
                </c:pt>
                <c:pt idx="360">
                  <c:v>57846.451644749985</c:v>
                </c:pt>
                <c:pt idx="361">
                  <c:v>59327.050968651412</c:v>
                </c:pt>
                <c:pt idx="362">
                  <c:v>47402.135276621688</c:v>
                </c:pt>
                <c:pt idx="363">
                  <c:v>41964.550178863312</c:v>
                </c:pt>
                <c:pt idx="364">
                  <c:v>33447.093982562408</c:v>
                </c:pt>
                <c:pt idx="365">
                  <c:v>25357.225020214701</c:v>
                </c:pt>
                <c:pt idx="366">
                  <c:v>25037.749289193074</c:v>
                </c:pt>
                <c:pt idx="367">
                  <c:v>44211.53950158495</c:v>
                </c:pt>
                <c:pt idx="368">
                  <c:v>40774.545560198567</c:v>
                </c:pt>
                <c:pt idx="369">
                  <c:v>45586.59676554727</c:v>
                </c:pt>
                <c:pt idx="370">
                  <c:v>29039.080040899749</c:v>
                </c:pt>
                <c:pt idx="371">
                  <c:v>24510.338050413371</c:v>
                </c:pt>
                <c:pt idx="372">
                  <c:v>39499.735939901693</c:v>
                </c:pt>
                <c:pt idx="373">
                  <c:v>41564.603502217848</c:v>
                </c:pt>
                <c:pt idx="374">
                  <c:v>52308.306451264158</c:v>
                </c:pt>
                <c:pt idx="375">
                  <c:v>51964.345578476954</c:v>
                </c:pt>
                <c:pt idx="376">
                  <c:v>46937.838484693886</c:v>
                </c:pt>
                <c:pt idx="377">
                  <c:v>44637.771824121803</c:v>
                </c:pt>
                <c:pt idx="378">
                  <c:v>51745.009214221936</c:v>
                </c:pt>
                <c:pt idx="379">
                  <c:v>45855.026891013549</c:v>
                </c:pt>
                <c:pt idx="380">
                  <c:v>26723.304000081775</c:v>
                </c:pt>
                <c:pt idx="381">
                  <c:v>28291.730562722521</c:v>
                </c:pt>
                <c:pt idx="382">
                  <c:v>23894.80181736442</c:v>
                </c:pt>
                <c:pt idx="383">
                  <c:v>28343.358523417239</c:v>
                </c:pt>
                <c:pt idx="384">
                  <c:v>48454.110906426722</c:v>
                </c:pt>
                <c:pt idx="385">
                  <c:v>31782.792558756759</c:v>
                </c:pt>
                <c:pt idx="386">
                  <c:v>34290.17107760319</c:v>
                </c:pt>
                <c:pt idx="387">
                  <c:v>42481.37805734983</c:v>
                </c:pt>
                <c:pt idx="388">
                  <c:v>22598.418745654617</c:v>
                </c:pt>
                <c:pt idx="389">
                  <c:v>38163.4542022729</c:v>
                </c:pt>
                <c:pt idx="390">
                  <c:v>26553.700864540493</c:v>
                </c:pt>
                <c:pt idx="391">
                  <c:v>55913.889869238723</c:v>
                </c:pt>
                <c:pt idx="392">
                  <c:v>39750.089078611163</c:v>
                </c:pt>
                <c:pt idx="393">
                  <c:v>41541.41773708594</c:v>
                </c:pt>
                <c:pt idx="394">
                  <c:v>23718.156082365509</c:v>
                </c:pt>
                <c:pt idx="395">
                  <c:v>31027.89830138976</c:v>
                </c:pt>
                <c:pt idx="396">
                  <c:v>24581.130906908136</c:v>
                </c:pt>
                <c:pt idx="397">
                  <c:v>39905.075633379049</c:v>
                </c:pt>
                <c:pt idx="398">
                  <c:v>20288.263210356337</c:v>
                </c:pt>
                <c:pt idx="399">
                  <c:v>40624.976617592532</c:v>
                </c:pt>
                <c:pt idx="400">
                  <c:v>37373.959128409639</c:v>
                </c:pt>
                <c:pt idx="401">
                  <c:v>32765.456983986092</c:v>
                </c:pt>
                <c:pt idx="402">
                  <c:v>36654.875903548316</c:v>
                </c:pt>
                <c:pt idx="403">
                  <c:v>37276.260986306872</c:v>
                </c:pt>
                <c:pt idx="404">
                  <c:v>30732.64065024786</c:v>
                </c:pt>
                <c:pt idx="405">
                  <c:v>14395.429364837142</c:v>
                </c:pt>
                <c:pt idx="406">
                  <c:v>28281.604069559835</c:v>
                </c:pt>
                <c:pt idx="407">
                  <c:v>35068.759996332505</c:v>
                </c:pt>
                <c:pt idx="408">
                  <c:v>51128.173251013621</c:v>
                </c:pt>
                <c:pt idx="409">
                  <c:v>37904.458482658229</c:v>
                </c:pt>
                <c:pt idx="410">
                  <c:v>41862.290416162366</c:v>
                </c:pt>
                <c:pt idx="411">
                  <c:v>49978.431931962645</c:v>
                </c:pt>
                <c:pt idx="412">
                  <c:v>37418.688044620845</c:v>
                </c:pt>
                <c:pt idx="413">
                  <c:v>31467.113088301885</c:v>
                </c:pt>
                <c:pt idx="414">
                  <c:v>47922.167841414957</c:v>
                </c:pt>
                <c:pt idx="415">
                  <c:v>35200.796796002818</c:v>
                </c:pt>
                <c:pt idx="416">
                  <c:v>28950.01575525209</c:v>
                </c:pt>
                <c:pt idx="417">
                  <c:v>22398.118411306856</c:v>
                </c:pt>
                <c:pt idx="418">
                  <c:v>17667.577423724091</c:v>
                </c:pt>
                <c:pt idx="419">
                  <c:v>52897.167302653412</c:v>
                </c:pt>
                <c:pt idx="420">
                  <c:v>60743.504502365438</c:v>
                </c:pt>
                <c:pt idx="421">
                  <c:v>29640.749911208433</c:v>
                </c:pt>
                <c:pt idx="422">
                  <c:v>32450.435740962897</c:v>
                </c:pt>
                <c:pt idx="423">
                  <c:v>32885.454280065234</c:v>
                </c:pt>
                <c:pt idx="424">
                  <c:v>33522.200203675369</c:v>
                </c:pt>
                <c:pt idx="425">
                  <c:v>47667.148692105722</c:v>
                </c:pt>
                <c:pt idx="426">
                  <c:v>51478.301482336552</c:v>
                </c:pt>
                <c:pt idx="427">
                  <c:v>40424.028373656991</c:v>
                </c:pt>
                <c:pt idx="428">
                  <c:v>26694.460933175771</c:v>
                </c:pt>
                <c:pt idx="429">
                  <c:v>34262.023094283904</c:v>
                </c:pt>
                <c:pt idx="430">
                  <c:v>46315.989238345413</c:v>
                </c:pt>
                <c:pt idx="431">
                  <c:v>50963.073360828981</c:v>
                </c:pt>
                <c:pt idx="432">
                  <c:v>23377.167151430262</c:v>
                </c:pt>
                <c:pt idx="433">
                  <c:v>28605.665617561153</c:v>
                </c:pt>
                <c:pt idx="434">
                  <c:v>31105.083591512652</c:v>
                </c:pt>
                <c:pt idx="435">
                  <c:v>72614.711303125092</c:v>
                </c:pt>
                <c:pt idx="436">
                  <c:v>41679.176191912586</c:v>
                </c:pt>
                <c:pt idx="437">
                  <c:v>31840.172484850733</c:v>
                </c:pt>
                <c:pt idx="438">
                  <c:v>36028.875328943664</c:v>
                </c:pt>
                <c:pt idx="439">
                  <c:v>27755.384251533007</c:v>
                </c:pt>
                <c:pt idx="440">
                  <c:v>33242.43387169559</c:v>
                </c:pt>
                <c:pt idx="441">
                  <c:v>19503.589364124371</c:v>
                </c:pt>
                <c:pt idx="442">
                  <c:v>35004.861161074637</c:v>
                </c:pt>
                <c:pt idx="443">
                  <c:v>53713.039319200303</c:v>
                </c:pt>
                <c:pt idx="444">
                  <c:v>28285.436284780822</c:v>
                </c:pt>
                <c:pt idx="445">
                  <c:v>35606.173257315451</c:v>
                </c:pt>
                <c:pt idx="446">
                  <c:v>54576.311631153709</c:v>
                </c:pt>
                <c:pt idx="447">
                  <c:v>35191.941699788207</c:v>
                </c:pt>
                <c:pt idx="448">
                  <c:v>38749.1074015165</c:v>
                </c:pt>
                <c:pt idx="449">
                  <c:v>57651.991437817363</c:v>
                </c:pt>
                <c:pt idx="450">
                  <c:v>36616.720243854725</c:v>
                </c:pt>
                <c:pt idx="451">
                  <c:v>40711.4552652645</c:v>
                </c:pt>
                <c:pt idx="452">
                  <c:v>32770.884261484141</c:v>
                </c:pt>
                <c:pt idx="453">
                  <c:v>64010.385727248518</c:v>
                </c:pt>
                <c:pt idx="454">
                  <c:v>37704.440620739748</c:v>
                </c:pt>
                <c:pt idx="455">
                  <c:v>41832.820978714175</c:v>
                </c:pt>
                <c:pt idx="456">
                  <c:v>47490.962386954307</c:v>
                </c:pt>
                <c:pt idx="457">
                  <c:v>38279.694640470909</c:v>
                </c:pt>
                <c:pt idx="458">
                  <c:v>36486.704851472947</c:v>
                </c:pt>
                <c:pt idx="459">
                  <c:v>68348.243827044818</c:v>
                </c:pt>
                <c:pt idx="460">
                  <c:v>52082.346141910268</c:v>
                </c:pt>
                <c:pt idx="461">
                  <c:v>30935.407054199975</c:v>
                </c:pt>
                <c:pt idx="462">
                  <c:v>21983.555890591619</c:v>
                </c:pt>
                <c:pt idx="463">
                  <c:v>31718.52764763583</c:v>
                </c:pt>
                <c:pt idx="464">
                  <c:v>49548.203493777801</c:v>
                </c:pt>
                <c:pt idx="465">
                  <c:v>55631.519593491445</c:v>
                </c:pt>
                <c:pt idx="466">
                  <c:v>27684.915587487951</c:v>
                </c:pt>
                <c:pt idx="467">
                  <c:v>52281.694287337385</c:v>
                </c:pt>
                <c:pt idx="468">
                  <c:v>37260.600375380134</c:v>
                </c:pt>
                <c:pt idx="469">
                  <c:v>40308.148065133842</c:v>
                </c:pt>
                <c:pt idx="470">
                  <c:v>40790.938311657897</c:v>
                </c:pt>
                <c:pt idx="471">
                  <c:v>44270.619966603081</c:v>
                </c:pt>
                <c:pt idx="472">
                  <c:v>37557.234306904924</c:v>
                </c:pt>
                <c:pt idx="473">
                  <c:v>53741.446773658376</c:v>
                </c:pt>
                <c:pt idx="474">
                  <c:v>33868.540739025026</c:v>
                </c:pt>
                <c:pt idx="475">
                  <c:v>37581.373326703215</c:v>
                </c:pt>
                <c:pt idx="476">
                  <c:v>28635.498000847128</c:v>
                </c:pt>
                <c:pt idx="477">
                  <c:v>70497.997162999513</c:v>
                </c:pt>
                <c:pt idx="478">
                  <c:v>32287.518688153225</c:v>
                </c:pt>
                <c:pt idx="479">
                  <c:v>43749.475166259275</c:v>
                </c:pt>
                <c:pt idx="480">
                  <c:v>50620.689106996128</c:v>
                </c:pt>
                <c:pt idx="481">
                  <c:v>63933.345452361878</c:v>
                </c:pt>
                <c:pt idx="482">
                  <c:v>40463.707598051769</c:v>
                </c:pt>
                <c:pt idx="483">
                  <c:v>37883.585292180156</c:v>
                </c:pt>
                <c:pt idx="484">
                  <c:v>40788.330338239924</c:v>
                </c:pt>
                <c:pt idx="485">
                  <c:v>50136.778848446142</c:v>
                </c:pt>
                <c:pt idx="486">
                  <c:v>36451.680684217805</c:v>
                </c:pt>
                <c:pt idx="487">
                  <c:v>41219.239760749202</c:v>
                </c:pt>
                <c:pt idx="488">
                  <c:v>25058.991126975281</c:v>
                </c:pt>
                <c:pt idx="489">
                  <c:v>36051.695175908848</c:v>
                </c:pt>
                <c:pt idx="490">
                  <c:v>35219.319507896849</c:v>
                </c:pt>
                <c:pt idx="491">
                  <c:v>47074.468504644909</c:v>
                </c:pt>
                <c:pt idx="492">
                  <c:v>38006.797123495453</c:v>
                </c:pt>
                <c:pt idx="493">
                  <c:v>41535.993030558282</c:v>
                </c:pt>
                <c:pt idx="494">
                  <c:v>38394.661458424103</c:v>
                </c:pt>
                <c:pt idx="495">
                  <c:v>41200.992513970297</c:v>
                </c:pt>
                <c:pt idx="496">
                  <c:v>56010.983002987661</c:v>
                </c:pt>
                <c:pt idx="497">
                  <c:v>37898.240844725726</c:v>
                </c:pt>
                <c:pt idx="498">
                  <c:v>50904.932331781849</c:v>
                </c:pt>
                <c:pt idx="499">
                  <c:v>43631.83681126892</c:v>
                </c:pt>
                <c:pt idx="500">
                  <c:v>32762.563448254459</c:v>
                </c:pt>
                <c:pt idx="501">
                  <c:v>17418.481785000065</c:v>
                </c:pt>
                <c:pt idx="502">
                  <c:v>45578.059408108173</c:v>
                </c:pt>
                <c:pt idx="503">
                  <c:v>43960.722875332787</c:v>
                </c:pt>
                <c:pt idx="504">
                  <c:v>42100.295246561771</c:v>
                </c:pt>
                <c:pt idx="505">
                  <c:v>56931.612111747694</c:v>
                </c:pt>
                <c:pt idx="506">
                  <c:v>30092.863874835693</c:v>
                </c:pt>
                <c:pt idx="507">
                  <c:v>58848.004082162159</c:v>
                </c:pt>
                <c:pt idx="508">
                  <c:v>36901.858245752352</c:v>
                </c:pt>
                <c:pt idx="509">
                  <c:v>40342.468332120698</c:v>
                </c:pt>
                <c:pt idx="510">
                  <c:v>43510.96023173791</c:v>
                </c:pt>
                <c:pt idx="511">
                  <c:v>31858.675693847843</c:v>
                </c:pt>
                <c:pt idx="512">
                  <c:v>28424.817597294321</c:v>
                </c:pt>
                <c:pt idx="513">
                  <c:v>44623.337610780407</c:v>
                </c:pt>
                <c:pt idx="514">
                  <c:v>56135.844793864097</c:v>
                </c:pt>
                <c:pt idx="515">
                  <c:v>28607.646430198849</c:v>
                </c:pt>
                <c:pt idx="516">
                  <c:v>54401.51234682378</c:v>
                </c:pt>
                <c:pt idx="517">
                  <c:v>37195.460097177463</c:v>
                </c:pt>
                <c:pt idx="518">
                  <c:v>49632.724486851468</c:v>
                </c:pt>
                <c:pt idx="519">
                  <c:v>18508.870931973146</c:v>
                </c:pt>
                <c:pt idx="520">
                  <c:v>32212.058985225845</c:v>
                </c:pt>
                <c:pt idx="521">
                  <c:v>50696.275697272024</c:v>
                </c:pt>
                <c:pt idx="522">
                  <c:v>65483.372297553447</c:v>
                </c:pt>
                <c:pt idx="523">
                  <c:v>43508.281521208228</c:v>
                </c:pt>
                <c:pt idx="524">
                  <c:v>60815.231372007998</c:v>
                </c:pt>
                <c:pt idx="525">
                  <c:v>33065.254978964636</c:v>
                </c:pt>
                <c:pt idx="526">
                  <c:v>35576.767620593091</c:v>
                </c:pt>
                <c:pt idx="527">
                  <c:v>29589.789485925448</c:v>
                </c:pt>
                <c:pt idx="528">
                  <c:v>18421.271238976202</c:v>
                </c:pt>
                <c:pt idx="529">
                  <c:v>38021.46334983124</c:v>
                </c:pt>
                <c:pt idx="530">
                  <c:v>31960.805148455256</c:v>
                </c:pt>
                <c:pt idx="531">
                  <c:v>24206.066446389268</c:v>
                </c:pt>
                <c:pt idx="532">
                  <c:v>32556.943875676603</c:v>
                </c:pt>
                <c:pt idx="533">
                  <c:v>70677.215778922982</c:v>
                </c:pt>
                <c:pt idx="534">
                  <c:v>35382.405264328117</c:v>
                </c:pt>
                <c:pt idx="535">
                  <c:v>34842.71070646662</c:v>
                </c:pt>
                <c:pt idx="536">
                  <c:v>36065.556545058505</c:v>
                </c:pt>
                <c:pt idx="537">
                  <c:v>23798.664877681633</c:v>
                </c:pt>
                <c:pt idx="538">
                  <c:v>18818.782800290996</c:v>
                </c:pt>
                <c:pt idx="539">
                  <c:v>39409.138638032491</c:v>
                </c:pt>
                <c:pt idx="540">
                  <c:v>34402.849902104383</c:v>
                </c:pt>
                <c:pt idx="541">
                  <c:v>63487.684924607624</c:v>
                </c:pt>
                <c:pt idx="542">
                  <c:v>41473.109330774219</c:v>
                </c:pt>
                <c:pt idx="543">
                  <c:v>37962.046360372566</c:v>
                </c:pt>
                <c:pt idx="544">
                  <c:v>50817.298398129482</c:v>
                </c:pt>
                <c:pt idx="545">
                  <c:v>31444.561124153406</c:v>
                </c:pt>
                <c:pt idx="546">
                  <c:v>46977.386083824669</c:v>
                </c:pt>
                <c:pt idx="547">
                  <c:v>35132.044908650401</c:v>
                </c:pt>
                <c:pt idx="548">
                  <c:v>48181.604379256089</c:v>
                </c:pt>
                <c:pt idx="549">
                  <c:v>31388.339346739976</c:v>
                </c:pt>
                <c:pt idx="550">
                  <c:v>30908.652652890818</c:v>
                </c:pt>
                <c:pt idx="551">
                  <c:v>30375.39389376872</c:v>
                </c:pt>
                <c:pt idx="552">
                  <c:v>40183.697733326742</c:v>
                </c:pt>
                <c:pt idx="553">
                  <c:v>47981.439242573979</c:v>
                </c:pt>
                <c:pt idx="554">
                  <c:v>22181.505776876384</c:v>
                </c:pt>
                <c:pt idx="555">
                  <c:v>34260.073295549075</c:v>
                </c:pt>
                <c:pt idx="556">
                  <c:v>36516.007281460494</c:v>
                </c:pt>
                <c:pt idx="557">
                  <c:v>43529.217566653475</c:v>
                </c:pt>
                <c:pt idx="558">
                  <c:v>37200.46514723108</c:v>
                </c:pt>
                <c:pt idx="559">
                  <c:v>35106.843724673919</c:v>
                </c:pt>
                <c:pt idx="560">
                  <c:v>31689.051093427861</c:v>
                </c:pt>
                <c:pt idx="561">
                  <c:v>34145.715753693614</c:v>
                </c:pt>
                <c:pt idx="562">
                  <c:v>39245.578665494926</c:v>
                </c:pt>
                <c:pt idx="563">
                  <c:v>48015.765045624306</c:v>
                </c:pt>
                <c:pt idx="564">
                  <c:v>43079.697927222485</c:v>
                </c:pt>
                <c:pt idx="565">
                  <c:v>29571.775018229429</c:v>
                </c:pt>
                <c:pt idx="566">
                  <c:v>29879.123104482227</c:v>
                </c:pt>
                <c:pt idx="567">
                  <c:v>31414.988244603221</c:v>
                </c:pt>
                <c:pt idx="568">
                  <c:v>42930.741453727416</c:v>
                </c:pt>
                <c:pt idx="569">
                  <c:v>36318.684575861625</c:v>
                </c:pt>
                <c:pt idx="570">
                  <c:v>37106.338973332277</c:v>
                </c:pt>
                <c:pt idx="571">
                  <c:v>41403.150203861653</c:v>
                </c:pt>
                <c:pt idx="572">
                  <c:v>15653.708645131019</c:v>
                </c:pt>
                <c:pt idx="573">
                  <c:v>29076.295923685524</c:v>
                </c:pt>
                <c:pt idx="574">
                  <c:v>20525.745705718677</c:v>
                </c:pt>
                <c:pt idx="575">
                  <c:v>63343.467866027517</c:v>
                </c:pt>
                <c:pt idx="576">
                  <c:v>29194.949130522447</c:v>
                </c:pt>
                <c:pt idx="577">
                  <c:v>46213.43511571909</c:v>
                </c:pt>
                <c:pt idx="578">
                  <c:v>54930.457004602045</c:v>
                </c:pt>
                <c:pt idx="579">
                  <c:v>34273.077060471274</c:v>
                </c:pt>
                <c:pt idx="580">
                  <c:v>43301.162101623289</c:v>
                </c:pt>
                <c:pt idx="581">
                  <c:v>29185.237718861616</c:v>
                </c:pt>
                <c:pt idx="582">
                  <c:v>42185.034289683943</c:v>
                </c:pt>
                <c:pt idx="583">
                  <c:v>40160.127298194442</c:v>
                </c:pt>
                <c:pt idx="584">
                  <c:v>39812.780149698439</c:v>
                </c:pt>
                <c:pt idx="585">
                  <c:v>25943.919624350969</c:v>
                </c:pt>
                <c:pt idx="586">
                  <c:v>62566.973594948424</c:v>
                </c:pt>
                <c:pt idx="587">
                  <c:v>47105.956986515477</c:v>
                </c:pt>
                <c:pt idx="588">
                  <c:v>27965.595136172458</c:v>
                </c:pt>
                <c:pt idx="589">
                  <c:v>40967.233072812538</c:v>
                </c:pt>
                <c:pt idx="590">
                  <c:v>36285.510692973752</c:v>
                </c:pt>
                <c:pt idx="591">
                  <c:v>58135.617687000755</c:v>
                </c:pt>
                <c:pt idx="592">
                  <c:v>55306.123190812992</c:v>
                </c:pt>
                <c:pt idx="593">
                  <c:v>24769.867473493789</c:v>
                </c:pt>
                <c:pt idx="594">
                  <c:v>31367.779212863534</c:v>
                </c:pt>
                <c:pt idx="595">
                  <c:v>34335.424663093683</c:v>
                </c:pt>
                <c:pt idx="596">
                  <c:v>37909.873838744228</c:v>
                </c:pt>
                <c:pt idx="597">
                  <c:v>39853.160955027583</c:v>
                </c:pt>
                <c:pt idx="598">
                  <c:v>54621.861806752269</c:v>
                </c:pt>
                <c:pt idx="599">
                  <c:v>35544.174191596379</c:v>
                </c:pt>
                <c:pt idx="600">
                  <c:v>73303.485181086347</c:v>
                </c:pt>
                <c:pt idx="601">
                  <c:v>28311.428622084044</c:v>
                </c:pt>
                <c:pt idx="602">
                  <c:v>25871.072408573509</c:v>
                </c:pt>
                <c:pt idx="603">
                  <c:v>25440.629257262393</c:v>
                </c:pt>
                <c:pt idx="604">
                  <c:v>37786.087742899705</c:v>
                </c:pt>
                <c:pt idx="605">
                  <c:v>42684.623513582803</c:v>
                </c:pt>
                <c:pt idx="606">
                  <c:v>58689.481320130086</c:v>
                </c:pt>
                <c:pt idx="607">
                  <c:v>28525.464310387117</c:v>
                </c:pt>
                <c:pt idx="608">
                  <c:v>42127.189912845577</c:v>
                </c:pt>
                <c:pt idx="609">
                  <c:v>48522.613033027992</c:v>
                </c:pt>
                <c:pt idx="610">
                  <c:v>40313.610352657117</c:v>
                </c:pt>
                <c:pt idx="611">
                  <c:v>46253.132547365392</c:v>
                </c:pt>
                <c:pt idx="612">
                  <c:v>78520.527374781144</c:v>
                </c:pt>
                <c:pt idx="613">
                  <c:v>34439.656910366612</c:v>
                </c:pt>
                <c:pt idx="614">
                  <c:v>36628.666145851501</c:v>
                </c:pt>
                <c:pt idx="615">
                  <c:v>51330.562726393044</c:v>
                </c:pt>
                <c:pt idx="616">
                  <c:v>35481.751144653885</c:v>
                </c:pt>
                <c:pt idx="617">
                  <c:v>40238.017664220322</c:v>
                </c:pt>
                <c:pt idx="618">
                  <c:v>30607.971091649426</c:v>
                </c:pt>
                <c:pt idx="619">
                  <c:v>27539.99680228428</c:v>
                </c:pt>
                <c:pt idx="620">
                  <c:v>48462.638854411416</c:v>
                </c:pt>
                <c:pt idx="621">
                  <c:v>29723.720022333306</c:v>
                </c:pt>
                <c:pt idx="622">
                  <c:v>44483.826639359278</c:v>
                </c:pt>
                <c:pt idx="623">
                  <c:v>49162.448828411369</c:v>
                </c:pt>
                <c:pt idx="624">
                  <c:v>24456.159590963172</c:v>
                </c:pt>
                <c:pt idx="625">
                  <c:v>48973.33265611394</c:v>
                </c:pt>
                <c:pt idx="626">
                  <c:v>48608.613712608902</c:v>
                </c:pt>
                <c:pt idx="627">
                  <c:v>38556.927440980457</c:v>
                </c:pt>
                <c:pt idx="628">
                  <c:v>45451.624704482543</c:v>
                </c:pt>
                <c:pt idx="629">
                  <c:v>55888.793710308935</c:v>
                </c:pt>
                <c:pt idx="630">
                  <c:v>28946.896367561403</c:v>
                </c:pt>
                <c:pt idx="631">
                  <c:v>36598.225754758889</c:v>
                </c:pt>
                <c:pt idx="632">
                  <c:v>32773.123568106421</c:v>
                </c:pt>
                <c:pt idx="633">
                  <c:v>39344.664294374248</c:v>
                </c:pt>
                <c:pt idx="634">
                  <c:v>47176.267470857405</c:v>
                </c:pt>
                <c:pt idx="635">
                  <c:v>50563.111525886743</c:v>
                </c:pt>
                <c:pt idx="636">
                  <c:v>28155.242714297456</c:v>
                </c:pt>
                <c:pt idx="637">
                  <c:v>27751.839841269943</c:v>
                </c:pt>
                <c:pt idx="638">
                  <c:v>33171.378716118605</c:v>
                </c:pt>
                <c:pt idx="639">
                  <c:v>27347.569653874478</c:v>
                </c:pt>
                <c:pt idx="640">
                  <c:v>50565.773061233798</c:v>
                </c:pt>
                <c:pt idx="641">
                  <c:v>56430.739552919709</c:v>
                </c:pt>
                <c:pt idx="642">
                  <c:v>51705.713240593694</c:v>
                </c:pt>
                <c:pt idx="643">
                  <c:v>36743.788912035961</c:v>
                </c:pt>
                <c:pt idx="644">
                  <c:v>45004.562431870407</c:v>
                </c:pt>
                <c:pt idx="645">
                  <c:v>21860.062319810037</c:v>
                </c:pt>
                <c:pt idx="646">
                  <c:v>37490.618315183849</c:v>
                </c:pt>
                <c:pt idx="647">
                  <c:v>33285.672898095683</c:v>
                </c:pt>
                <c:pt idx="648">
                  <c:v>51115.096348108942</c:v>
                </c:pt>
                <c:pt idx="649">
                  <c:v>39032.99941011901</c:v>
                </c:pt>
                <c:pt idx="650">
                  <c:v>52515.277353664816</c:v>
                </c:pt>
                <c:pt idx="651">
                  <c:v>32246.62791325467</c:v>
                </c:pt>
                <c:pt idx="652">
                  <c:v>42903.605518256969</c:v>
                </c:pt>
                <c:pt idx="653">
                  <c:v>27920.474660755925</c:v>
                </c:pt>
                <c:pt idx="654">
                  <c:v>42235.122748744572</c:v>
                </c:pt>
                <c:pt idx="655">
                  <c:v>32949.859246707398</c:v>
                </c:pt>
                <c:pt idx="656">
                  <c:v>54258.271688250294</c:v>
                </c:pt>
                <c:pt idx="657">
                  <c:v>37117.652147448258</c:v>
                </c:pt>
                <c:pt idx="658">
                  <c:v>24614.778085976672</c:v>
                </c:pt>
                <c:pt idx="659">
                  <c:v>43849.940692770826</c:v>
                </c:pt>
                <c:pt idx="660">
                  <c:v>49113.467602092453</c:v>
                </c:pt>
                <c:pt idx="661">
                  <c:v>43138.918207474686</c:v>
                </c:pt>
                <c:pt idx="662">
                  <c:v>49272.333438875808</c:v>
                </c:pt>
                <c:pt idx="663">
                  <c:v>31372.966204492932</c:v>
                </c:pt>
                <c:pt idx="664">
                  <c:v>33554.97155415405</c:v>
                </c:pt>
                <c:pt idx="665">
                  <c:v>20477.262719885963</c:v>
                </c:pt>
                <c:pt idx="666">
                  <c:v>63981.119350103378</c:v>
                </c:pt>
                <c:pt idx="667">
                  <c:v>32156.818195480802</c:v>
                </c:pt>
                <c:pt idx="668">
                  <c:v>38491.044832415093</c:v>
                </c:pt>
                <c:pt idx="669">
                  <c:v>62289.647337439346</c:v>
                </c:pt>
                <c:pt idx="670">
                  <c:v>35767.16668701185</c:v>
                </c:pt>
                <c:pt idx="671">
                  <c:v>48566.936890132238</c:v>
                </c:pt>
                <c:pt idx="672">
                  <c:v>32032.764016679736</c:v>
                </c:pt>
                <c:pt idx="673">
                  <c:v>36890.407415707639</c:v>
                </c:pt>
                <c:pt idx="674">
                  <c:v>33907.049552352226</c:v>
                </c:pt>
                <c:pt idx="675">
                  <c:v>31363.395527305376</c:v>
                </c:pt>
                <c:pt idx="676">
                  <c:v>23549.840790567767</c:v>
                </c:pt>
                <c:pt idx="677">
                  <c:v>25448.964234921601</c:v>
                </c:pt>
                <c:pt idx="678">
                  <c:v>31848.004033871242</c:v>
                </c:pt>
                <c:pt idx="679">
                  <c:v>45867.902660197098</c:v>
                </c:pt>
                <c:pt idx="680">
                  <c:v>57167.742226738868</c:v>
                </c:pt>
                <c:pt idx="681">
                  <c:v>38418.488338349816</c:v>
                </c:pt>
                <c:pt idx="682">
                  <c:v>60225.272307310326</c:v>
                </c:pt>
                <c:pt idx="683">
                  <c:v>25960.814933340233</c:v>
                </c:pt>
                <c:pt idx="684">
                  <c:v>55765.855173484</c:v>
                </c:pt>
                <c:pt idx="685">
                  <c:v>31823.427833750786</c:v>
                </c:pt>
                <c:pt idx="686">
                  <c:v>42172.429430085234</c:v>
                </c:pt>
                <c:pt idx="687">
                  <c:v>34487.264273973</c:v>
                </c:pt>
                <c:pt idx="688">
                  <c:v>22040.662544768813</c:v>
                </c:pt>
                <c:pt idx="689">
                  <c:v>27829.613119143924</c:v>
                </c:pt>
                <c:pt idx="690">
                  <c:v>33997.672450312995</c:v>
                </c:pt>
                <c:pt idx="691">
                  <c:v>37675.122559622352</c:v>
                </c:pt>
                <c:pt idx="692">
                  <c:v>32999.793646830454</c:v>
                </c:pt>
                <c:pt idx="693">
                  <c:v>36106.759673437708</c:v>
                </c:pt>
                <c:pt idx="694">
                  <c:v>35347.607768039808</c:v>
                </c:pt>
                <c:pt idx="695">
                  <c:v>57006.90971175037</c:v>
                </c:pt>
                <c:pt idx="696">
                  <c:v>28854.603447788271</c:v>
                </c:pt>
                <c:pt idx="697">
                  <c:v>39993.911734879432</c:v>
                </c:pt>
                <c:pt idx="698">
                  <c:v>53259.979425077167</c:v>
                </c:pt>
                <c:pt idx="699">
                  <c:v>34308.490695461085</c:v>
                </c:pt>
                <c:pt idx="700">
                  <c:v>43720.590672565981</c:v>
                </c:pt>
                <c:pt idx="701">
                  <c:v>49782.483274930644</c:v>
                </c:pt>
                <c:pt idx="702">
                  <c:v>47252.306460804648</c:v>
                </c:pt>
                <c:pt idx="703">
                  <c:v>31022.347116196692</c:v>
                </c:pt>
                <c:pt idx="704">
                  <c:v>22615.22954706792</c:v>
                </c:pt>
                <c:pt idx="705">
                  <c:v>55012.56953514013</c:v>
                </c:pt>
                <c:pt idx="706">
                  <c:v>35409.723677572343</c:v>
                </c:pt>
                <c:pt idx="707">
                  <c:v>30284.08542961139</c:v>
                </c:pt>
                <c:pt idx="708">
                  <c:v>43182.203555220294</c:v>
                </c:pt>
                <c:pt idx="709">
                  <c:v>58895.964583027082</c:v>
                </c:pt>
                <c:pt idx="710">
                  <c:v>41994.23001344574</c:v>
                </c:pt>
                <c:pt idx="711">
                  <c:v>31090.027842651038</c:v>
                </c:pt>
                <c:pt idx="712">
                  <c:v>51792.280095252005</c:v>
                </c:pt>
                <c:pt idx="713">
                  <c:v>44114.324823884097</c:v>
                </c:pt>
                <c:pt idx="714">
                  <c:v>41080.487453905072</c:v>
                </c:pt>
                <c:pt idx="715">
                  <c:v>24257.687342342935</c:v>
                </c:pt>
                <c:pt idx="716">
                  <c:v>44197.580348224648</c:v>
                </c:pt>
                <c:pt idx="717">
                  <c:v>35939.181265117244</c:v>
                </c:pt>
                <c:pt idx="718">
                  <c:v>21630.423251134103</c:v>
                </c:pt>
                <c:pt idx="719">
                  <c:v>54237.74819017548</c:v>
                </c:pt>
                <c:pt idx="720">
                  <c:v>29385.642765204302</c:v>
                </c:pt>
                <c:pt idx="721">
                  <c:v>57165.155704582234</c:v>
                </c:pt>
                <c:pt idx="722">
                  <c:v>38056.699420430443</c:v>
                </c:pt>
                <c:pt idx="723">
                  <c:v>23869.47065376622</c:v>
                </c:pt>
                <c:pt idx="724">
                  <c:v>41675.823429505421</c:v>
                </c:pt>
                <c:pt idx="725">
                  <c:v>39253.688629580742</c:v>
                </c:pt>
                <c:pt idx="726">
                  <c:v>32484.377957269</c:v>
                </c:pt>
                <c:pt idx="727">
                  <c:v>30247.866599482906</c:v>
                </c:pt>
                <c:pt idx="728">
                  <c:v>43986.003744943584</c:v>
                </c:pt>
                <c:pt idx="729">
                  <c:v>60743.717232326147</c:v>
                </c:pt>
                <c:pt idx="730">
                  <c:v>37785.796178126802</c:v>
                </c:pt>
                <c:pt idx="731">
                  <c:v>23726.775459710803</c:v>
                </c:pt>
                <c:pt idx="732">
                  <c:v>31327.581267282942</c:v>
                </c:pt>
                <c:pt idx="733">
                  <c:v>45809.096998757239</c:v>
                </c:pt>
                <c:pt idx="734">
                  <c:v>64439.063088181152</c:v>
                </c:pt>
                <c:pt idx="735">
                  <c:v>42368.37449054973</c:v>
                </c:pt>
                <c:pt idx="736">
                  <c:v>42375.510061657893</c:v>
                </c:pt>
                <c:pt idx="737">
                  <c:v>30146.688360773125</c:v>
                </c:pt>
                <c:pt idx="738">
                  <c:v>53416.598722030278</c:v>
                </c:pt>
                <c:pt idx="739">
                  <c:v>50257.796310742255</c:v>
                </c:pt>
                <c:pt idx="740">
                  <c:v>37941.6145956256</c:v>
                </c:pt>
                <c:pt idx="741">
                  <c:v>57597.06222968112</c:v>
                </c:pt>
                <c:pt idx="742">
                  <c:v>36458.383765771025</c:v>
                </c:pt>
                <c:pt idx="743">
                  <c:v>30651.519185564433</c:v>
                </c:pt>
                <c:pt idx="744">
                  <c:v>23951.691844964051</c:v>
                </c:pt>
                <c:pt idx="745">
                  <c:v>25161.63243433107</c:v>
                </c:pt>
                <c:pt idx="746">
                  <c:v>45629.871700458767</c:v>
                </c:pt>
                <c:pt idx="747">
                  <c:v>33796.267094857372</c:v>
                </c:pt>
                <c:pt idx="748">
                  <c:v>30511.127749712407</c:v>
                </c:pt>
                <c:pt idx="749">
                  <c:v>35305.638653370406</c:v>
                </c:pt>
                <c:pt idx="750">
                  <c:v>19338.183296294927</c:v>
                </c:pt>
                <c:pt idx="751">
                  <c:v>24509.320720364307</c:v>
                </c:pt>
                <c:pt idx="752">
                  <c:v>28192.756005992702</c:v>
                </c:pt>
                <c:pt idx="753">
                  <c:v>42625.799150911749</c:v>
                </c:pt>
                <c:pt idx="754">
                  <c:v>29204.792746629402</c:v>
                </c:pt>
                <c:pt idx="755">
                  <c:v>40296.000555129402</c:v>
                </c:pt>
                <c:pt idx="756">
                  <c:v>27799.110077129822</c:v>
                </c:pt>
                <c:pt idx="757">
                  <c:v>39011.932795270397</c:v>
                </c:pt>
                <c:pt idx="758">
                  <c:v>20380.7844170723</c:v>
                </c:pt>
                <c:pt idx="759">
                  <c:v>23312.472107834568</c:v>
                </c:pt>
                <c:pt idx="760">
                  <c:v>33400.630714689556</c:v>
                </c:pt>
                <c:pt idx="761">
                  <c:v>24413.747450772666</c:v>
                </c:pt>
                <c:pt idx="762">
                  <c:v>34191.453587563097</c:v>
                </c:pt>
                <c:pt idx="763">
                  <c:v>22372.408186239263</c:v>
                </c:pt>
                <c:pt idx="764">
                  <c:v>54331.223580366262</c:v>
                </c:pt>
                <c:pt idx="765">
                  <c:v>40888.782786022646</c:v>
                </c:pt>
                <c:pt idx="766">
                  <c:v>75566.980177417601</c:v>
                </c:pt>
                <c:pt idx="767">
                  <c:v>45070.937269617905</c:v>
                </c:pt>
                <c:pt idx="768">
                  <c:v>59439.887631486083</c:v>
                </c:pt>
                <c:pt idx="769">
                  <c:v>40235.479567162409</c:v>
                </c:pt>
                <c:pt idx="770">
                  <c:v>59695.329149108446</c:v>
                </c:pt>
                <c:pt idx="771">
                  <c:v>26424.595477082279</c:v>
                </c:pt>
                <c:pt idx="772">
                  <c:v>28617.860286554678</c:v>
                </c:pt>
                <c:pt idx="773">
                  <c:v>42204.380266324857</c:v>
                </c:pt>
                <c:pt idx="774">
                  <c:v>54092.286399203564</c:v>
                </c:pt>
                <c:pt idx="775">
                  <c:v>37579.789227309629</c:v>
                </c:pt>
                <c:pt idx="776">
                  <c:v>46545.689429227248</c:v>
                </c:pt>
                <c:pt idx="777">
                  <c:v>25092.955827005073</c:v>
                </c:pt>
                <c:pt idx="778">
                  <c:v>39424.84077657439</c:v>
                </c:pt>
                <c:pt idx="779">
                  <c:v>27576.310809031609</c:v>
                </c:pt>
                <c:pt idx="780">
                  <c:v>61391.473765879731</c:v>
                </c:pt>
                <c:pt idx="781">
                  <c:v>35792.815912499878</c:v>
                </c:pt>
                <c:pt idx="782">
                  <c:v>29346.125668036308</c:v>
                </c:pt>
                <c:pt idx="783">
                  <c:v>32809.635560440169</c:v>
                </c:pt>
                <c:pt idx="784">
                  <c:v>53070.500442461256</c:v>
                </c:pt>
                <c:pt idx="785">
                  <c:v>47312.783090282705</c:v>
                </c:pt>
                <c:pt idx="786">
                  <c:v>37283.922078628471</c:v>
                </c:pt>
                <c:pt idx="787">
                  <c:v>29030.429440340085</c:v>
                </c:pt>
                <c:pt idx="788">
                  <c:v>21462.382658469072</c:v>
                </c:pt>
                <c:pt idx="789">
                  <c:v>46474.363830956943</c:v>
                </c:pt>
                <c:pt idx="790">
                  <c:v>34231.857148320843</c:v>
                </c:pt>
                <c:pt idx="791">
                  <c:v>36251.126044840261</c:v>
                </c:pt>
                <c:pt idx="792">
                  <c:v>38831.846013278366</c:v>
                </c:pt>
                <c:pt idx="793">
                  <c:v>43338.676179956907</c:v>
                </c:pt>
                <c:pt idx="794">
                  <c:v>38492.533023131451</c:v>
                </c:pt>
                <c:pt idx="795">
                  <c:v>28686.794323170005</c:v>
                </c:pt>
                <c:pt idx="796">
                  <c:v>34789.639621892522</c:v>
                </c:pt>
                <c:pt idx="797">
                  <c:v>35314.462636116208</c:v>
                </c:pt>
                <c:pt idx="798">
                  <c:v>30267.914710022196</c:v>
                </c:pt>
                <c:pt idx="799">
                  <c:v>28955.644564083646</c:v>
                </c:pt>
                <c:pt idx="800">
                  <c:v>50897.722105847897</c:v>
                </c:pt>
                <c:pt idx="801">
                  <c:v>24633.644507127614</c:v>
                </c:pt>
                <c:pt idx="802">
                  <c:v>40752.050710157448</c:v>
                </c:pt>
                <c:pt idx="803">
                  <c:v>45526.277420999068</c:v>
                </c:pt>
                <c:pt idx="804">
                  <c:v>38663.222030384495</c:v>
                </c:pt>
                <c:pt idx="805">
                  <c:v>55326.113175833394</c:v>
                </c:pt>
                <c:pt idx="806">
                  <c:v>54763.292103061671</c:v>
                </c:pt>
                <c:pt idx="807">
                  <c:v>31771.186985663262</c:v>
                </c:pt>
                <c:pt idx="808">
                  <c:v>48389.83886829736</c:v>
                </c:pt>
                <c:pt idx="809">
                  <c:v>33601.305743486679</c:v>
                </c:pt>
                <c:pt idx="810">
                  <c:v>34821.51378274848</c:v>
                </c:pt>
                <c:pt idx="811">
                  <c:v>39325.908097509244</c:v>
                </c:pt>
                <c:pt idx="812">
                  <c:v>34221.503925052617</c:v>
                </c:pt>
                <c:pt idx="813">
                  <c:v>39328.176236354004</c:v>
                </c:pt>
                <c:pt idx="814">
                  <c:v>42446.684758888827</c:v>
                </c:pt>
                <c:pt idx="815">
                  <c:v>46573.503544856831</c:v>
                </c:pt>
                <c:pt idx="816">
                  <c:v>29042.423428469447</c:v>
                </c:pt>
                <c:pt idx="817">
                  <c:v>33212.450746062808</c:v>
                </c:pt>
                <c:pt idx="818">
                  <c:v>22740.60470942051</c:v>
                </c:pt>
                <c:pt idx="819">
                  <c:v>43281.450902079916</c:v>
                </c:pt>
                <c:pt idx="820">
                  <c:v>37136.92619239862</c:v>
                </c:pt>
                <c:pt idx="821">
                  <c:v>41474.39097592156</c:v>
                </c:pt>
                <c:pt idx="822">
                  <c:v>40154.402423812484</c:v>
                </c:pt>
                <c:pt idx="823">
                  <c:v>47189.599977963851</c:v>
                </c:pt>
                <c:pt idx="824">
                  <c:v>34327.577374446533</c:v>
                </c:pt>
                <c:pt idx="825">
                  <c:v>28278.657057323464</c:v>
                </c:pt>
                <c:pt idx="826">
                  <c:v>35814.202908660365</c:v>
                </c:pt>
                <c:pt idx="827">
                  <c:v>39945.030453762723</c:v>
                </c:pt>
                <c:pt idx="828">
                  <c:v>30212.342333257708</c:v>
                </c:pt>
                <c:pt idx="829">
                  <c:v>24196.27983378365</c:v>
                </c:pt>
                <c:pt idx="830">
                  <c:v>30440.007034408824</c:v>
                </c:pt>
                <c:pt idx="831">
                  <c:v>49442.956842690837</c:v>
                </c:pt>
                <c:pt idx="832">
                  <c:v>28298.996563538465</c:v>
                </c:pt>
                <c:pt idx="833">
                  <c:v>31791.780679836611</c:v>
                </c:pt>
                <c:pt idx="834">
                  <c:v>35268.17491757893</c:v>
                </c:pt>
                <c:pt idx="835">
                  <c:v>36905.504508035709</c:v>
                </c:pt>
                <c:pt idx="836">
                  <c:v>41921.427499114543</c:v>
                </c:pt>
                <c:pt idx="837">
                  <c:v>32533.637868930153</c:v>
                </c:pt>
                <c:pt idx="838">
                  <c:v>44230.816508441261</c:v>
                </c:pt>
                <c:pt idx="839">
                  <c:v>28754.101915885993</c:v>
                </c:pt>
                <c:pt idx="840">
                  <c:v>34867.834229403197</c:v>
                </c:pt>
                <c:pt idx="841">
                  <c:v>35178.298439251877</c:v>
                </c:pt>
                <c:pt idx="842">
                  <c:v>33676.212549291653</c:v>
                </c:pt>
                <c:pt idx="843">
                  <c:v>45005.906893036277</c:v>
                </c:pt>
                <c:pt idx="844">
                  <c:v>27476.74246060097</c:v>
                </c:pt>
                <c:pt idx="845">
                  <c:v>44214.023238216905</c:v>
                </c:pt>
                <c:pt idx="846">
                  <c:v>38964.180848962445</c:v>
                </c:pt>
                <c:pt idx="847">
                  <c:v>39719.91552171309</c:v>
                </c:pt>
                <c:pt idx="848">
                  <c:v>27897.756082900098</c:v>
                </c:pt>
                <c:pt idx="849">
                  <c:v>46131.80832122545</c:v>
                </c:pt>
                <c:pt idx="850">
                  <c:v>43217.659116683528</c:v>
                </c:pt>
                <c:pt idx="851">
                  <c:v>28979.987359195726</c:v>
                </c:pt>
                <c:pt idx="852">
                  <c:v>49630.98108139306</c:v>
                </c:pt>
                <c:pt idx="853">
                  <c:v>48052.92603658927</c:v>
                </c:pt>
                <c:pt idx="854">
                  <c:v>32852.836558885661</c:v>
                </c:pt>
                <c:pt idx="855">
                  <c:v>51773.303776327069</c:v>
                </c:pt>
                <c:pt idx="856">
                  <c:v>29451.148824495383</c:v>
                </c:pt>
                <c:pt idx="857">
                  <c:v>27742.001371978702</c:v>
                </c:pt>
                <c:pt idx="858">
                  <c:v>40959.416940171453</c:v>
                </c:pt>
                <c:pt idx="859">
                  <c:v>36738.51077254484</c:v>
                </c:pt>
                <c:pt idx="860">
                  <c:v>47934.98622145805</c:v>
                </c:pt>
                <c:pt idx="861">
                  <c:v>38531.464773987253</c:v>
                </c:pt>
                <c:pt idx="862">
                  <c:v>38035.352529126263</c:v>
                </c:pt>
                <c:pt idx="863">
                  <c:v>19903.70887374529</c:v>
                </c:pt>
                <c:pt idx="864">
                  <c:v>41465.024438644788</c:v>
                </c:pt>
                <c:pt idx="865">
                  <c:v>34033.271577248895</c:v>
                </c:pt>
                <c:pt idx="866">
                  <c:v>45950.972579174653</c:v>
                </c:pt>
                <c:pt idx="867">
                  <c:v>43722.991710894268</c:v>
                </c:pt>
                <c:pt idx="868">
                  <c:v>29878.345727763517</c:v>
                </c:pt>
                <c:pt idx="869">
                  <c:v>32450.624494631178</c:v>
                </c:pt>
                <c:pt idx="870">
                  <c:v>41624.704467080031</c:v>
                </c:pt>
                <c:pt idx="871">
                  <c:v>30178.346694606982</c:v>
                </c:pt>
                <c:pt idx="872">
                  <c:v>31116.618992778673</c:v>
                </c:pt>
                <c:pt idx="873">
                  <c:v>47031.530607612855</c:v>
                </c:pt>
                <c:pt idx="874">
                  <c:v>57167.121028968337</c:v>
                </c:pt>
                <c:pt idx="875">
                  <c:v>36286.695393820053</c:v>
                </c:pt>
                <c:pt idx="876">
                  <c:v>25571.328129018049</c:v>
                </c:pt>
                <c:pt idx="877">
                  <c:v>51743.895298470467</c:v>
                </c:pt>
                <c:pt idx="878">
                  <c:v>34348.337518463537</c:v>
                </c:pt>
                <c:pt idx="879">
                  <c:v>48807.312428906087</c:v>
                </c:pt>
                <c:pt idx="880">
                  <c:v>50150.531768222616</c:v>
                </c:pt>
                <c:pt idx="881">
                  <c:v>39354.599659249019</c:v>
                </c:pt>
                <c:pt idx="882">
                  <c:v>37195.939873838812</c:v>
                </c:pt>
                <c:pt idx="883">
                  <c:v>44123.444874366258</c:v>
                </c:pt>
                <c:pt idx="884">
                  <c:v>44993.814453152372</c:v>
                </c:pt>
                <c:pt idx="885">
                  <c:v>41324.712573803117</c:v>
                </c:pt>
                <c:pt idx="886">
                  <c:v>37704.125367606604</c:v>
                </c:pt>
                <c:pt idx="887">
                  <c:v>34799.239104099091</c:v>
                </c:pt>
                <c:pt idx="888">
                  <c:v>45576.688824569101</c:v>
                </c:pt>
                <c:pt idx="889">
                  <c:v>23445.440009050966</c:v>
                </c:pt>
                <c:pt idx="890">
                  <c:v>49138.563597171444</c:v>
                </c:pt>
                <c:pt idx="891">
                  <c:v>40527.746749790516</c:v>
                </c:pt>
                <c:pt idx="892">
                  <c:v>41360.32411041826</c:v>
                </c:pt>
                <c:pt idx="893">
                  <c:v>44540.974373712626</c:v>
                </c:pt>
                <c:pt idx="894">
                  <c:v>27493.503460008378</c:v>
                </c:pt>
                <c:pt idx="895">
                  <c:v>21239.449243587485</c:v>
                </c:pt>
                <c:pt idx="896">
                  <c:v>66101.35539467496</c:v>
                </c:pt>
                <c:pt idx="897">
                  <c:v>36711.439825994174</c:v>
                </c:pt>
                <c:pt idx="898">
                  <c:v>45527.141409648299</c:v>
                </c:pt>
                <c:pt idx="899">
                  <c:v>46002.377558980996</c:v>
                </c:pt>
                <c:pt idx="900">
                  <c:v>55213.114465338498</c:v>
                </c:pt>
                <c:pt idx="901">
                  <c:v>34549.157738977032</c:v>
                </c:pt>
                <c:pt idx="902">
                  <c:v>49873.747441671672</c:v>
                </c:pt>
                <c:pt idx="903">
                  <c:v>53698.341518644782</c:v>
                </c:pt>
                <c:pt idx="904">
                  <c:v>30531.511646179082</c:v>
                </c:pt>
                <c:pt idx="905">
                  <c:v>18579.103003522268</c:v>
                </c:pt>
                <c:pt idx="906">
                  <c:v>38328.256105450455</c:v>
                </c:pt>
                <c:pt idx="907">
                  <c:v>32853.378530897964</c:v>
                </c:pt>
                <c:pt idx="908">
                  <c:v>22669.867276387064</c:v>
                </c:pt>
                <c:pt idx="909">
                  <c:v>43911.694140743697</c:v>
                </c:pt>
                <c:pt idx="910">
                  <c:v>39309.190317793335</c:v>
                </c:pt>
                <c:pt idx="911">
                  <c:v>22561.113401940354</c:v>
                </c:pt>
                <c:pt idx="912">
                  <c:v>55426.708422291063</c:v>
                </c:pt>
                <c:pt idx="913">
                  <c:v>29274.775068678755</c:v>
                </c:pt>
                <c:pt idx="914">
                  <c:v>54969.378730100834</c:v>
                </c:pt>
                <c:pt idx="915">
                  <c:v>27340.885610233385</c:v>
                </c:pt>
                <c:pt idx="916">
                  <c:v>35415.962187542995</c:v>
                </c:pt>
                <c:pt idx="917">
                  <c:v>30970.095011465204</c:v>
                </c:pt>
                <c:pt idx="918">
                  <c:v>49244.752625712223</c:v>
                </c:pt>
                <c:pt idx="919">
                  <c:v>63629.495357692307</c:v>
                </c:pt>
                <c:pt idx="920">
                  <c:v>20105.331856025816</c:v>
                </c:pt>
                <c:pt idx="921">
                  <c:v>38422.729681478908</c:v>
                </c:pt>
                <c:pt idx="922">
                  <c:v>54384.041983313444</c:v>
                </c:pt>
                <c:pt idx="923">
                  <c:v>45228.829124873904</c:v>
                </c:pt>
                <c:pt idx="924">
                  <c:v>47375.380958847418</c:v>
                </c:pt>
                <c:pt idx="925">
                  <c:v>23463.478951604848</c:v>
                </c:pt>
                <c:pt idx="926">
                  <c:v>34575.666363193173</c:v>
                </c:pt>
                <c:pt idx="927">
                  <c:v>53425.008617797052</c:v>
                </c:pt>
                <c:pt idx="928">
                  <c:v>53654.036741785421</c:v>
                </c:pt>
                <c:pt idx="929">
                  <c:v>47761.129912050332</c:v>
                </c:pt>
                <c:pt idx="930">
                  <c:v>46927.842535821808</c:v>
                </c:pt>
                <c:pt idx="931">
                  <c:v>22475.878128407629</c:v>
                </c:pt>
                <c:pt idx="932">
                  <c:v>52299.652077770523</c:v>
                </c:pt>
                <c:pt idx="933">
                  <c:v>35629.463427829316</c:v>
                </c:pt>
                <c:pt idx="934">
                  <c:v>42056.073695754807</c:v>
                </c:pt>
                <c:pt idx="935">
                  <c:v>38195.981979600576</c:v>
                </c:pt>
                <c:pt idx="936">
                  <c:v>24938.340030977743</c:v>
                </c:pt>
                <c:pt idx="937">
                  <c:v>32766.896421289828</c:v>
                </c:pt>
                <c:pt idx="938">
                  <c:v>33768.319845483544</c:v>
                </c:pt>
                <c:pt idx="939">
                  <c:v>23377.294559215956</c:v>
                </c:pt>
                <c:pt idx="940">
                  <c:v>32927.101610500555</c:v>
                </c:pt>
                <c:pt idx="941">
                  <c:v>34825.003543472194</c:v>
                </c:pt>
                <c:pt idx="942">
                  <c:v>23515.695357813238</c:v>
                </c:pt>
                <c:pt idx="943">
                  <c:v>50027.011969886546</c:v>
                </c:pt>
                <c:pt idx="944">
                  <c:v>27943.578124343225</c:v>
                </c:pt>
                <c:pt idx="945">
                  <c:v>38869.066505510193</c:v>
                </c:pt>
                <c:pt idx="946">
                  <c:v>48326.927551360852</c:v>
                </c:pt>
                <c:pt idx="947">
                  <c:v>27045.286071517377</c:v>
                </c:pt>
                <c:pt idx="948">
                  <c:v>58976.210176132729</c:v>
                </c:pt>
                <c:pt idx="949">
                  <c:v>46829.067872555941</c:v>
                </c:pt>
                <c:pt idx="950">
                  <c:v>30635.520624483182</c:v>
                </c:pt>
                <c:pt idx="951">
                  <c:v>15321.332849591974</c:v>
                </c:pt>
                <c:pt idx="952">
                  <c:v>32079.379301214598</c:v>
                </c:pt>
                <c:pt idx="953">
                  <c:v>30503.543785601832</c:v>
                </c:pt>
                <c:pt idx="954">
                  <c:v>26338.84367326444</c:v>
                </c:pt>
                <c:pt idx="955">
                  <c:v>43833.989212595792</c:v>
                </c:pt>
                <c:pt idx="956">
                  <c:v>37219.426108200336</c:v>
                </c:pt>
                <c:pt idx="957">
                  <c:v>38444.148463134858</c:v>
                </c:pt>
                <c:pt idx="958">
                  <c:v>35231.865892297334</c:v>
                </c:pt>
                <c:pt idx="959">
                  <c:v>27330.817221307811</c:v>
                </c:pt>
                <c:pt idx="960">
                  <c:v>36983.285845111575</c:v>
                </c:pt>
                <c:pt idx="961">
                  <c:v>35659.712530483717</c:v>
                </c:pt>
                <c:pt idx="962">
                  <c:v>22260.526919801876</c:v>
                </c:pt>
                <c:pt idx="963">
                  <c:v>44253.61367733997</c:v>
                </c:pt>
                <c:pt idx="964">
                  <c:v>34050.271836536747</c:v>
                </c:pt>
                <c:pt idx="965">
                  <c:v>36421.119880948121</c:v>
                </c:pt>
                <c:pt idx="966">
                  <c:v>40582.836683013149</c:v>
                </c:pt>
                <c:pt idx="967">
                  <c:v>29798.051338123871</c:v>
                </c:pt>
                <c:pt idx="968">
                  <c:v>30177.5263264235</c:v>
                </c:pt>
                <c:pt idx="969">
                  <c:v>46070.507234181714</c:v>
                </c:pt>
                <c:pt idx="970">
                  <c:v>65739.329281888102</c:v>
                </c:pt>
                <c:pt idx="971">
                  <c:v>33560.765847581162</c:v>
                </c:pt>
                <c:pt idx="972">
                  <c:v>50282.903815120793</c:v>
                </c:pt>
                <c:pt idx="973">
                  <c:v>25419.19222657003</c:v>
                </c:pt>
                <c:pt idx="974">
                  <c:v>45175.869469866098</c:v>
                </c:pt>
                <c:pt idx="975">
                  <c:v>37516.123053553623</c:v>
                </c:pt>
                <c:pt idx="976">
                  <c:v>51032.752249121397</c:v>
                </c:pt>
                <c:pt idx="977">
                  <c:v>58646.568674418559</c:v>
                </c:pt>
                <c:pt idx="978">
                  <c:v>34652.537001606368</c:v>
                </c:pt>
                <c:pt idx="979">
                  <c:v>33938.603897190005</c:v>
                </c:pt>
                <c:pt idx="980">
                  <c:v>26876.368676190115</c:v>
                </c:pt>
                <c:pt idx="981">
                  <c:v>40535.346176066625</c:v>
                </c:pt>
                <c:pt idx="982">
                  <c:v>34968.261601992941</c:v>
                </c:pt>
                <c:pt idx="983">
                  <c:v>28836.857418113741</c:v>
                </c:pt>
                <c:pt idx="984">
                  <c:v>42312.217628408711</c:v>
                </c:pt>
                <c:pt idx="985">
                  <c:v>41274.357562829828</c:v>
                </c:pt>
                <c:pt idx="986">
                  <c:v>35439.238521006839</c:v>
                </c:pt>
                <c:pt idx="987">
                  <c:v>29370.021286941508</c:v>
                </c:pt>
                <c:pt idx="988">
                  <c:v>60227.989262537943</c:v>
                </c:pt>
                <c:pt idx="989">
                  <c:v>40028.960785886651</c:v>
                </c:pt>
                <c:pt idx="990">
                  <c:v>52896.636845213492</c:v>
                </c:pt>
                <c:pt idx="991">
                  <c:v>26798.044057557916</c:v>
                </c:pt>
                <c:pt idx="992">
                  <c:v>34754.94406424195</c:v>
                </c:pt>
                <c:pt idx="993">
                  <c:v>61366.360480012605</c:v>
                </c:pt>
                <c:pt idx="994">
                  <c:v>49149.365486049319</c:v>
                </c:pt>
                <c:pt idx="995">
                  <c:v>31203.788469663421</c:v>
                </c:pt>
                <c:pt idx="996">
                  <c:v>41438.779559604263</c:v>
                </c:pt>
                <c:pt idx="997">
                  <c:v>23054.123928807636</c:v>
                </c:pt>
                <c:pt idx="998">
                  <c:v>34756.07105993115</c:v>
                </c:pt>
                <c:pt idx="999">
                  <c:v>41011.539006110725</c:v>
                </c:pt>
              </c:numCache>
            </c:numRef>
          </c:yVal>
          <c:smooth val="0"/>
        </c:ser>
        <c:dLbls>
          <c:showLegendKey val="0"/>
          <c:showVal val="0"/>
          <c:showCatName val="0"/>
          <c:showSerName val="0"/>
          <c:showPercent val="0"/>
          <c:showBubbleSize val="0"/>
        </c:dLbls>
        <c:axId val="-360742752"/>
        <c:axId val="-1225482784"/>
      </c:scatterChart>
      <c:valAx>
        <c:axId val="-360742752"/>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QALYs</a:t>
                </a:r>
              </a:p>
            </c:rich>
          </c:tx>
          <c:layout>
            <c:manualLayout>
              <c:xMode val="edge"/>
              <c:yMode val="edge"/>
              <c:x val="0.46042363433667782"/>
              <c:y val="0.90180032733224225"/>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1225482784"/>
        <c:crossesAt val="0"/>
        <c:crossBetween val="midCat"/>
      </c:valAx>
      <c:valAx>
        <c:axId val="-1225482784"/>
        <c:scaling>
          <c:orientation val="minMax"/>
        </c:scaling>
        <c:delete val="0"/>
        <c:axPos val="l"/>
        <c:title>
          <c:tx>
            <c:rich>
              <a:bodyPr/>
              <a:lstStyle/>
              <a:p>
                <a:pPr>
                  <a:defRPr sz="1850" b="1" i="0" u="none" strike="noStrike" baseline="0">
                    <a:solidFill>
                      <a:srgbClr val="000000"/>
                    </a:solidFill>
                    <a:latin typeface="Arial"/>
                    <a:ea typeface="Arial"/>
                    <a:cs typeface="Arial"/>
                  </a:defRPr>
                </a:pPr>
                <a:r>
                  <a:rPr lang="en-US"/>
                  <a:t>Cost</a:t>
                </a:r>
              </a:p>
            </c:rich>
          </c:tx>
          <c:layout>
            <c:manualLayout>
              <c:xMode val="edge"/>
              <c:yMode val="edge"/>
              <c:x val="1.4492753623188406E-2"/>
              <c:y val="0.42225859247135844"/>
            </c:manualLayout>
          </c:layout>
          <c:overlay val="0"/>
          <c:spPr>
            <a:noFill/>
            <a:ln w="25400">
              <a:noFill/>
            </a:ln>
          </c:spPr>
        </c:title>
        <c:numFmt formatCode="&quot;$&quot;#,##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60742752"/>
        <c:crossesAt val="0"/>
        <c:crossBetween val="midCat"/>
      </c:valAx>
      <c:spPr>
        <a:noFill/>
        <a:ln w="25400">
          <a:noFill/>
        </a:ln>
      </c:spPr>
    </c:plotArea>
    <c:legend>
      <c:legendPos val="r"/>
      <c:layout/>
      <c:overlay val="0"/>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381000</xdr:colOff>
      <xdr:row>30</xdr:row>
      <xdr:rowOff>0</xdr:rowOff>
    </xdr:from>
    <xdr:to>
      <xdr:col>7</xdr:col>
      <xdr:colOff>438150</xdr:colOff>
      <xdr:row>31</xdr:row>
      <xdr:rowOff>171450</xdr:rowOff>
    </xdr:to>
    <xdr:sp macro="[6]!Analysis" textlink="">
      <xdr:nvSpPr>
        <xdr:cNvPr id="2" name="AutoShape 1"/>
        <xdr:cNvSpPr>
          <a:spLocks noChangeArrowheads="1"/>
        </xdr:cNvSpPr>
      </xdr:nvSpPr>
      <xdr:spPr bwMode="auto">
        <a:xfrm>
          <a:off x="2152650" y="5734050"/>
          <a:ext cx="2419350" cy="361950"/>
        </a:xfrm>
        <a:prstGeom prst="bevel">
          <a:avLst>
            <a:gd name="adj" fmla="val 12500"/>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r>
            <a:rPr lang="en-US" sz="1400" b="0" i="0" u="none" strike="noStrike" baseline="0">
              <a:solidFill>
                <a:srgbClr val="000000"/>
              </a:solidFill>
              <a:latin typeface="Arial"/>
              <a:cs typeface="Arial"/>
            </a:rPr>
            <a:t>Run Monte Carlo Simulation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35</xdr:row>
      <xdr:rowOff>85725</xdr:rowOff>
    </xdr:from>
    <xdr:to>
      <xdr:col>3</xdr:col>
      <xdr:colOff>361950</xdr:colOff>
      <xdr:row>39</xdr:row>
      <xdr:rowOff>152400</xdr:rowOff>
    </xdr:to>
    <xdr:sp macro="" textlink="">
      <xdr:nvSpPr>
        <xdr:cNvPr id="2" name="Rectangle 1"/>
        <xdr:cNvSpPr/>
      </xdr:nvSpPr>
      <xdr:spPr>
        <a:xfrm>
          <a:off x="428625" y="3629025"/>
          <a:ext cx="1343025" cy="714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9</xdr:col>
          <xdr:colOff>504825</xdr:colOff>
          <xdr:row>2</xdr:row>
          <xdr:rowOff>47625</xdr:rowOff>
        </xdr:from>
        <xdr:to>
          <xdr:col>11</xdr:col>
          <xdr:colOff>466725</xdr:colOff>
          <xdr:row>3</xdr:row>
          <xdr:rowOff>123825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36</xdr:row>
          <xdr:rowOff>57150</xdr:rowOff>
        </xdr:from>
        <xdr:to>
          <xdr:col>2</xdr:col>
          <xdr:colOff>914400</xdr:colOff>
          <xdr:row>37</xdr:row>
          <xdr:rowOff>104775</xdr:rowOff>
        </xdr:to>
        <xdr:sp macro="" textlink="">
          <xdr:nvSpPr>
            <xdr:cNvPr id="10256" name="Option Button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Deterministic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38</xdr:row>
          <xdr:rowOff>9525</xdr:rowOff>
        </xdr:from>
        <xdr:to>
          <xdr:col>2</xdr:col>
          <xdr:colOff>904875</xdr:colOff>
          <xdr:row>39</xdr:row>
          <xdr:rowOff>57150</xdr:rowOff>
        </xdr:to>
        <xdr:sp macro="" textlink="">
          <xdr:nvSpPr>
            <xdr:cNvPr id="10257" name="Option Button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Probabilistic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161925</xdr:rowOff>
    </xdr:from>
    <xdr:to>
      <xdr:col>1</xdr:col>
      <xdr:colOff>0</xdr:colOff>
      <xdr:row>9</xdr:row>
      <xdr:rowOff>104775</xdr:rowOff>
    </xdr:to>
    <xdr:sp macro="" textlink="">
      <xdr:nvSpPr>
        <xdr:cNvPr id="11" name="Oval 36"/>
        <xdr:cNvSpPr>
          <a:spLocks noChangeArrowheads="1"/>
        </xdr:cNvSpPr>
      </xdr:nvSpPr>
      <xdr:spPr bwMode="auto">
        <a:xfrm>
          <a:off x="0" y="1114425"/>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0</xdr:col>
      <xdr:colOff>561975</xdr:colOff>
      <xdr:row>8</xdr:row>
      <xdr:rowOff>57150</xdr:rowOff>
    </xdr:from>
    <xdr:to>
      <xdr:col>0</xdr:col>
      <xdr:colOff>600075</xdr:colOff>
      <xdr:row>8</xdr:row>
      <xdr:rowOff>95250</xdr:rowOff>
    </xdr:to>
    <xdr:sp macro="" textlink="">
      <xdr:nvSpPr>
        <xdr:cNvPr id="14" name="Line 37"/>
        <xdr:cNvSpPr>
          <a:spLocks noChangeShapeType="1"/>
        </xdr:cNvSpPr>
      </xdr:nvSpPr>
      <xdr:spPr bwMode="auto">
        <a:xfrm>
          <a:off x="561975" y="120015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66675</xdr:colOff>
      <xdr:row>9</xdr:row>
      <xdr:rowOff>57150</xdr:rowOff>
    </xdr:from>
    <xdr:to>
      <xdr:col>6</xdr:col>
      <xdr:colOff>9525</xdr:colOff>
      <xdr:row>11</xdr:row>
      <xdr:rowOff>171450</xdr:rowOff>
    </xdr:to>
    <xdr:sp macro="" textlink="">
      <xdr:nvSpPr>
        <xdr:cNvPr id="15" name="Line 27"/>
        <xdr:cNvSpPr>
          <a:spLocks noChangeShapeType="1"/>
        </xdr:cNvSpPr>
      </xdr:nvSpPr>
      <xdr:spPr bwMode="auto">
        <a:xfrm>
          <a:off x="2505075" y="1390650"/>
          <a:ext cx="1162050" cy="4953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6</xdr:col>
      <xdr:colOff>0</xdr:colOff>
      <xdr:row>11</xdr:row>
      <xdr:rowOff>66675</xdr:rowOff>
    </xdr:from>
    <xdr:to>
      <xdr:col>9</xdr:col>
      <xdr:colOff>0</xdr:colOff>
      <xdr:row>13</xdr:row>
      <xdr:rowOff>171450</xdr:rowOff>
    </xdr:to>
    <xdr:sp macro="" textlink="">
      <xdr:nvSpPr>
        <xdr:cNvPr id="16" name="Oval 20"/>
        <xdr:cNvSpPr>
          <a:spLocks noChangeArrowheads="1"/>
        </xdr:cNvSpPr>
      </xdr:nvSpPr>
      <xdr:spPr bwMode="auto">
        <a:xfrm>
          <a:off x="3657600" y="1781175"/>
          <a:ext cx="1828800" cy="485775"/>
        </a:xfrm>
        <a:prstGeom prst="ellipse">
          <a:avLst/>
        </a:prstGeom>
        <a:pattFill prst="pct25">
          <a:fgClr>
            <a:srgbClr xmlns:mc="http://schemas.openxmlformats.org/markup-compatibility/2006" xmlns:a14="http://schemas.microsoft.com/office/drawing/2010/main" val="FFFFCC" mc:Ignorable="a14" a14:legacySpreadsheetColorIndex="26"/>
          </a:fgClr>
          <a:bgClr>
            <a:srgbClr xmlns:mc="http://schemas.openxmlformats.org/markup-compatibility/2006" xmlns:a14="http://schemas.microsoft.com/office/drawing/2010/main" val="FFFFCC"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6</xdr:col>
      <xdr:colOff>447675</xdr:colOff>
      <xdr:row>11</xdr:row>
      <xdr:rowOff>114300</xdr:rowOff>
    </xdr:from>
    <xdr:to>
      <xdr:col>8</xdr:col>
      <xdr:colOff>190500</xdr:colOff>
      <xdr:row>13</xdr:row>
      <xdr:rowOff>114300</xdr:rowOff>
    </xdr:to>
    <xdr:sp macro="" textlink="">
      <xdr:nvSpPr>
        <xdr:cNvPr id="18" name="Text 32"/>
        <xdr:cNvSpPr txBox="1">
          <a:spLocks noChangeArrowheads="1"/>
        </xdr:cNvSpPr>
      </xdr:nvSpPr>
      <xdr:spPr bwMode="auto">
        <a:xfrm>
          <a:off x="4105275" y="1828800"/>
          <a:ext cx="962025" cy="381000"/>
        </a:xfrm>
        <a:prstGeom prst="rect">
          <a:avLst/>
        </a:prstGeom>
        <a:solidFill>
          <a:srgbClr xmlns:mc="http://schemas.openxmlformats.org/markup-compatibility/2006" xmlns:a14="http://schemas.microsoft.com/office/drawing/2010/main" val="FFFFCC"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Bleeding </a:t>
          </a:r>
        </a:p>
        <a:p>
          <a:pPr algn="ctr" rtl="0">
            <a:defRPr sz="1000"/>
          </a:pPr>
          <a:r>
            <a:rPr lang="en-US" sz="1200" b="1" i="0" u="none" strike="noStrike" baseline="0">
              <a:solidFill>
                <a:srgbClr val="000080"/>
              </a:solidFill>
              <a:latin typeface="Arial Rounded MT Bold"/>
            </a:rPr>
            <a:t>Stop</a:t>
          </a:r>
        </a:p>
      </xdr:txBody>
    </xdr:sp>
    <xdr:clientData/>
  </xdr:twoCellAnchor>
  <xdr:twoCellAnchor>
    <xdr:from>
      <xdr:col>6</xdr:col>
      <xdr:colOff>28575</xdr:colOff>
      <xdr:row>4</xdr:row>
      <xdr:rowOff>57150</xdr:rowOff>
    </xdr:from>
    <xdr:to>
      <xdr:col>9</xdr:col>
      <xdr:colOff>28575</xdr:colOff>
      <xdr:row>6</xdr:row>
      <xdr:rowOff>161925</xdr:rowOff>
    </xdr:to>
    <xdr:sp macro="" textlink="">
      <xdr:nvSpPr>
        <xdr:cNvPr id="20" name="Oval 20"/>
        <xdr:cNvSpPr>
          <a:spLocks noChangeArrowheads="1"/>
        </xdr:cNvSpPr>
      </xdr:nvSpPr>
      <xdr:spPr bwMode="auto">
        <a:xfrm>
          <a:off x="3686175" y="438150"/>
          <a:ext cx="1828800" cy="485775"/>
        </a:xfrm>
        <a:prstGeom prst="ellipse">
          <a:avLst/>
        </a:prstGeom>
        <a:pattFill prst="pct25">
          <a:fgClr>
            <a:srgbClr xmlns:mc="http://schemas.openxmlformats.org/markup-compatibility/2006" xmlns:a14="http://schemas.microsoft.com/office/drawing/2010/main" val="FFFFCC" mc:Ignorable="a14" a14:legacySpreadsheetColorIndex="26"/>
          </a:fgClr>
          <a:bgClr>
            <a:srgbClr xmlns:mc="http://schemas.openxmlformats.org/markup-compatibility/2006" xmlns:a14="http://schemas.microsoft.com/office/drawing/2010/main" val="FFFFCC"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6</xdr:col>
      <xdr:colOff>457200</xdr:colOff>
      <xdr:row>4</xdr:row>
      <xdr:rowOff>180975</xdr:rowOff>
    </xdr:from>
    <xdr:to>
      <xdr:col>8</xdr:col>
      <xdr:colOff>200025</xdr:colOff>
      <xdr:row>6</xdr:row>
      <xdr:rowOff>0</xdr:rowOff>
    </xdr:to>
    <xdr:sp macro="" textlink="">
      <xdr:nvSpPr>
        <xdr:cNvPr id="21" name="Text 32"/>
        <xdr:cNvSpPr txBox="1">
          <a:spLocks noChangeArrowheads="1"/>
        </xdr:cNvSpPr>
      </xdr:nvSpPr>
      <xdr:spPr bwMode="auto">
        <a:xfrm>
          <a:off x="4114800" y="561975"/>
          <a:ext cx="962025" cy="200025"/>
        </a:xfrm>
        <a:prstGeom prst="rect">
          <a:avLst/>
        </a:prstGeom>
        <a:solidFill>
          <a:srgbClr xmlns:mc="http://schemas.openxmlformats.org/markup-compatibility/2006" xmlns:a14="http://schemas.microsoft.com/office/drawing/2010/main" val="FFFFCC"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Thrombosis</a:t>
          </a:r>
        </a:p>
      </xdr:txBody>
    </xdr:sp>
    <xdr:clientData/>
  </xdr:twoCellAnchor>
  <xdr:twoCellAnchor>
    <xdr:from>
      <xdr:col>4</xdr:col>
      <xdr:colOff>47625</xdr:colOff>
      <xdr:row>11</xdr:row>
      <xdr:rowOff>95250</xdr:rowOff>
    </xdr:from>
    <xdr:to>
      <xdr:col>5</xdr:col>
      <xdr:colOff>190501</xdr:colOff>
      <xdr:row>12</xdr:row>
      <xdr:rowOff>47625</xdr:rowOff>
    </xdr:to>
    <xdr:sp macro="" textlink="">
      <xdr:nvSpPr>
        <xdr:cNvPr id="23" name="Text 41"/>
        <xdr:cNvSpPr txBox="1">
          <a:spLocks noChangeArrowheads="1"/>
        </xdr:cNvSpPr>
      </xdr:nvSpPr>
      <xdr:spPr bwMode="auto">
        <a:xfrm>
          <a:off x="2486025" y="1809750"/>
          <a:ext cx="752476" cy="1428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lnSpc>
              <a:spcPts val="700"/>
            </a:lnSpc>
            <a:defRPr sz="1000"/>
          </a:pPr>
          <a:r>
            <a:rPr lang="en-US" sz="800" b="0" i="0" u="none" strike="noStrike" baseline="0">
              <a:solidFill>
                <a:srgbClr val="3333CC"/>
              </a:solidFill>
              <a:latin typeface="Arial"/>
              <a:cs typeface="Arial"/>
            </a:rPr>
            <a:t>pStopBleed</a:t>
          </a:r>
        </a:p>
        <a:p>
          <a:pPr algn="ctr" rtl="0">
            <a:defRPr sz="1000"/>
          </a:pPr>
          <a:endParaRPr lang="en-US" sz="800" b="0" i="0" u="none" strike="noStrike" baseline="0">
            <a:solidFill>
              <a:srgbClr val="3333CC"/>
            </a:solidFill>
            <a:latin typeface="Arial"/>
            <a:cs typeface="Arial"/>
          </a:endParaRPr>
        </a:p>
      </xdr:txBody>
    </xdr:sp>
    <xdr:clientData/>
  </xdr:twoCellAnchor>
  <xdr:twoCellAnchor>
    <xdr:from>
      <xdr:col>4</xdr:col>
      <xdr:colOff>38100</xdr:colOff>
      <xdr:row>6</xdr:row>
      <xdr:rowOff>38100</xdr:rowOff>
    </xdr:from>
    <xdr:to>
      <xdr:col>5</xdr:col>
      <xdr:colOff>180976</xdr:colOff>
      <xdr:row>6</xdr:row>
      <xdr:rowOff>180975</xdr:rowOff>
    </xdr:to>
    <xdr:sp macro="" textlink="">
      <xdr:nvSpPr>
        <xdr:cNvPr id="24" name="Text 41"/>
        <xdr:cNvSpPr txBox="1">
          <a:spLocks noChangeArrowheads="1"/>
        </xdr:cNvSpPr>
      </xdr:nvSpPr>
      <xdr:spPr bwMode="auto">
        <a:xfrm>
          <a:off x="2476500" y="800100"/>
          <a:ext cx="752476" cy="1428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lnSpc>
              <a:spcPts val="700"/>
            </a:lnSpc>
            <a:defRPr sz="1000"/>
          </a:pPr>
          <a:r>
            <a:rPr lang="en-US" sz="800" b="0" i="0" u="none" strike="noStrike" baseline="0">
              <a:solidFill>
                <a:srgbClr val="3333CC"/>
              </a:solidFill>
              <a:latin typeface="Arial"/>
              <a:cs typeface="Arial"/>
            </a:rPr>
            <a:t>pThrombosis</a:t>
          </a:r>
        </a:p>
        <a:p>
          <a:pPr algn="ctr" rtl="0">
            <a:defRPr sz="1000"/>
          </a:pPr>
          <a:endParaRPr lang="en-US" sz="800" b="0" i="0" u="none" strike="noStrike" baseline="0">
            <a:solidFill>
              <a:srgbClr val="3333CC"/>
            </a:solidFill>
            <a:latin typeface="Arial"/>
            <a:cs typeface="Arial"/>
          </a:endParaRPr>
        </a:p>
      </xdr:txBody>
    </xdr:sp>
    <xdr:clientData/>
  </xdr:twoCellAnchor>
  <xdr:twoCellAnchor>
    <xdr:from>
      <xdr:col>4</xdr:col>
      <xdr:colOff>66675</xdr:colOff>
      <xdr:row>6</xdr:row>
      <xdr:rowOff>38100</xdr:rowOff>
    </xdr:from>
    <xdr:to>
      <xdr:col>6</xdr:col>
      <xdr:colOff>9524</xdr:colOff>
      <xdr:row>8</xdr:row>
      <xdr:rowOff>171450</xdr:rowOff>
    </xdr:to>
    <xdr:sp macro="" textlink="">
      <xdr:nvSpPr>
        <xdr:cNvPr id="25" name="Line 27"/>
        <xdr:cNvSpPr>
          <a:spLocks noChangeShapeType="1"/>
        </xdr:cNvSpPr>
      </xdr:nvSpPr>
      <xdr:spPr bwMode="auto">
        <a:xfrm flipV="1">
          <a:off x="2505075" y="800100"/>
          <a:ext cx="1162049" cy="51435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0</xdr:col>
      <xdr:colOff>609599</xdr:colOff>
      <xdr:row>11</xdr:row>
      <xdr:rowOff>0</xdr:rowOff>
    </xdr:from>
    <xdr:to>
      <xdr:col>2</xdr:col>
      <xdr:colOff>447674</xdr:colOff>
      <xdr:row>12</xdr:row>
      <xdr:rowOff>0</xdr:rowOff>
    </xdr:to>
    <xdr:sp macro="" textlink="">
      <xdr:nvSpPr>
        <xdr:cNvPr id="26" name="Text 53"/>
        <xdr:cNvSpPr txBox="1">
          <a:spLocks noChangeArrowheads="1"/>
        </xdr:cNvSpPr>
      </xdr:nvSpPr>
      <xdr:spPr bwMode="auto">
        <a:xfrm>
          <a:off x="609599" y="1714500"/>
          <a:ext cx="1057275" cy="1905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8000"/>
              </a:solidFill>
              <a:latin typeface="Arial"/>
              <a:cs typeface="Arial"/>
            </a:rPr>
            <a:t>uContinuousBLeed</a:t>
          </a:r>
        </a:p>
      </xdr:txBody>
    </xdr:sp>
    <xdr:clientData/>
  </xdr:twoCellAnchor>
  <xdr:twoCellAnchor>
    <xdr:from>
      <xdr:col>1</xdr:col>
      <xdr:colOff>66675</xdr:colOff>
      <xdr:row>6</xdr:row>
      <xdr:rowOff>19049</xdr:rowOff>
    </xdr:from>
    <xdr:to>
      <xdr:col>2</xdr:col>
      <xdr:colOff>542925</xdr:colOff>
      <xdr:row>6</xdr:row>
      <xdr:rowOff>180974</xdr:rowOff>
    </xdr:to>
    <xdr:sp macro="" textlink="">
      <xdr:nvSpPr>
        <xdr:cNvPr id="27" name="Text 55"/>
        <xdr:cNvSpPr txBox="1">
          <a:spLocks noChangeArrowheads="1"/>
        </xdr:cNvSpPr>
      </xdr:nvSpPr>
      <xdr:spPr bwMode="auto">
        <a:xfrm>
          <a:off x="676275" y="781049"/>
          <a:ext cx="1085850" cy="161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cContinuousBleed</a:t>
          </a:r>
        </a:p>
      </xdr:txBody>
    </xdr:sp>
    <xdr:clientData/>
  </xdr:twoCellAnchor>
  <xdr:twoCellAnchor>
    <xdr:from>
      <xdr:col>6</xdr:col>
      <xdr:colOff>400050</xdr:colOff>
      <xdr:row>7</xdr:row>
      <xdr:rowOff>28575</xdr:rowOff>
    </xdr:from>
    <xdr:to>
      <xdr:col>8</xdr:col>
      <xdr:colOff>238125</xdr:colOff>
      <xdr:row>8</xdr:row>
      <xdr:rowOff>28575</xdr:rowOff>
    </xdr:to>
    <xdr:sp macro="" textlink="">
      <xdr:nvSpPr>
        <xdr:cNvPr id="28" name="Text 53"/>
        <xdr:cNvSpPr txBox="1">
          <a:spLocks noChangeArrowheads="1"/>
        </xdr:cNvSpPr>
      </xdr:nvSpPr>
      <xdr:spPr bwMode="auto">
        <a:xfrm>
          <a:off x="4057650" y="981075"/>
          <a:ext cx="1057275" cy="1905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8000"/>
              </a:solidFill>
              <a:latin typeface="Arial"/>
              <a:cs typeface="Arial"/>
            </a:rPr>
            <a:t>uThrombosis</a:t>
          </a:r>
        </a:p>
      </xdr:txBody>
    </xdr:sp>
    <xdr:clientData/>
  </xdr:twoCellAnchor>
  <xdr:twoCellAnchor>
    <xdr:from>
      <xdr:col>6</xdr:col>
      <xdr:colOff>419100</xdr:colOff>
      <xdr:row>3</xdr:row>
      <xdr:rowOff>28575</xdr:rowOff>
    </xdr:from>
    <xdr:to>
      <xdr:col>8</xdr:col>
      <xdr:colOff>285750</xdr:colOff>
      <xdr:row>4</xdr:row>
      <xdr:rowOff>0</xdr:rowOff>
    </xdr:to>
    <xdr:sp macro="" textlink="">
      <xdr:nvSpPr>
        <xdr:cNvPr id="29" name="Text 55"/>
        <xdr:cNvSpPr txBox="1">
          <a:spLocks noChangeArrowheads="1"/>
        </xdr:cNvSpPr>
      </xdr:nvSpPr>
      <xdr:spPr bwMode="auto">
        <a:xfrm>
          <a:off x="4076700" y="609600"/>
          <a:ext cx="1085850" cy="161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cThrombosis</a:t>
          </a:r>
        </a:p>
      </xdr:txBody>
    </xdr:sp>
    <xdr:clientData/>
  </xdr:twoCellAnchor>
  <xdr:twoCellAnchor>
    <xdr:from>
      <xdr:col>6</xdr:col>
      <xdr:colOff>333375</xdr:colOff>
      <xdr:row>14</xdr:row>
      <xdr:rowOff>38100</xdr:rowOff>
    </xdr:from>
    <xdr:to>
      <xdr:col>8</xdr:col>
      <xdr:colOff>171450</xdr:colOff>
      <xdr:row>15</xdr:row>
      <xdr:rowOff>38100</xdr:rowOff>
    </xdr:to>
    <xdr:sp macro="" textlink="">
      <xdr:nvSpPr>
        <xdr:cNvPr id="30" name="Text 53"/>
        <xdr:cNvSpPr txBox="1">
          <a:spLocks noChangeArrowheads="1"/>
        </xdr:cNvSpPr>
      </xdr:nvSpPr>
      <xdr:spPr bwMode="auto">
        <a:xfrm>
          <a:off x="3990975" y="2324100"/>
          <a:ext cx="1057275" cy="1905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8000"/>
              </a:solidFill>
              <a:latin typeface="Arial"/>
              <a:cs typeface="Arial"/>
            </a:rPr>
            <a:t>uBleedStop</a:t>
          </a:r>
        </a:p>
      </xdr:txBody>
    </xdr:sp>
    <xdr:clientData/>
  </xdr:twoCellAnchor>
  <xdr:twoCellAnchor>
    <xdr:from>
      <xdr:col>6</xdr:col>
      <xdr:colOff>342900</xdr:colOff>
      <xdr:row>10</xdr:row>
      <xdr:rowOff>28575</xdr:rowOff>
    </xdr:from>
    <xdr:to>
      <xdr:col>8</xdr:col>
      <xdr:colOff>209550</xdr:colOff>
      <xdr:row>11</xdr:row>
      <xdr:rowOff>0</xdr:rowOff>
    </xdr:to>
    <xdr:sp macro="" textlink="">
      <xdr:nvSpPr>
        <xdr:cNvPr id="31" name="Text 55"/>
        <xdr:cNvSpPr txBox="1">
          <a:spLocks noChangeArrowheads="1"/>
        </xdr:cNvSpPr>
      </xdr:nvSpPr>
      <xdr:spPr bwMode="auto">
        <a:xfrm>
          <a:off x="4000500" y="1552575"/>
          <a:ext cx="1085850" cy="161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cBleedStop</a:t>
          </a:r>
        </a:p>
      </xdr:txBody>
    </xdr:sp>
    <xdr:clientData/>
  </xdr:twoCellAnchor>
  <xdr:twoCellAnchor>
    <xdr:from>
      <xdr:col>1</xdr:col>
      <xdr:colOff>0</xdr:colOff>
      <xdr:row>7</xdr:row>
      <xdr:rowOff>142875</xdr:rowOff>
    </xdr:from>
    <xdr:to>
      <xdr:col>4</xdr:col>
      <xdr:colOff>0</xdr:colOff>
      <xdr:row>10</xdr:row>
      <xdr:rowOff>57150</xdr:rowOff>
    </xdr:to>
    <xdr:sp macro="" textlink="">
      <xdr:nvSpPr>
        <xdr:cNvPr id="22" name="Oval 20"/>
        <xdr:cNvSpPr>
          <a:spLocks noChangeArrowheads="1"/>
        </xdr:cNvSpPr>
      </xdr:nvSpPr>
      <xdr:spPr bwMode="auto">
        <a:xfrm>
          <a:off x="609600" y="1485900"/>
          <a:ext cx="1828800" cy="485775"/>
        </a:xfrm>
        <a:prstGeom prst="ellipse">
          <a:avLst/>
        </a:prstGeom>
        <a:pattFill prst="pct25">
          <a:fgClr>
            <a:srgbClr xmlns:mc="http://schemas.openxmlformats.org/markup-compatibility/2006" xmlns:a14="http://schemas.microsoft.com/office/drawing/2010/main" val="FFFFCC" mc:Ignorable="a14" a14:legacySpreadsheetColorIndex="26"/>
          </a:fgClr>
          <a:bgClr>
            <a:srgbClr xmlns:mc="http://schemas.openxmlformats.org/markup-compatibility/2006" xmlns:a14="http://schemas.microsoft.com/office/drawing/2010/main" val="FFFFCC"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1</xdr:col>
      <xdr:colOff>409575</xdr:colOff>
      <xdr:row>8</xdr:row>
      <xdr:rowOff>9525</xdr:rowOff>
    </xdr:from>
    <xdr:to>
      <xdr:col>3</xdr:col>
      <xdr:colOff>152400</xdr:colOff>
      <xdr:row>10</xdr:row>
      <xdr:rowOff>9525</xdr:rowOff>
    </xdr:to>
    <xdr:sp macro="" textlink="">
      <xdr:nvSpPr>
        <xdr:cNvPr id="33" name="Text 32"/>
        <xdr:cNvSpPr txBox="1">
          <a:spLocks noChangeArrowheads="1"/>
        </xdr:cNvSpPr>
      </xdr:nvSpPr>
      <xdr:spPr bwMode="auto">
        <a:xfrm>
          <a:off x="1019175" y="1543050"/>
          <a:ext cx="962025" cy="381000"/>
        </a:xfrm>
        <a:prstGeom prst="rect">
          <a:avLst/>
        </a:prstGeom>
        <a:solidFill>
          <a:srgbClr xmlns:mc="http://schemas.openxmlformats.org/markup-compatibility/2006" xmlns:a14="http://schemas.microsoft.com/office/drawing/2010/main" val="FFFFCC"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Cont.</a:t>
          </a:r>
        </a:p>
        <a:p>
          <a:pPr algn="ctr" rtl="0">
            <a:defRPr sz="1000"/>
          </a:pPr>
          <a:r>
            <a:rPr lang="en-US" sz="1200" b="1" i="0" u="none" strike="noStrike" baseline="0">
              <a:solidFill>
                <a:srgbClr val="000080"/>
              </a:solidFill>
              <a:latin typeface="Arial Rounded MT Bold"/>
            </a:rPr>
            <a:t>Bleeding</a:t>
          </a:r>
        </a:p>
      </xdr:txBody>
    </xdr:sp>
    <xdr:clientData/>
  </xdr:twoCellAnchor>
  <xdr:twoCellAnchor>
    <xdr:from>
      <xdr:col>9</xdr:col>
      <xdr:colOff>38100</xdr:colOff>
      <xdr:row>7</xdr:row>
      <xdr:rowOff>142875</xdr:rowOff>
    </xdr:from>
    <xdr:to>
      <xdr:col>12</xdr:col>
      <xdr:colOff>38100</xdr:colOff>
      <xdr:row>10</xdr:row>
      <xdr:rowOff>57150</xdr:rowOff>
    </xdr:to>
    <xdr:sp macro="" textlink="">
      <xdr:nvSpPr>
        <xdr:cNvPr id="32" name="Oval 20"/>
        <xdr:cNvSpPr>
          <a:spLocks noChangeArrowheads="1"/>
        </xdr:cNvSpPr>
      </xdr:nvSpPr>
      <xdr:spPr bwMode="auto">
        <a:xfrm>
          <a:off x="5524500" y="1485900"/>
          <a:ext cx="1828800" cy="485775"/>
        </a:xfrm>
        <a:prstGeom prst="ellipse">
          <a:avLst/>
        </a:prstGeom>
        <a:pattFill prst="pct25">
          <a:fgClr>
            <a:srgbClr xmlns:mc="http://schemas.openxmlformats.org/markup-compatibility/2006" xmlns:a14="http://schemas.microsoft.com/office/drawing/2010/main" val="FFFFCC" mc:Ignorable="a14" a14:legacySpreadsheetColorIndex="26"/>
          </a:fgClr>
          <a:bgClr>
            <a:srgbClr xmlns:mc="http://schemas.openxmlformats.org/markup-compatibility/2006" xmlns:a14="http://schemas.microsoft.com/office/drawing/2010/main" val="FFFFCC"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9</xdr:col>
      <xdr:colOff>476250</xdr:colOff>
      <xdr:row>8</xdr:row>
      <xdr:rowOff>76200</xdr:rowOff>
    </xdr:from>
    <xdr:to>
      <xdr:col>11</xdr:col>
      <xdr:colOff>219075</xdr:colOff>
      <xdr:row>9</xdr:row>
      <xdr:rowOff>114300</xdr:rowOff>
    </xdr:to>
    <xdr:sp macro="" textlink="">
      <xdr:nvSpPr>
        <xdr:cNvPr id="34" name="Text 32"/>
        <xdr:cNvSpPr txBox="1">
          <a:spLocks noChangeArrowheads="1"/>
        </xdr:cNvSpPr>
      </xdr:nvSpPr>
      <xdr:spPr bwMode="auto">
        <a:xfrm>
          <a:off x="5962650" y="1609725"/>
          <a:ext cx="962025" cy="228600"/>
        </a:xfrm>
        <a:prstGeom prst="rect">
          <a:avLst/>
        </a:prstGeom>
        <a:solidFill>
          <a:srgbClr xmlns:mc="http://schemas.openxmlformats.org/markup-compatibility/2006" xmlns:a14="http://schemas.microsoft.com/office/drawing/2010/main" val="FFFFCC"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Death</a:t>
          </a:r>
        </a:p>
      </xdr:txBody>
    </xdr:sp>
    <xdr:clientData/>
  </xdr:twoCellAnchor>
  <xdr:twoCellAnchor>
    <xdr:from>
      <xdr:col>4</xdr:col>
      <xdr:colOff>66675</xdr:colOff>
      <xdr:row>9</xdr:row>
      <xdr:rowOff>9523</xdr:rowOff>
    </xdr:from>
    <xdr:to>
      <xdr:col>9</xdr:col>
      <xdr:colOff>0</xdr:colOff>
      <xdr:row>9</xdr:row>
      <xdr:rowOff>9524</xdr:rowOff>
    </xdr:to>
    <xdr:sp macro="" textlink="">
      <xdr:nvSpPr>
        <xdr:cNvPr id="35" name="Line 27"/>
        <xdr:cNvSpPr>
          <a:spLocks noChangeShapeType="1"/>
        </xdr:cNvSpPr>
      </xdr:nvSpPr>
      <xdr:spPr bwMode="auto">
        <a:xfrm flipV="1">
          <a:off x="2505075" y="1733548"/>
          <a:ext cx="2981325" cy="1"/>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7</xdr:col>
      <xdr:colOff>352425</xdr:colOff>
      <xdr:row>9</xdr:row>
      <xdr:rowOff>95250</xdr:rowOff>
    </xdr:from>
    <xdr:to>
      <xdr:col>8</xdr:col>
      <xdr:colOff>495301</xdr:colOff>
      <xdr:row>10</xdr:row>
      <xdr:rowOff>47625</xdr:rowOff>
    </xdr:to>
    <xdr:sp macro="" textlink="">
      <xdr:nvSpPr>
        <xdr:cNvPr id="36" name="Text 41"/>
        <xdr:cNvSpPr txBox="1">
          <a:spLocks noChangeArrowheads="1"/>
        </xdr:cNvSpPr>
      </xdr:nvSpPr>
      <xdr:spPr bwMode="auto">
        <a:xfrm>
          <a:off x="4619625" y="1819275"/>
          <a:ext cx="752476" cy="1428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lnSpc>
              <a:spcPts val="700"/>
            </a:lnSpc>
            <a:defRPr sz="1000"/>
          </a:pPr>
          <a:r>
            <a:rPr lang="en-US" sz="800" b="0" i="0" u="none" strike="noStrike" baseline="0">
              <a:solidFill>
                <a:srgbClr val="3333CC"/>
              </a:solidFill>
              <a:latin typeface="Arial"/>
              <a:cs typeface="Arial"/>
            </a:rPr>
            <a:t>pDeath</a:t>
          </a:r>
        </a:p>
        <a:p>
          <a:pPr algn="ctr" rtl="0">
            <a:defRPr sz="1000"/>
          </a:pPr>
          <a:endParaRPr lang="en-US" sz="800" b="0" i="0" u="none" strike="noStrike" baseline="0">
            <a:solidFill>
              <a:srgbClr val="3333CC"/>
            </a:solidFill>
            <a:latin typeface="Arial"/>
            <a:cs typeface="Arial"/>
          </a:endParaRPr>
        </a:p>
      </xdr:txBody>
    </xdr:sp>
    <xdr:clientData/>
  </xdr:twoCellAnchor>
  <xdr:twoCellAnchor>
    <xdr:from>
      <xdr:col>5</xdr:col>
      <xdr:colOff>0</xdr:colOff>
      <xdr:row>4</xdr:row>
      <xdr:rowOff>0</xdr:rowOff>
    </xdr:from>
    <xdr:to>
      <xdr:col>6</xdr:col>
      <xdr:colOff>0</xdr:colOff>
      <xdr:row>5</xdr:row>
      <xdr:rowOff>133350</xdr:rowOff>
    </xdr:to>
    <xdr:sp macro="" textlink="">
      <xdr:nvSpPr>
        <xdr:cNvPr id="37" name="Oval 36"/>
        <xdr:cNvSpPr>
          <a:spLocks noChangeArrowheads="1"/>
        </xdr:cNvSpPr>
      </xdr:nvSpPr>
      <xdr:spPr bwMode="auto">
        <a:xfrm>
          <a:off x="3048000" y="771525"/>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6</xdr:col>
      <xdr:colOff>9525</xdr:colOff>
      <xdr:row>4</xdr:row>
      <xdr:rowOff>114300</xdr:rowOff>
    </xdr:from>
    <xdr:to>
      <xdr:col>6</xdr:col>
      <xdr:colOff>47625</xdr:colOff>
      <xdr:row>4</xdr:row>
      <xdr:rowOff>152400</xdr:rowOff>
    </xdr:to>
    <xdr:sp macro="" textlink="">
      <xdr:nvSpPr>
        <xdr:cNvPr id="38" name="Line 37"/>
        <xdr:cNvSpPr>
          <a:spLocks noChangeShapeType="1"/>
        </xdr:cNvSpPr>
      </xdr:nvSpPr>
      <xdr:spPr bwMode="auto">
        <a:xfrm>
          <a:off x="3667125" y="885825"/>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38100</xdr:colOff>
      <xdr:row>12</xdr:row>
      <xdr:rowOff>104775</xdr:rowOff>
    </xdr:from>
    <xdr:to>
      <xdr:col>6</xdr:col>
      <xdr:colOff>38100</xdr:colOff>
      <xdr:row>14</xdr:row>
      <xdr:rowOff>47625</xdr:rowOff>
    </xdr:to>
    <xdr:sp macro="" textlink="">
      <xdr:nvSpPr>
        <xdr:cNvPr id="39" name="Oval 36"/>
        <xdr:cNvSpPr>
          <a:spLocks noChangeArrowheads="1"/>
        </xdr:cNvSpPr>
      </xdr:nvSpPr>
      <xdr:spPr bwMode="auto">
        <a:xfrm>
          <a:off x="3086100" y="2400300"/>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571500</xdr:colOff>
      <xdr:row>12</xdr:row>
      <xdr:rowOff>171450</xdr:rowOff>
    </xdr:from>
    <xdr:to>
      <xdr:col>6</xdr:col>
      <xdr:colOff>0</xdr:colOff>
      <xdr:row>13</xdr:row>
      <xdr:rowOff>19050</xdr:rowOff>
    </xdr:to>
    <xdr:sp macro="" textlink="">
      <xdr:nvSpPr>
        <xdr:cNvPr id="40" name="Line 37"/>
        <xdr:cNvSpPr>
          <a:spLocks noChangeShapeType="1"/>
        </xdr:cNvSpPr>
      </xdr:nvSpPr>
      <xdr:spPr bwMode="auto">
        <a:xfrm>
          <a:off x="3619500" y="2466975"/>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12</xdr:col>
      <xdr:colOff>76200</xdr:colOff>
      <xdr:row>8</xdr:row>
      <xdr:rowOff>19050</xdr:rowOff>
    </xdr:from>
    <xdr:to>
      <xdr:col>13</xdr:col>
      <xdr:colOff>76200</xdr:colOff>
      <xdr:row>9</xdr:row>
      <xdr:rowOff>152400</xdr:rowOff>
    </xdr:to>
    <xdr:sp macro="" textlink="">
      <xdr:nvSpPr>
        <xdr:cNvPr id="41" name="Oval 36"/>
        <xdr:cNvSpPr>
          <a:spLocks noChangeArrowheads="1"/>
        </xdr:cNvSpPr>
      </xdr:nvSpPr>
      <xdr:spPr bwMode="auto">
        <a:xfrm>
          <a:off x="7391400" y="1552575"/>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12</xdr:col>
      <xdr:colOff>57150</xdr:colOff>
      <xdr:row>8</xdr:row>
      <xdr:rowOff>114299</xdr:rowOff>
    </xdr:from>
    <xdr:to>
      <xdr:col>12</xdr:col>
      <xdr:colOff>104775</xdr:colOff>
      <xdr:row>8</xdr:row>
      <xdr:rowOff>161924</xdr:rowOff>
    </xdr:to>
    <xdr:sp macro="" textlink="">
      <xdr:nvSpPr>
        <xdr:cNvPr id="42" name="Line 37"/>
        <xdr:cNvSpPr>
          <a:spLocks noChangeShapeType="1"/>
        </xdr:cNvSpPr>
      </xdr:nvSpPr>
      <xdr:spPr bwMode="auto">
        <a:xfrm flipH="1">
          <a:off x="7372350" y="1647824"/>
          <a:ext cx="47625" cy="47625"/>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257175</xdr:colOff>
      <xdr:row>0</xdr:row>
      <xdr:rowOff>47625</xdr:rowOff>
    </xdr:from>
    <xdr:to>
      <xdr:col>17</xdr:col>
      <xdr:colOff>28575</xdr:colOff>
      <xdr:row>4</xdr:row>
      <xdr:rowOff>180975</xdr:rowOff>
    </xdr:to>
    <xdr:sp macro="" textlink="">
      <xdr:nvSpPr>
        <xdr:cNvPr id="2" name="TextBox 1"/>
        <xdr:cNvSpPr txBox="1"/>
      </xdr:nvSpPr>
      <xdr:spPr>
        <a:xfrm>
          <a:off x="11744325" y="47625"/>
          <a:ext cx="2724150"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For sensitivity analyses</a:t>
          </a:r>
          <a:r>
            <a:rPr lang="en-US" sz="1100" baseline="0"/>
            <a:t> we can vary the cost, the unit amounts or both. Varying both will introduce lots of uncertainty that will be sometimes difficult to justify so might be better to choose one.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k/Dropbox/Academic%20Coursework/FS2016/PHSC%207611%20CEA/wk10/Example_5.7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ample_5.7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k/OneDrive%20-%20The%20University%20of%20Colorado%20Denver/UC%20Denver/Academic%20Coursework/FS2016/PHSC%207611%20CEA/Project/GERD_briggs_student.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k/OneDrive%20-%20The%20University%20of%20Colorado%20Denver/UC%20Denver/Academic%20Coursework/FS2016/PHSC%207611%20CEA/Project/PHmodelv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ck/OneDrive%20-%20The%20University%20of%20Colorado%20Denver/UC%20Denver/Academic%20Coursework/FS2016/PHSC%207611%20CEA/Project/Mod2_Example_3.5f.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ck/Dropbox/Research/Huy/TTP/Code/TTPmodelv%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inc CE plane"/>
      <sheetName val="Simulation"/>
      <sheetName val="CEA curve"/>
      <sheetName val="Sub-group results"/>
      <sheetName val="Sub-group CEACs"/>
      <sheetName val="Macros"/>
    </sheetNames>
    <sheetDataSet>
      <sheetData sheetId="0"/>
      <sheetData sheetId="1"/>
      <sheetData sheetId="2">
        <row r="8">
          <cell r="B8">
            <v>60</v>
          </cell>
        </row>
        <row r="36">
          <cell r="B36">
            <v>579</v>
          </cell>
        </row>
      </sheetData>
      <sheetData sheetId="3">
        <row r="15">
          <cell r="C15">
            <v>35</v>
          </cell>
        </row>
      </sheetData>
      <sheetData sheetId="4"/>
      <sheetData sheetId="5">
        <row r="6">
          <cell r="A6">
            <v>0</v>
          </cell>
        </row>
        <row r="68">
          <cell r="M68">
            <v>512.43465834364304</v>
          </cell>
          <cell r="O68">
            <v>14.653189614825321</v>
          </cell>
        </row>
      </sheetData>
      <sheetData sheetId="6">
        <row r="7">
          <cell r="C7">
            <v>1.1885569701708398E-4</v>
          </cell>
        </row>
        <row r="8">
          <cell r="C8">
            <v>2.0668743107066234E-4</v>
          </cell>
        </row>
        <row r="9">
          <cell r="C9">
            <v>2.6137848896035099E-4</v>
          </cell>
        </row>
        <row r="10">
          <cell r="C10">
            <v>3.0472751472521153E-4</v>
          </cell>
        </row>
        <row r="11">
          <cell r="C11">
            <v>3.416376814695532E-4</v>
          </cell>
        </row>
        <row r="12">
          <cell r="C12">
            <v>3.7425734652041243E-4</v>
          </cell>
        </row>
        <row r="13">
          <cell r="C13">
            <v>4.0375768278766433E-4</v>
          </cell>
        </row>
        <row r="14">
          <cell r="C14">
            <v>4.3086034210093604E-4</v>
          </cell>
        </row>
        <row r="15">
          <cell r="C15">
            <v>4.560470035290809E-4</v>
          </cell>
        </row>
        <row r="16">
          <cell r="C16">
            <v>4.7965794112503346E-4</v>
          </cell>
        </row>
        <row r="17">
          <cell r="C17">
            <v>5.0194397499225829E-4</v>
          </cell>
        </row>
        <row r="18">
          <cell r="C18">
            <v>5.2309621117774263E-4</v>
          </cell>
        </row>
        <row r="19">
          <cell r="C19">
            <v>5.4326417530836668E-4</v>
          </cell>
        </row>
        <row r="20">
          <cell r="C20">
            <v>5.62567435304695E-4</v>
          </cell>
        </row>
        <row r="21">
          <cell r="C21">
            <v>5.8110335926397916E-4</v>
          </cell>
        </row>
        <row r="22">
          <cell r="C22">
            <v>5.9895247085905989E-4</v>
          </cell>
        </row>
        <row r="23">
          <cell r="C23">
            <v>6.1618225273118998E-4</v>
          </cell>
        </row>
        <row r="24">
          <cell r="C24">
            <v>6.3284991407686064E-4</v>
          </cell>
        </row>
        <row r="25">
          <cell r="C25">
            <v>6.4900444732896023E-4</v>
          </cell>
        </row>
        <row r="26">
          <cell r="C26">
            <v>6.646881849140529E-4</v>
          </cell>
        </row>
        <row r="27">
          <cell r="C27">
            <v>6.7993799688459422E-4</v>
          </cell>
        </row>
        <row r="28">
          <cell r="C28">
            <v>6.9478622565799508E-4</v>
          </cell>
        </row>
        <row r="29">
          <cell r="C29">
            <v>7.09261425051122E-4</v>
          </cell>
        </row>
        <row r="30">
          <cell r="C30">
            <v>7.2338895141477177E-4</v>
          </cell>
        </row>
        <row r="31">
          <cell r="C31">
            <v>7.3719144146722204E-4</v>
          </cell>
        </row>
        <row r="32">
          <cell r="C32">
            <v>7.5068920225673796E-4</v>
          </cell>
        </row>
        <row r="33">
          <cell r="C33">
            <v>7.6390053220509735E-4</v>
          </cell>
        </row>
        <row r="34">
          <cell r="C34">
            <v>7.7684198754024436E-4</v>
          </cell>
        </row>
        <row r="35">
          <cell r="C35">
            <v>7.895286050445538E-4</v>
          </cell>
        </row>
        <row r="36">
          <cell r="C36">
            <v>8.0197408955473559E-4</v>
          </cell>
        </row>
        <row r="37">
          <cell r="C37">
            <v>8.1419097279089581E-4</v>
          </cell>
        </row>
        <row r="38">
          <cell r="C38">
            <v>8.2619074868983677E-4</v>
          </cell>
        </row>
        <row r="39">
          <cell r="C39">
            <v>8.3798398935053253E-4</v>
          </cell>
        </row>
        <row r="40">
          <cell r="C40">
            <v>8.4958044487692952E-4</v>
          </cell>
        </row>
        <row r="41">
          <cell r="C41">
            <v>8.6098912976584341E-4</v>
          </cell>
        </row>
        <row r="42">
          <cell r="C42">
            <v>8.7221839799012102E-4</v>
          </cell>
        </row>
        <row r="43">
          <cell r="C43">
            <v>8.8327600852844412E-4</v>
          </cell>
        </row>
        <row r="44">
          <cell r="C44">
            <v>8.9416918278795166E-4</v>
          </cell>
        </row>
        <row r="45">
          <cell r="C45">
            <v>9.0490465510928431E-4</v>
          </cell>
        </row>
        <row r="46">
          <cell r="C46">
            <v>9.1548871734425941E-4</v>
          </cell>
        </row>
        <row r="47">
          <cell r="C47">
            <v>9.2592725833473555E-4</v>
          </cell>
        </row>
        <row r="48">
          <cell r="C48">
            <v>9.3622579898622327E-4</v>
          </cell>
        </row>
        <row r="49">
          <cell r="C49">
            <v>9.4638952352144035E-4</v>
          </cell>
        </row>
        <row r="50">
          <cell r="C50">
            <v>9.5642330740963732E-4</v>
          </cell>
        </row>
        <row r="51">
          <cell r="C51">
            <v>9.66331742393578E-4</v>
          </cell>
        </row>
        <row r="52">
          <cell r="C52">
            <v>9.761191589737761E-4</v>
          </cell>
        </row>
        <row r="53">
          <cell r="C53">
            <v>9.8578964665785307E-4</v>
          </cell>
        </row>
        <row r="54">
          <cell r="C54">
            <v>9.953470722412483E-4</v>
          </cell>
        </row>
        <row r="55">
          <cell r="C55">
            <v>1.0047950963462116E-3</v>
          </cell>
        </row>
        <row r="56">
          <cell r="C56">
            <v>1.0141371884196948E-3</v>
          </cell>
        </row>
        <row r="57">
          <cell r="C57">
            <v>1.0233766403596745E-3</v>
          </cell>
        </row>
        <row r="58">
          <cell r="C58">
            <v>1.0325165789211166E-3</v>
          </cell>
        </row>
        <row r="59">
          <cell r="C59">
            <v>1.0415599770320361E-3</v>
          </cell>
        </row>
        <row r="60">
          <cell r="C60">
            <v>1.0505096641344469E-3</v>
          </cell>
        </row>
        <row r="61">
          <cell r="C61">
            <v>1.0593683356502348E-3</v>
          </cell>
        </row>
        <row r="62">
          <cell r="C62">
            <v>1.0681385616616579E-3</v>
          </cell>
        </row>
        <row r="63">
          <cell r="C63">
            <v>1.076822794882748E-3</v>
          </cell>
        </row>
        <row r="64">
          <cell r="C64">
            <v>1.0854233779941103E-3</v>
          </cell>
        </row>
        <row r="65">
          <cell r="C65">
            <v>1.093942550398519E-3</v>
          </cell>
        </row>
        <row r="66">
          <cell r="C66">
            <v>1.1023824544542649E-3</v>
          </cell>
        </row>
        <row r="68">
          <cell r="M68">
            <v>610.31181775758273</v>
          </cell>
          <cell r="O68">
            <v>14.697709857306155</v>
          </cell>
        </row>
      </sheetData>
      <sheetData sheetId="7" refreshError="1"/>
      <sheetData sheetId="8">
        <row r="1">
          <cell r="Z1">
            <v>100000</v>
          </cell>
        </row>
      </sheetData>
      <sheetData sheetId="9" refreshError="1"/>
      <sheetData sheetId="10">
        <row r="8">
          <cell r="D8">
            <v>0.79200000000000004</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inc CE plane"/>
      <sheetName val="Simulation"/>
      <sheetName val="CEA curve"/>
      <sheetName val="Sub-group results"/>
      <sheetName val="Sub-group CEACs"/>
      <sheetName val="Macros"/>
    </sheetNames>
    <sheetDataSet>
      <sheetData sheetId="0"/>
      <sheetData sheetId="1"/>
      <sheetData sheetId="2">
        <row r="9">
          <cell r="B9">
            <v>0</v>
          </cell>
        </row>
        <row r="11">
          <cell r="B11">
            <v>0.06</v>
          </cell>
        </row>
        <row r="12">
          <cell r="B12">
            <v>1.4999999999999999E-2</v>
          </cell>
        </row>
        <row r="16">
          <cell r="B16">
            <v>0.02</v>
          </cell>
        </row>
        <row r="17">
          <cell r="B17">
            <v>0.02</v>
          </cell>
        </row>
        <row r="18">
          <cell r="B18">
            <v>0.04</v>
          </cell>
        </row>
        <row r="22">
          <cell r="B22">
            <v>-5.4909350000000003</v>
          </cell>
        </row>
        <row r="23">
          <cell r="B23">
            <v>-3.6702199999999997E-2</v>
          </cell>
        </row>
        <row r="24">
          <cell r="B24">
            <v>0.768536</v>
          </cell>
        </row>
        <row r="25">
          <cell r="B25">
            <v>4.5597754184620288E-4</v>
          </cell>
        </row>
        <row r="26">
          <cell r="B26">
            <v>1.4536778596632325</v>
          </cell>
        </row>
        <row r="27">
          <cell r="B27">
            <v>0.26067678779517234</v>
          </cell>
        </row>
        <row r="28">
          <cell r="B28">
            <v>0</v>
          </cell>
        </row>
        <row r="32">
          <cell r="B32">
            <v>0</v>
          </cell>
        </row>
        <row r="33">
          <cell r="B33">
            <v>5294</v>
          </cell>
        </row>
        <row r="34">
          <cell r="B34">
            <v>0</v>
          </cell>
        </row>
        <row r="35">
          <cell r="B35">
            <v>394</v>
          </cell>
        </row>
        <row r="36">
          <cell r="B36">
            <v>579</v>
          </cell>
        </row>
        <row r="41">
          <cell r="B41">
            <v>0.85</v>
          </cell>
        </row>
        <row r="42">
          <cell r="B42">
            <v>0.75</v>
          </cell>
        </row>
        <row r="43">
          <cell r="B43">
            <v>0.3</v>
          </cell>
        </row>
      </sheetData>
      <sheetData sheetId="3"/>
      <sheetData sheetId="4"/>
      <sheetData sheetId="5">
        <row r="6">
          <cell r="A6">
            <v>0</v>
          </cell>
        </row>
        <row r="7">
          <cell r="A7">
            <v>1</v>
          </cell>
          <cell r="C7">
            <v>4.5587359988585874E-4</v>
          </cell>
          <cell r="E7">
            <v>6.7000000000000002E-3</v>
          </cell>
        </row>
        <row r="8">
          <cell r="A8">
            <v>2</v>
          </cell>
          <cell r="C8">
            <v>7.9265538125916635E-4</v>
          </cell>
          <cell r="E8">
            <v>6.7000000000000002E-3</v>
          </cell>
        </row>
        <row r="9">
          <cell r="A9">
            <v>3</v>
          </cell>
          <cell r="C9">
            <v>1.0023202487118299E-3</v>
          </cell>
          <cell r="E9">
            <v>6.7000000000000002E-3</v>
          </cell>
        </row>
        <row r="10">
          <cell r="A10">
            <v>4</v>
          </cell>
          <cell r="C10">
            <v>1.1684809383689654E-3</v>
          </cell>
          <cell r="E10">
            <v>6.7000000000000002E-3</v>
          </cell>
        </row>
        <row r="11">
          <cell r="A11">
            <v>5</v>
          </cell>
          <cell r="C11">
            <v>1.309944799567142E-3</v>
          </cell>
          <cell r="E11">
            <v>1.9300000000000001E-2</v>
          </cell>
        </row>
        <row r="12">
          <cell r="A12">
            <v>6</v>
          </cell>
          <cell r="C12">
            <v>1.4349523261396602E-3</v>
          </cell>
          <cell r="E12">
            <v>1.9300000000000001E-2</v>
          </cell>
        </row>
        <row r="13">
          <cell r="A13">
            <v>7</v>
          </cell>
          <cell r="C13">
            <v>1.5479957647099862E-3</v>
          </cell>
          <cell r="E13">
            <v>1.9300000000000001E-2</v>
          </cell>
        </row>
        <row r="14">
          <cell r="A14">
            <v>8</v>
          </cell>
          <cell r="C14">
            <v>1.6518431162551028E-3</v>
          </cell>
          <cell r="E14">
            <v>1.9300000000000001E-2</v>
          </cell>
        </row>
        <row r="15">
          <cell r="A15">
            <v>9</v>
          </cell>
          <cell r="C15">
            <v>1.7483419148011103E-3</v>
          </cell>
          <cell r="E15">
            <v>1.9300000000000001E-2</v>
          </cell>
        </row>
        <row r="16">
          <cell r="A16">
            <v>10</v>
          </cell>
          <cell r="C16">
            <v>1.8387973086411158E-3</v>
          </cell>
          <cell r="E16">
            <v>1.9300000000000001E-2</v>
          </cell>
        </row>
        <row r="17">
          <cell r="A17">
            <v>11</v>
          </cell>
          <cell r="C17">
            <v>1.9241713306532571E-3</v>
          </cell>
          <cell r="E17">
            <v>1.9300000000000001E-2</v>
          </cell>
        </row>
        <row r="18">
          <cell r="A18">
            <v>12</v>
          </cell>
          <cell r="C18">
            <v>2.0051969719669938E-3</v>
          </cell>
          <cell r="E18">
            <v>1.9300000000000001E-2</v>
          </cell>
        </row>
        <row r="19">
          <cell r="A19">
            <v>13</v>
          </cell>
          <cell r="C19">
            <v>2.0824477370303685E-3</v>
          </cell>
          <cell r="E19">
            <v>1.9300000000000001E-2</v>
          </cell>
        </row>
        <row r="20">
          <cell r="A20">
            <v>14</v>
          </cell>
          <cell r="C20">
            <v>2.1563822245680431E-3</v>
          </cell>
          <cell r="E20">
            <v>1.9300000000000001E-2</v>
          </cell>
        </row>
        <row r="21">
          <cell r="A21">
            <v>15</v>
          </cell>
          <cell r="C21">
            <v>2.2273738841613877E-3</v>
          </cell>
          <cell r="E21">
            <v>5.3499999999999999E-2</v>
          </cell>
        </row>
        <row r="22">
          <cell r="A22">
            <v>16</v>
          </cell>
          <cell r="C22">
            <v>2.295731557633518E-3</v>
          </cell>
          <cell r="E22">
            <v>5.3499999999999999E-2</v>
          </cell>
        </row>
        <row r="23">
          <cell r="A23">
            <v>17</v>
          </cell>
          <cell r="C23">
            <v>2.361714067431353E-3</v>
          </cell>
          <cell r="E23">
            <v>5.3499999999999999E-2</v>
          </cell>
        </row>
        <row r="24">
          <cell r="A24">
            <v>18</v>
          </cell>
          <cell r="C24">
            <v>2.425540832006079E-3</v>
          </cell>
          <cell r="E24">
            <v>5.3499999999999999E-2</v>
          </cell>
        </row>
        <row r="25">
          <cell r="A25">
            <v>19</v>
          </cell>
          <cell r="C25">
            <v>2.4873997543983783E-3</v>
          </cell>
          <cell r="E25">
            <v>5.3499999999999999E-2</v>
          </cell>
        </row>
        <row r="26">
          <cell r="A26">
            <v>20</v>
          </cell>
          <cell r="C26">
            <v>2.5474531933036282E-3</v>
          </cell>
          <cell r="E26">
            <v>5.3499999999999999E-2</v>
          </cell>
        </row>
        <row r="27">
          <cell r="A27">
            <v>21</v>
          </cell>
          <cell r="C27">
            <v>2.6058425566612975E-3</v>
          </cell>
          <cell r="E27">
            <v>5.3499999999999999E-2</v>
          </cell>
        </row>
        <row r="28">
          <cell r="A28">
            <v>22</v>
          </cell>
          <cell r="C28">
            <v>2.6626918868932758E-3</v>
          </cell>
          <cell r="E28">
            <v>5.3499999999999999E-2</v>
          </cell>
        </row>
        <row r="29">
          <cell r="A29">
            <v>23</v>
          </cell>
          <cell r="C29">
            <v>2.7181106954937695E-3</v>
          </cell>
          <cell r="E29">
            <v>5.3499999999999999E-2</v>
          </cell>
        </row>
        <row r="30">
          <cell r="A30">
            <v>24</v>
          </cell>
          <cell r="C30">
            <v>2.7721962303374204E-3</v>
          </cell>
          <cell r="E30">
            <v>5.3499999999999999E-2</v>
          </cell>
        </row>
        <row r="31">
          <cell r="A31">
            <v>25</v>
          </cell>
          <cell r="C31">
            <v>2.8250353084126045E-3</v>
          </cell>
          <cell r="E31">
            <v>0.15480000000000002</v>
          </cell>
        </row>
        <row r="32">
          <cell r="A32">
            <v>26</v>
          </cell>
          <cell r="C32">
            <v>2.8767058115199973E-3</v>
          </cell>
          <cell r="E32">
            <v>0.15480000000000002</v>
          </cell>
        </row>
        <row r="33">
          <cell r="A33">
            <v>27</v>
          </cell>
          <cell r="C33">
            <v>2.9272779176283681E-3</v>
          </cell>
          <cell r="E33">
            <v>0.15480000000000002</v>
          </cell>
        </row>
        <row r="34">
          <cell r="A34">
            <v>28</v>
          </cell>
          <cell r="C34">
            <v>2.9768151227684836E-3</v>
          </cell>
          <cell r="E34">
            <v>0.15480000000000002</v>
          </cell>
        </row>
        <row r="35">
          <cell r="A35">
            <v>29</v>
          </cell>
          <cell r="C35">
            <v>3.0253750953738168E-3</v>
          </cell>
          <cell r="E35">
            <v>0.15480000000000002</v>
          </cell>
        </row>
        <row r="36">
          <cell r="A36">
            <v>30</v>
          </cell>
          <cell r="C36">
            <v>3.0730103954259569E-3</v>
          </cell>
          <cell r="E36">
            <v>0.15480000000000002</v>
          </cell>
        </row>
        <row r="37">
          <cell r="A37">
            <v>31</v>
          </cell>
          <cell r="C37">
            <v>3.1197690836320957E-3</v>
          </cell>
          <cell r="E37">
            <v>0.15480000000000002</v>
          </cell>
        </row>
        <row r="38">
          <cell r="A38">
            <v>32</v>
          </cell>
          <cell r="C38">
            <v>3.1656952404857108E-3</v>
          </cell>
          <cell r="E38">
            <v>0.15480000000000002</v>
          </cell>
        </row>
        <row r="39">
          <cell r="A39">
            <v>33</v>
          </cell>
          <cell r="C39">
            <v>3.2108294109639557E-3</v>
          </cell>
          <cell r="E39">
            <v>0.15480000000000002</v>
          </cell>
        </row>
        <row r="40">
          <cell r="A40">
            <v>34</v>
          </cell>
          <cell r="C40">
            <v>3.2552089874650081E-3</v>
          </cell>
          <cell r="E40">
            <v>0.15480000000000002</v>
          </cell>
        </row>
        <row r="41">
          <cell r="A41">
            <v>35</v>
          </cell>
          <cell r="C41">
            <v>3.2988685411393659E-3</v>
          </cell>
          <cell r="E41">
            <v>0.15480000000000002</v>
          </cell>
        </row>
        <row r="42">
          <cell r="A42">
            <v>36</v>
          </cell>
          <cell r="C42">
            <v>3.3418401098594952E-3</v>
          </cell>
          <cell r="E42">
            <v>0.15480000000000002</v>
          </cell>
        </row>
        <row r="43">
          <cell r="A43">
            <v>37</v>
          </cell>
          <cell r="C43">
            <v>3.3841534495534509E-3</v>
          </cell>
          <cell r="E43">
            <v>0.15480000000000002</v>
          </cell>
        </row>
        <row r="44">
          <cell r="A44">
            <v>38</v>
          </cell>
          <cell r="C44">
            <v>3.4258362544402621E-3</v>
          </cell>
          <cell r="E44">
            <v>0.15480000000000002</v>
          </cell>
        </row>
        <row r="45">
          <cell r="A45">
            <v>39</v>
          </cell>
          <cell r="C45">
            <v>3.4669143507320976E-3</v>
          </cell>
          <cell r="E45">
            <v>0.15480000000000002</v>
          </cell>
        </row>
        <row r="46">
          <cell r="A46">
            <v>40</v>
          </cell>
          <cell r="C46">
            <v>3.5074118676067245E-3</v>
          </cell>
          <cell r="E46">
            <v>0.15480000000000002</v>
          </cell>
        </row>
        <row r="47">
          <cell r="A47">
            <v>41</v>
          </cell>
          <cell r="C47">
            <v>3.5473513886211672E-3</v>
          </cell>
          <cell r="E47">
            <v>0.15480000000000002</v>
          </cell>
        </row>
        <row r="48">
          <cell r="A48">
            <v>42</v>
          </cell>
          <cell r="C48">
            <v>3.5867540862291047E-3</v>
          </cell>
          <cell r="E48">
            <v>0.15480000000000002</v>
          </cell>
        </row>
        <row r="49">
          <cell r="A49">
            <v>43</v>
          </cell>
          <cell r="C49">
            <v>3.6256398416483204E-3</v>
          </cell>
          <cell r="E49">
            <v>0.15480000000000002</v>
          </cell>
        </row>
        <row r="50">
          <cell r="A50">
            <v>44</v>
          </cell>
          <cell r="C50">
            <v>3.6640273519783495E-3</v>
          </cell>
          <cell r="E50">
            <v>0.15480000000000002</v>
          </cell>
        </row>
        <row r="51">
          <cell r="A51">
            <v>45</v>
          </cell>
          <cell r="C51">
            <v>3.701934226185033E-3</v>
          </cell>
          <cell r="E51">
            <v>0.15480000000000002</v>
          </cell>
        </row>
        <row r="52">
          <cell r="A52">
            <v>46</v>
          </cell>
          <cell r="C52">
            <v>3.7393770713346486E-3</v>
          </cell>
          <cell r="E52">
            <v>0.15480000000000002</v>
          </cell>
        </row>
        <row r="53">
          <cell r="A53">
            <v>47</v>
          </cell>
          <cell r="C53">
            <v>3.7763715702551215E-3</v>
          </cell>
          <cell r="E53">
            <v>0.15480000000000002</v>
          </cell>
        </row>
        <row r="54">
          <cell r="A54">
            <v>48</v>
          </cell>
          <cell r="C54">
            <v>3.8129325516462753E-3</v>
          </cell>
          <cell r="E54">
            <v>0.15480000000000002</v>
          </cell>
        </row>
        <row r="55">
          <cell r="A55">
            <v>49</v>
          </cell>
          <cell r="C55">
            <v>3.8490740535132018E-3</v>
          </cell>
          <cell r="E55">
            <v>0.15480000000000002</v>
          </cell>
        </row>
        <row r="56">
          <cell r="A56">
            <v>50</v>
          </cell>
          <cell r="C56">
            <v>3.8848093806849171E-3</v>
          </cell>
          <cell r="E56">
            <v>0.15480000000000002</v>
          </cell>
        </row>
        <row r="57">
          <cell r="A57">
            <v>51</v>
          </cell>
          <cell r="C57">
            <v>3.9201511570746694E-3</v>
          </cell>
          <cell r="E57">
            <v>0.15480000000000002</v>
          </cell>
        </row>
        <row r="58">
          <cell r="A58">
            <v>52</v>
          </cell>
          <cell r="C58">
            <v>3.9551113732601006E-3</v>
          </cell>
          <cell r="E58">
            <v>0.15480000000000002</v>
          </cell>
        </row>
        <row r="59">
          <cell r="A59">
            <v>53</v>
          </cell>
          <cell r="C59">
            <v>3.9897014298826416E-3</v>
          </cell>
          <cell r="E59">
            <v>0.15480000000000002</v>
          </cell>
        </row>
        <row r="60">
          <cell r="A60">
            <v>54</v>
          </cell>
          <cell r="C60">
            <v>4.0239321773068992E-3</v>
          </cell>
          <cell r="E60">
            <v>0.15480000000000002</v>
          </cell>
        </row>
        <row r="61">
          <cell r="A61">
            <v>55</v>
          </cell>
          <cell r="C61">
            <v>4.0578139519237277E-3</v>
          </cell>
          <cell r="E61">
            <v>0.15480000000000002</v>
          </cell>
        </row>
        <row r="62">
          <cell r="A62">
            <v>56</v>
          </cell>
          <cell r="C62">
            <v>4.0913566094415987E-3</v>
          </cell>
          <cell r="E62">
            <v>0.15480000000000002</v>
          </cell>
        </row>
        <row r="63">
          <cell r="A63">
            <v>57</v>
          </cell>
          <cell r="C63">
            <v>4.1245695554602557E-3</v>
          </cell>
          <cell r="E63">
            <v>0.15480000000000002</v>
          </cell>
        </row>
        <row r="64">
          <cell r="A64">
            <v>58</v>
          </cell>
          <cell r="C64">
            <v>4.1574617735983255E-3</v>
          </cell>
          <cell r="E64">
            <v>0.15480000000000002</v>
          </cell>
        </row>
        <row r="65">
          <cell r="A65">
            <v>59</v>
          </cell>
          <cell r="C65">
            <v>4.1900418514030369E-3</v>
          </cell>
          <cell r="E65">
            <v>0.15480000000000002</v>
          </cell>
        </row>
        <row r="66">
          <cell r="A66">
            <v>60</v>
          </cell>
          <cell r="C66">
            <v>4.2223180042564312E-3</v>
          </cell>
          <cell r="E66">
            <v>0.15480000000000002</v>
          </cell>
        </row>
        <row r="68">
          <cell r="M68">
            <v>512.43465834364304</v>
          </cell>
          <cell r="O68">
            <v>14.653189614825321</v>
          </cell>
        </row>
      </sheetData>
      <sheetData sheetId="6">
        <row r="7">
          <cell r="C7">
            <v>1.1885569701708398E-4</v>
          </cell>
        </row>
        <row r="8">
          <cell r="C8">
            <v>2.0668743107066234E-4</v>
          </cell>
        </row>
        <row r="9">
          <cell r="C9">
            <v>2.6137848896035099E-4</v>
          </cell>
        </row>
        <row r="10">
          <cell r="C10">
            <v>3.0472751472521153E-4</v>
          </cell>
        </row>
        <row r="11">
          <cell r="C11">
            <v>3.416376814695532E-4</v>
          </cell>
        </row>
        <row r="12">
          <cell r="C12">
            <v>3.7425734652041243E-4</v>
          </cell>
        </row>
        <row r="13">
          <cell r="C13">
            <v>4.0375768278766433E-4</v>
          </cell>
        </row>
        <row r="14">
          <cell r="C14">
            <v>4.3086034210093604E-4</v>
          </cell>
        </row>
        <row r="15">
          <cell r="C15">
            <v>4.560470035290809E-4</v>
          </cell>
        </row>
        <row r="16">
          <cell r="C16">
            <v>4.7965794112503346E-4</v>
          </cell>
        </row>
        <row r="17">
          <cell r="C17">
            <v>5.0194397499225829E-4</v>
          </cell>
        </row>
        <row r="18">
          <cell r="C18">
            <v>5.2309621117774263E-4</v>
          </cell>
        </row>
        <row r="19">
          <cell r="C19">
            <v>5.4326417530836668E-4</v>
          </cell>
        </row>
        <row r="20">
          <cell r="C20">
            <v>5.62567435304695E-4</v>
          </cell>
        </row>
        <row r="21">
          <cell r="C21">
            <v>5.8110335926397916E-4</v>
          </cell>
        </row>
        <row r="22">
          <cell r="C22">
            <v>5.9895247085905989E-4</v>
          </cell>
        </row>
        <row r="23">
          <cell r="C23">
            <v>6.1618225273118998E-4</v>
          </cell>
        </row>
        <row r="24">
          <cell r="C24">
            <v>6.3284991407686064E-4</v>
          </cell>
        </row>
        <row r="25">
          <cell r="C25">
            <v>6.4900444732896023E-4</v>
          </cell>
        </row>
        <row r="26">
          <cell r="C26">
            <v>6.646881849140529E-4</v>
          </cell>
        </row>
        <row r="27">
          <cell r="C27">
            <v>6.7993799688459422E-4</v>
          </cell>
        </row>
        <row r="28">
          <cell r="C28">
            <v>6.9478622565799508E-4</v>
          </cell>
        </row>
        <row r="29">
          <cell r="C29">
            <v>7.09261425051122E-4</v>
          </cell>
        </row>
        <row r="30">
          <cell r="C30">
            <v>7.2338895141477177E-4</v>
          </cell>
        </row>
        <row r="31">
          <cell r="C31">
            <v>7.3719144146722204E-4</v>
          </cell>
        </row>
        <row r="32">
          <cell r="C32">
            <v>7.5068920225673796E-4</v>
          </cell>
        </row>
        <row r="33">
          <cell r="C33">
            <v>7.6390053220509735E-4</v>
          </cell>
        </row>
        <row r="34">
          <cell r="C34">
            <v>7.7684198754024436E-4</v>
          </cell>
        </row>
        <row r="35">
          <cell r="C35">
            <v>7.895286050445538E-4</v>
          </cell>
        </row>
        <row r="36">
          <cell r="C36">
            <v>8.0197408955473559E-4</v>
          </cell>
        </row>
        <row r="37">
          <cell r="C37">
            <v>8.1419097279089581E-4</v>
          </cell>
        </row>
        <row r="38">
          <cell r="C38">
            <v>8.2619074868983677E-4</v>
          </cell>
        </row>
        <row r="39">
          <cell r="C39">
            <v>8.3798398935053253E-4</v>
          </cell>
        </row>
        <row r="40">
          <cell r="C40">
            <v>8.4958044487692952E-4</v>
          </cell>
        </row>
        <row r="41">
          <cell r="C41">
            <v>8.6098912976584341E-4</v>
          </cell>
        </row>
        <row r="42">
          <cell r="C42">
            <v>8.7221839799012102E-4</v>
          </cell>
        </row>
        <row r="43">
          <cell r="C43">
            <v>8.8327600852844412E-4</v>
          </cell>
        </row>
        <row r="44">
          <cell r="C44">
            <v>8.9416918278795166E-4</v>
          </cell>
        </row>
        <row r="45">
          <cell r="C45">
            <v>9.0490465510928431E-4</v>
          </cell>
        </row>
        <row r="46">
          <cell r="C46">
            <v>9.1548871734425941E-4</v>
          </cell>
        </row>
        <row r="47">
          <cell r="C47">
            <v>9.2592725833473555E-4</v>
          </cell>
        </row>
        <row r="48">
          <cell r="C48">
            <v>9.3622579898622327E-4</v>
          </cell>
        </row>
        <row r="49">
          <cell r="C49">
            <v>9.4638952352144035E-4</v>
          </cell>
        </row>
        <row r="50">
          <cell r="C50">
            <v>9.5642330740963732E-4</v>
          </cell>
        </row>
        <row r="51">
          <cell r="C51">
            <v>9.66331742393578E-4</v>
          </cell>
        </row>
        <row r="52">
          <cell r="C52">
            <v>9.761191589737761E-4</v>
          </cell>
        </row>
        <row r="53">
          <cell r="C53">
            <v>9.8578964665785307E-4</v>
          </cell>
        </row>
        <row r="54">
          <cell r="C54">
            <v>9.953470722412483E-4</v>
          </cell>
        </row>
        <row r="55">
          <cell r="C55">
            <v>1.0047950963462116E-3</v>
          </cell>
        </row>
        <row r="56">
          <cell r="C56">
            <v>1.0141371884196948E-3</v>
          </cell>
        </row>
        <row r="57">
          <cell r="C57">
            <v>1.0233766403596745E-3</v>
          </cell>
        </row>
        <row r="58">
          <cell r="C58">
            <v>1.0325165789211166E-3</v>
          </cell>
        </row>
        <row r="59">
          <cell r="C59">
            <v>1.0415599770320361E-3</v>
          </cell>
        </row>
        <row r="60">
          <cell r="C60">
            <v>1.0505096641344469E-3</v>
          </cell>
        </row>
        <row r="61">
          <cell r="C61">
            <v>1.0593683356502348E-3</v>
          </cell>
        </row>
        <row r="62">
          <cell r="C62">
            <v>1.0681385616616579E-3</v>
          </cell>
        </row>
        <row r="63">
          <cell r="C63">
            <v>1.076822794882748E-3</v>
          </cell>
        </row>
        <row r="64">
          <cell r="C64">
            <v>1.0854233779941103E-3</v>
          </cell>
        </row>
        <row r="65">
          <cell r="C65">
            <v>1.093942550398519E-3</v>
          </cell>
        </row>
        <row r="66">
          <cell r="C66">
            <v>1.1023824544542649E-3</v>
          </cell>
        </row>
        <row r="68">
          <cell r="M68">
            <v>610.31181775758273</v>
          </cell>
          <cell r="O68">
            <v>14.697709857306155</v>
          </cell>
        </row>
      </sheetData>
      <sheetData sheetId="7"/>
      <sheetData sheetId="8">
        <row r="1">
          <cell r="Z1">
            <v>100000</v>
          </cell>
        </row>
      </sheetData>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Parameters"/>
      <sheetName val="Results"/>
      <sheetName val="CE plane"/>
      <sheetName val="CEA curves"/>
      <sheetName val="MC Results"/>
      <sheetName val="A - PPI Heal &amp; Wait"/>
      <sheetName val="B - PPI Heal &amp; Maintain"/>
      <sheetName val="C - H2 Heal &amp; Maintain"/>
      <sheetName val="D - PA Heal &amp; Maintain PA"/>
      <sheetName val="E - PPI Heal &amp; Maintain H2"/>
      <sheetName val="F - PPI Heal &amp; Maintain LDPPI"/>
    </sheetNames>
    <sheetDataSet>
      <sheetData sheetId="0"/>
      <sheetData sheetId="1">
        <row r="3">
          <cell r="B3">
            <v>0</v>
          </cell>
        </row>
        <row r="18">
          <cell r="B18">
            <v>0.41737747957049187</v>
          </cell>
        </row>
        <row r="19">
          <cell r="B19">
            <v>0.41783866594397834</v>
          </cell>
        </row>
        <row r="20">
          <cell r="B20">
            <v>0.51569905341114508</v>
          </cell>
        </row>
        <row r="21">
          <cell r="B21">
            <v>0.8202464765668569</v>
          </cell>
        </row>
        <row r="22">
          <cell r="B22">
            <v>0.81143070731215539</v>
          </cell>
        </row>
        <row r="25">
          <cell r="B25">
            <v>0.66548042704626331</v>
          </cell>
        </row>
        <row r="26">
          <cell r="B26">
            <v>0.23076923076923078</v>
          </cell>
        </row>
        <row r="27">
          <cell r="B27">
            <v>0.38082191780821917</v>
          </cell>
        </row>
        <row r="28">
          <cell r="B28">
            <v>0.1245944192083063</v>
          </cell>
        </row>
        <row r="29">
          <cell r="B29">
            <v>0.25440528634361231</v>
          </cell>
        </row>
        <row r="30">
          <cell r="B30">
            <v>0.1245944192083063</v>
          </cell>
        </row>
        <row r="31">
          <cell r="B31">
            <v>0.23414634146341465</v>
          </cell>
        </row>
        <row r="32">
          <cell r="B32">
            <v>0.13397129186602871</v>
          </cell>
        </row>
        <row r="33">
          <cell r="B33">
            <v>0.17788461538461539</v>
          </cell>
        </row>
        <row r="34">
          <cell r="B34">
            <v>7.8008298755186722E-2</v>
          </cell>
        </row>
        <row r="35">
          <cell r="B35">
            <v>0.13050570962479607</v>
          </cell>
        </row>
        <row r="38">
          <cell r="B38">
            <v>2.2798800907753947</v>
          </cell>
        </row>
        <row r="41">
          <cell r="B41">
            <v>2.3855888533626253</v>
          </cell>
        </row>
        <row r="42">
          <cell r="B42">
            <v>2.3825237524627134</v>
          </cell>
        </row>
        <row r="43">
          <cell r="B43">
            <v>0.5</v>
          </cell>
        </row>
        <row r="44">
          <cell r="B44">
            <v>12</v>
          </cell>
        </row>
        <row r="45">
          <cell r="B45">
            <v>8</v>
          </cell>
        </row>
        <row r="46">
          <cell r="B46">
            <v>9.2713503359294922</v>
          </cell>
        </row>
        <row r="47">
          <cell r="B47">
            <v>6.1786727874549392</v>
          </cell>
        </row>
        <row r="48">
          <cell r="B48">
            <v>5.6900895076349727</v>
          </cell>
        </row>
        <row r="49">
          <cell r="B49">
            <v>3.8236170408277701</v>
          </cell>
        </row>
        <row r="50">
          <cell r="B50">
            <v>3.8910780939654703</v>
          </cell>
        </row>
        <row r="53">
          <cell r="B53">
            <v>4.1100000000000003</v>
          </cell>
        </row>
        <row r="54">
          <cell r="B54">
            <v>0.44</v>
          </cell>
        </row>
        <row r="55">
          <cell r="B55">
            <v>0.61</v>
          </cell>
        </row>
        <row r="56">
          <cell r="B56">
            <v>2.42</v>
          </cell>
        </row>
        <row r="57">
          <cell r="B57">
            <v>1.93</v>
          </cell>
        </row>
        <row r="58">
          <cell r="B58">
            <v>48.2</v>
          </cell>
        </row>
        <row r="59">
          <cell r="B59">
            <v>28.1</v>
          </cell>
        </row>
        <row r="60">
          <cell r="B60">
            <v>16.25</v>
          </cell>
        </row>
        <row r="61">
          <cell r="B61">
            <v>38.65</v>
          </cell>
        </row>
        <row r="62">
          <cell r="B62">
            <v>23.1</v>
          </cell>
        </row>
        <row r="63">
          <cell r="B63">
            <v>118.22</v>
          </cell>
        </row>
        <row r="64">
          <cell r="B64">
            <v>141.43</v>
          </cell>
        </row>
        <row r="65">
          <cell r="B65">
            <v>84.81</v>
          </cell>
        </row>
        <row r="66">
          <cell r="B66">
            <v>42.77</v>
          </cell>
        </row>
        <row r="67">
          <cell r="B67">
            <v>135.1</v>
          </cell>
        </row>
        <row r="68">
          <cell r="B68">
            <v>2462.6</v>
          </cell>
        </row>
        <row r="76">
          <cell r="B76">
            <v>3.5000000000000003E-2</v>
          </cell>
        </row>
        <row r="77">
          <cell r="B77">
            <v>0.1</v>
          </cell>
        </row>
        <row r="78">
          <cell r="B78">
            <v>7.0000000000000007E-2</v>
          </cell>
        </row>
        <row r="79">
          <cell r="B79">
            <v>2.5</v>
          </cell>
        </row>
        <row r="80">
          <cell r="B80">
            <v>1.5</v>
          </cell>
        </row>
        <row r="82">
          <cell r="B82">
            <v>0.01</v>
          </cell>
        </row>
        <row r="83">
          <cell r="B83">
            <v>0.01</v>
          </cell>
        </row>
        <row r="84">
          <cell r="B84">
            <v>0.6</v>
          </cell>
        </row>
        <row r="85">
          <cell r="B85">
            <v>0.08</v>
          </cell>
        </row>
        <row r="89">
          <cell r="B89">
            <v>0.85799999999999998</v>
          </cell>
        </row>
        <row r="92">
          <cell r="B92">
            <v>116.223</v>
          </cell>
        </row>
        <row r="93">
          <cell r="B93">
            <v>167.55799999999999</v>
          </cell>
        </row>
        <row r="96">
          <cell r="B96">
            <v>139.63</v>
          </cell>
        </row>
        <row r="97">
          <cell r="B97">
            <v>174.33199999999999</v>
          </cell>
        </row>
        <row r="98">
          <cell r="B98">
            <v>313.55100000000004</v>
          </cell>
        </row>
        <row r="99">
          <cell r="B99">
            <v>452.77</v>
          </cell>
        </row>
        <row r="100">
          <cell r="B100">
            <v>251.81099999999998</v>
          </cell>
        </row>
        <row r="101">
          <cell r="B101">
            <v>363.59</v>
          </cell>
        </row>
        <row r="102">
          <cell r="B102">
            <v>275.14999999999998</v>
          </cell>
        </row>
        <row r="103">
          <cell r="B103">
            <v>52.884</v>
          </cell>
        </row>
        <row r="105">
          <cell r="B105">
            <v>209.07000000000002</v>
          </cell>
        </row>
        <row r="106">
          <cell r="B106">
            <v>123.67</v>
          </cell>
        </row>
        <row r="107">
          <cell r="B107">
            <v>159.06299999999999</v>
          </cell>
        </row>
        <row r="108">
          <cell r="B108">
            <v>229.43799999999999</v>
          </cell>
        </row>
        <row r="109">
          <cell r="B109">
            <v>102.675</v>
          </cell>
        </row>
        <row r="110">
          <cell r="B110">
            <v>102.675</v>
          </cell>
        </row>
        <row r="111">
          <cell r="B111">
            <v>138.3194</v>
          </cell>
        </row>
        <row r="112">
          <cell r="B112">
            <v>186.19719999999998</v>
          </cell>
        </row>
      </sheetData>
      <sheetData sheetId="2"/>
      <sheetData sheetId="3" refreshError="1"/>
      <sheetData sheetId="4" refreshError="1"/>
      <sheetData sheetId="5"/>
      <sheetData sheetId="6"/>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Parameters"/>
      <sheetName val="Analysis"/>
      <sheetName val="Life tables"/>
      <sheetName val="Probabilities"/>
      <sheetName val="UC "/>
      <sheetName val="PH + UC"/>
      <sheetName val="Scenario"/>
      <sheetName val="UnivSens"/>
      <sheetName val="Uni Sens"/>
      <sheetName val="Simulation"/>
      <sheetName val="Sub-group results"/>
      <sheetName val="inc CE plane"/>
      <sheetName val="CEA curve"/>
      <sheetName val="CEA curve2"/>
      <sheetName val="Sub-group CEACs"/>
      <sheetName val="Control"/>
      <sheetName val="PHmodelv5"/>
    </sheetNames>
    <sheetDataSet>
      <sheetData sheetId="0"/>
      <sheetData sheetId="1">
        <row r="8">
          <cell r="B8">
            <v>36</v>
          </cell>
        </row>
        <row r="9">
          <cell r="B9">
            <v>1</v>
          </cell>
        </row>
        <row r="11">
          <cell r="B11">
            <v>0.06</v>
          </cell>
        </row>
        <row r="12">
          <cell r="B12">
            <v>1.4999999999999999E-2</v>
          </cell>
        </row>
        <row r="19">
          <cell r="B19">
            <v>2.3752548445009625E-3</v>
          </cell>
        </row>
        <row r="20">
          <cell r="B20">
            <v>1.1650857320283259E-2</v>
          </cell>
        </row>
        <row r="23">
          <cell r="B23">
            <v>1.5341276249036806E-4</v>
          </cell>
        </row>
        <row r="27">
          <cell r="D27">
            <v>0.10045209288469181</v>
          </cell>
        </row>
        <row r="28">
          <cell r="D28">
            <v>5.7369028982502401E-3</v>
          </cell>
        </row>
        <row r="29">
          <cell r="D29">
            <v>2.2987227351808359E-3</v>
          </cell>
        </row>
        <row r="31">
          <cell r="D31">
            <v>9.6302166627487917E-2</v>
          </cell>
        </row>
        <row r="32">
          <cell r="D32">
            <v>2.2987227351808359E-3</v>
          </cell>
        </row>
        <row r="33">
          <cell r="D33">
            <v>2.2987227351808359E-3</v>
          </cell>
        </row>
        <row r="37">
          <cell r="D37">
            <v>112.92</v>
          </cell>
        </row>
        <row r="38">
          <cell r="D38">
            <v>147.28</v>
          </cell>
        </row>
        <row r="39">
          <cell r="D39">
            <v>672.61</v>
          </cell>
        </row>
        <row r="40">
          <cell r="D40">
            <v>11208.64</v>
          </cell>
        </row>
        <row r="41">
          <cell r="D41">
            <v>100</v>
          </cell>
        </row>
        <row r="42">
          <cell r="D42">
            <v>25</v>
          </cell>
        </row>
        <row r="47">
          <cell r="B47">
            <v>0.67</v>
          </cell>
        </row>
        <row r="48">
          <cell r="B48">
            <v>0.57199999999999995</v>
          </cell>
        </row>
        <row r="49">
          <cell r="B49">
            <v>0.44900000000000001</v>
          </cell>
        </row>
        <row r="50">
          <cell r="B50">
            <v>0.32600000000000001</v>
          </cell>
        </row>
        <row r="54">
          <cell r="D54">
            <v>3.7417663718882443E-2</v>
          </cell>
        </row>
        <row r="55">
          <cell r="D55">
            <v>2.5496231708073913E-2</v>
          </cell>
        </row>
        <row r="56">
          <cell r="D56">
            <v>7.1214038276825598E-3</v>
          </cell>
        </row>
        <row r="57">
          <cell r="D57">
            <v>5.7682820038231775E-3</v>
          </cell>
        </row>
      </sheetData>
      <sheetData sheetId="2"/>
      <sheetData sheetId="3">
        <row r="4">
          <cell r="A4">
            <v>0</v>
          </cell>
          <cell r="B4">
            <v>6.5189999999999996E-3</v>
          </cell>
          <cell r="C4">
            <v>100000</v>
          </cell>
          <cell r="D4">
            <v>76.28</v>
          </cell>
          <cell r="E4">
            <v>5.3769999999999998E-3</v>
          </cell>
          <cell r="F4">
            <v>100000</v>
          </cell>
          <cell r="G4">
            <v>81.05</v>
          </cell>
          <cell r="H4">
            <v>6.5403414811394892E-3</v>
          </cell>
          <cell r="I4">
            <v>1.2543110339354905E-4</v>
          </cell>
          <cell r="J4">
            <v>2.5083074349474543E-4</v>
          </cell>
          <cell r="K4">
            <v>5.3915080945532955E-3</v>
          </cell>
          <cell r="L4">
            <v>1.0339870038976152E-4</v>
          </cell>
          <cell r="M4">
            <v>2.0677601967089565E-4</v>
          </cell>
        </row>
        <row r="5">
          <cell r="A5">
            <v>1</v>
          </cell>
          <cell r="B5">
            <v>4.6200000000000001E-4</v>
          </cell>
          <cell r="C5">
            <v>99348</v>
          </cell>
          <cell r="D5">
            <v>75.78</v>
          </cell>
          <cell r="E5">
            <v>3.79E-4</v>
          </cell>
          <cell r="F5">
            <v>99462</v>
          </cell>
          <cell r="G5">
            <v>80.489999999999995</v>
          </cell>
          <cell r="H5">
            <v>4.6210675488173221E-4</v>
          </cell>
          <cell r="I5">
            <v>8.8623140424052406E-6</v>
          </cell>
          <cell r="J5">
            <v>1.7724471004565423E-5</v>
          </cell>
          <cell r="K5">
            <v>3.7907183865182429E-4</v>
          </cell>
          <cell r="L5">
            <v>7.2698649030227377E-6</v>
          </cell>
          <cell r="M5">
            <v>1.453962410469245E-5</v>
          </cell>
        </row>
        <row r="6">
          <cell r="A6">
            <v>2</v>
          </cell>
          <cell r="B6">
            <v>2.9100000000000003E-4</v>
          </cell>
          <cell r="C6">
            <v>99302</v>
          </cell>
          <cell r="D6">
            <v>74.819999999999993</v>
          </cell>
          <cell r="E6">
            <v>2.2100000000000001E-4</v>
          </cell>
          <cell r="F6">
            <v>99425</v>
          </cell>
          <cell r="G6">
            <v>79.52</v>
          </cell>
          <cell r="H6">
            <v>2.9104234871589138E-4</v>
          </cell>
          <cell r="I6">
            <v>5.5816294973216182E-6</v>
          </cell>
          <cell r="J6">
            <v>1.116319668570398E-5</v>
          </cell>
          <cell r="K6">
            <v>2.2102442409857687E-4</v>
          </cell>
          <cell r="L6">
            <v>4.2388210877909915E-6</v>
          </cell>
          <cell r="M6">
            <v>8.4776062404534613E-6</v>
          </cell>
        </row>
        <row r="7">
          <cell r="A7">
            <v>3</v>
          </cell>
          <cell r="B7">
            <v>2.0900000000000001E-4</v>
          </cell>
          <cell r="C7">
            <v>99273</v>
          </cell>
          <cell r="D7">
            <v>73.84</v>
          </cell>
          <cell r="E7">
            <v>1.6200000000000001E-4</v>
          </cell>
          <cell r="F7">
            <v>99403</v>
          </cell>
          <cell r="G7">
            <v>78.540000000000006</v>
          </cell>
          <cell r="H7">
            <v>2.090218435436015E-4</v>
          </cell>
          <cell r="I7">
            <v>4.0086348005884118E-6</v>
          </cell>
          <cell r="J7">
            <v>8.0172374629094989E-6</v>
          </cell>
          <cell r="K7">
            <v>1.620131234173437E-4</v>
          </cell>
          <cell r="L7">
            <v>3.1070984432654053E-6</v>
          </cell>
          <cell r="M7">
            <v>6.2141775784008146E-6</v>
          </cell>
        </row>
        <row r="8">
          <cell r="A8">
            <v>4</v>
          </cell>
          <cell r="B8">
            <v>1.76E-4</v>
          </cell>
          <cell r="C8">
            <v>99252</v>
          </cell>
          <cell r="D8">
            <v>72.849999999999994</v>
          </cell>
          <cell r="E8">
            <v>1.3300000000000001E-4</v>
          </cell>
          <cell r="F8">
            <v>99387</v>
          </cell>
          <cell r="G8">
            <v>77.55</v>
          </cell>
          <cell r="H8">
            <v>1.7601548981745254E-4</v>
          </cell>
          <cell r="I8">
            <v>3.3756367562497013E-6</v>
          </cell>
          <cell r="J8">
            <v>6.7512507226918927E-6</v>
          </cell>
          <cell r="K8">
            <v>1.3300884528434032E-4</v>
          </cell>
          <cell r="L8">
            <v>2.550852470505866E-6</v>
          </cell>
          <cell r="M8">
            <v>5.1016919273561001E-6</v>
          </cell>
        </row>
        <row r="9">
          <cell r="A9">
            <v>5</v>
          </cell>
          <cell r="B9">
            <v>1.5899999999999999E-4</v>
          </cell>
          <cell r="C9">
            <v>99235</v>
          </cell>
          <cell r="D9">
            <v>71.87</v>
          </cell>
          <cell r="E9">
            <v>1.1900000000000001E-4</v>
          </cell>
          <cell r="F9">
            <v>99373</v>
          </cell>
          <cell r="G9">
            <v>76.56</v>
          </cell>
          <cell r="H9">
            <v>1.5901264184007305E-4</v>
          </cell>
          <cell r="I9">
            <v>3.0495550082575588E-6</v>
          </cell>
          <cell r="J9">
            <v>6.099091417022251E-6</v>
          </cell>
          <cell r="K9">
            <v>1.1900708106175004E-4</v>
          </cell>
          <cell r="L9">
            <v>2.2823257061220232E-6</v>
          </cell>
          <cell r="M9">
            <v>4.5646409941868527E-6</v>
          </cell>
        </row>
        <row r="10">
          <cell r="A10">
            <v>6</v>
          </cell>
          <cell r="B10">
            <v>1.46E-4</v>
          </cell>
          <cell r="C10">
            <v>99219</v>
          </cell>
          <cell r="D10">
            <v>70.88</v>
          </cell>
          <cell r="E10">
            <v>1.0900000000000001E-4</v>
          </cell>
          <cell r="F10">
            <v>99361</v>
          </cell>
          <cell r="G10">
            <v>75.569999999999993</v>
          </cell>
          <cell r="H10">
            <v>1.4601065903747175E-4</v>
          </cell>
          <cell r="I10">
            <v>2.8002021183607312E-6</v>
          </cell>
          <cell r="J10">
            <v>5.6003885544608778E-6</v>
          </cell>
          <cell r="K10">
            <v>1.0900594093173737E-4</v>
          </cell>
          <cell r="L10">
            <v>2.0905231763430377E-6</v>
          </cell>
          <cell r="M10">
            <v>4.1810376121276249E-6</v>
          </cell>
        </row>
        <row r="11">
          <cell r="A11">
            <v>7</v>
          </cell>
          <cell r="B11">
            <v>1.3300000000000001E-4</v>
          </cell>
          <cell r="C11">
            <v>99205</v>
          </cell>
          <cell r="D11">
            <v>69.89</v>
          </cell>
          <cell r="E11">
            <v>1.01E-4</v>
          </cell>
          <cell r="F11">
            <v>99351</v>
          </cell>
          <cell r="G11">
            <v>74.58</v>
          </cell>
          <cell r="H11">
            <v>1.3300884528434032E-4</v>
          </cell>
          <cell r="I11">
            <v>2.550852470505866E-6</v>
          </cell>
          <cell r="J11">
            <v>5.1016919273561001E-6</v>
          </cell>
          <cell r="K11">
            <v>1.0100510084347743E-4</v>
          </cell>
          <cell r="L11">
            <v>1.9370825336426902E-6</v>
          </cell>
          <cell r="M11">
            <v>3.8741575627554425E-6</v>
          </cell>
        </row>
        <row r="12">
          <cell r="A12">
            <v>8</v>
          </cell>
          <cell r="B12">
            <v>1.18E-4</v>
          </cell>
          <cell r="C12">
            <v>99192</v>
          </cell>
          <cell r="D12">
            <v>68.900000000000006</v>
          </cell>
          <cell r="E12">
            <v>9.6000000000000002E-5</v>
          </cell>
          <cell r="F12">
            <v>99341</v>
          </cell>
          <cell r="G12">
            <v>73.58</v>
          </cell>
          <cell r="H12">
            <v>1.1800696254767727E-4</v>
          </cell>
          <cell r="I12">
            <v>2.2631453668222763E-6</v>
          </cell>
          <cell r="J12">
            <v>4.526280489969281E-6</v>
          </cell>
          <cell r="K12">
            <v>9.6004608294918218E-5</v>
          </cell>
          <cell r="L12">
            <v>1.8411827553687696E-6</v>
          </cell>
          <cell r="M12">
            <v>3.6823587308276728E-6</v>
          </cell>
        </row>
        <row r="13">
          <cell r="A13">
            <v>9</v>
          </cell>
          <cell r="B13">
            <v>1.02E-4</v>
          </cell>
          <cell r="C13">
            <v>99180</v>
          </cell>
          <cell r="D13">
            <v>67.900000000000006</v>
          </cell>
          <cell r="E13">
            <v>9.2999999999999997E-5</v>
          </cell>
          <cell r="F13">
            <v>99331</v>
          </cell>
          <cell r="G13">
            <v>72.59</v>
          </cell>
          <cell r="H13">
            <v>1.0200520235380957E-4</v>
          </cell>
          <cell r="I13">
            <v>1.95626254684357E-6</v>
          </cell>
          <cell r="J13">
            <v>3.9125174398080276E-6</v>
          </cell>
          <cell r="K13">
            <v>9.300432476814744E-5</v>
          </cell>
          <cell r="L13">
            <v>1.7836431185865657E-6</v>
          </cell>
          <cell r="M13">
            <v>3.5672798743835443E-6</v>
          </cell>
        </row>
        <row r="14">
          <cell r="A14">
            <v>10</v>
          </cell>
          <cell r="B14">
            <v>9.1000000000000003E-5</v>
          </cell>
          <cell r="C14">
            <v>99170</v>
          </cell>
          <cell r="D14">
            <v>66.91</v>
          </cell>
          <cell r="E14">
            <v>9.3999999999999994E-5</v>
          </cell>
          <cell r="F14">
            <v>99322</v>
          </cell>
          <cell r="G14">
            <v>71.599999999999994</v>
          </cell>
          <cell r="H14">
            <v>9.1004140751159708E-5</v>
          </cell>
          <cell r="I14">
            <v>1.7452834566385781E-6</v>
          </cell>
          <cell r="J14">
            <v>3.490560821273192E-6</v>
          </cell>
          <cell r="K14">
            <v>9.4004418276919357E-5</v>
          </cell>
          <cell r="L14">
            <v>1.8028229783329918E-6</v>
          </cell>
          <cell r="M14">
            <v>3.6056394563388494E-6</v>
          </cell>
        </row>
        <row r="15">
          <cell r="A15">
            <v>11</v>
          </cell>
          <cell r="B15">
            <v>9.6000000000000002E-5</v>
          </cell>
          <cell r="C15">
            <v>99161</v>
          </cell>
          <cell r="D15">
            <v>65.92</v>
          </cell>
          <cell r="E15">
            <v>1E-4</v>
          </cell>
          <cell r="F15">
            <v>99312</v>
          </cell>
          <cell r="G15">
            <v>70.599999999999994</v>
          </cell>
          <cell r="H15">
            <v>9.6004608294918218E-5</v>
          </cell>
          <cell r="I15">
            <v>1.8411827553687696E-6</v>
          </cell>
          <cell r="J15">
            <v>3.6823587308276728E-6</v>
          </cell>
          <cell r="K15">
            <v>1.0000500033334732E-4</v>
          </cell>
          <cell r="L15">
            <v>1.917902539623752E-6</v>
          </cell>
          <cell r="M15">
            <v>3.8357977225622619E-6</v>
          </cell>
        </row>
        <row r="16">
          <cell r="A16">
            <v>12</v>
          </cell>
          <cell r="B16">
            <v>1.2799999999999999E-4</v>
          </cell>
          <cell r="C16">
            <v>99151</v>
          </cell>
          <cell r="D16">
            <v>64.92</v>
          </cell>
          <cell r="E16">
            <v>1.12E-4</v>
          </cell>
          <cell r="F16">
            <v>99303</v>
          </cell>
          <cell r="G16">
            <v>69.61</v>
          </cell>
          <cell r="H16">
            <v>1.2800819269913476E-4</v>
          </cell>
          <cell r="I16">
            <v>2.4549496230385109E-6</v>
          </cell>
          <cell r="J16">
            <v>4.9098871925945531E-6</v>
          </cell>
          <cell r="K16">
            <v>1.1200627246834967E-4</v>
          </cell>
          <cell r="L16">
            <v>2.1480637338611715E-6</v>
          </cell>
          <cell r="M16">
            <v>4.2961182393774777E-6</v>
          </cell>
        </row>
        <row r="17">
          <cell r="A17">
            <v>13</v>
          </cell>
          <cell r="B17">
            <v>1.95E-4</v>
          </cell>
          <cell r="C17">
            <v>99138</v>
          </cell>
          <cell r="D17">
            <v>63.93</v>
          </cell>
          <cell r="E17">
            <v>1.34E-4</v>
          </cell>
          <cell r="F17">
            <v>99291</v>
          </cell>
          <cell r="G17">
            <v>68.62</v>
          </cell>
          <cell r="H17">
            <v>1.9501901497193173E-4</v>
          </cell>
          <cell r="I17">
            <v>3.7400876240472191E-6</v>
          </cell>
          <cell r="J17">
            <v>7.4801472716989892E-6</v>
          </cell>
          <cell r="K17">
            <v>1.3400897880208276E-4</v>
          </cell>
          <cell r="L17">
            <v>2.5700330975469864E-6</v>
          </cell>
          <cell r="M17">
            <v>5.1400529850198495E-6</v>
          </cell>
        </row>
        <row r="18">
          <cell r="A18">
            <v>14</v>
          </cell>
          <cell r="B18">
            <v>2.8800000000000001E-4</v>
          </cell>
          <cell r="C18">
            <v>99119</v>
          </cell>
          <cell r="D18">
            <v>62.94</v>
          </cell>
          <cell r="E18">
            <v>1.6200000000000001E-4</v>
          </cell>
          <cell r="F18">
            <v>99278</v>
          </cell>
          <cell r="G18">
            <v>67.63</v>
          </cell>
          <cell r="H18">
            <v>2.8804147996429926E-4</v>
          </cell>
          <cell r="I18">
            <v>5.5240786370589142E-6</v>
          </cell>
          <cell r="J18">
            <v>1.1048096243415628E-5</v>
          </cell>
          <cell r="K18">
            <v>1.620131234173437E-4</v>
          </cell>
          <cell r="L18">
            <v>3.1070984432654053E-6</v>
          </cell>
          <cell r="M18">
            <v>6.2141775784008146E-6</v>
          </cell>
        </row>
        <row r="19">
          <cell r="A19">
            <v>15</v>
          </cell>
          <cell r="B19">
            <v>3.8900000000000002E-4</v>
          </cell>
          <cell r="C19">
            <v>99091</v>
          </cell>
          <cell r="D19">
            <v>61.96</v>
          </cell>
          <cell r="E19">
            <v>1.94E-4</v>
          </cell>
          <cell r="F19">
            <v>99262</v>
          </cell>
          <cell r="G19">
            <v>66.64</v>
          </cell>
          <cell r="H19">
            <v>3.8907568012698865E-4</v>
          </cell>
          <cell r="I19">
            <v>7.46171923937849E-6</v>
          </cell>
          <cell r="J19">
            <v>1.4923327124827246E-5</v>
          </cell>
          <cell r="K19">
            <v>1.9401882043417634E-4</v>
          </cell>
          <cell r="L19">
            <v>3.7209058267602366E-6</v>
          </cell>
          <cell r="M19">
            <v>7.4417839632801019E-6</v>
          </cell>
        </row>
        <row r="20">
          <cell r="A20">
            <v>16</v>
          </cell>
          <cell r="B20">
            <v>4.9200000000000003E-4</v>
          </cell>
          <cell r="C20">
            <v>99052</v>
          </cell>
          <cell r="D20">
            <v>60.99</v>
          </cell>
          <cell r="E20">
            <v>2.2599999999999999E-4</v>
          </cell>
          <cell r="F20">
            <v>99243</v>
          </cell>
          <cell r="G20">
            <v>65.650000000000006</v>
          </cell>
          <cell r="H20">
            <v>4.9212107171319852E-4</v>
          </cell>
          <cell r="I20">
            <v>9.4379306044197484E-6</v>
          </cell>
          <cell r="J20">
            <v>1.8875683060914916E-5</v>
          </cell>
          <cell r="K20">
            <v>2.2602554184832609E-4</v>
          </cell>
          <cell r="L20">
            <v>4.3347328562148651E-6</v>
          </cell>
          <cell r="M20">
            <v>8.6694281327126532E-6</v>
          </cell>
        </row>
        <row r="21">
          <cell r="A21">
            <v>17</v>
          </cell>
          <cell r="B21">
            <v>6.0700000000000001E-4</v>
          </cell>
          <cell r="C21">
            <v>99003</v>
          </cell>
          <cell r="D21">
            <v>60.02</v>
          </cell>
          <cell r="E21">
            <v>2.61E-4</v>
          </cell>
          <cell r="F21">
            <v>99220</v>
          </cell>
          <cell r="G21">
            <v>64.67</v>
          </cell>
          <cell r="H21">
            <v>6.0718429908349374E-4</v>
          </cell>
          <cell r="I21">
            <v>1.1644620822460848E-5</v>
          </cell>
          <cell r="J21">
            <v>2.3288970452672864E-5</v>
          </cell>
          <cell r="K21">
            <v>2.6103406642764306E-4</v>
          </cell>
          <cell r="L21">
            <v>5.0061286661778124E-6</v>
          </cell>
          <cell r="M21">
            <v>1.0012207209864066E-5</v>
          </cell>
        </row>
        <row r="22">
          <cell r="A22">
            <v>18</v>
          </cell>
          <cell r="B22">
            <v>7.3499999999999998E-4</v>
          </cell>
          <cell r="C22">
            <v>98943</v>
          </cell>
          <cell r="D22">
            <v>59.05</v>
          </cell>
          <cell r="E22">
            <v>2.9700000000000001E-4</v>
          </cell>
          <cell r="F22">
            <v>99194</v>
          </cell>
          <cell r="G22">
            <v>63.68</v>
          </cell>
          <cell r="H22">
            <v>7.3527024492816987E-4</v>
          </cell>
          <cell r="I22">
            <v>1.4101061600489615E-5</v>
          </cell>
          <cell r="J22">
            <v>2.8201725524867882E-5</v>
          </cell>
          <cell r="K22">
            <v>2.9704411323462838E-4</v>
          </cell>
          <cell r="L22">
            <v>5.6967317359530904E-6</v>
          </cell>
          <cell r="M22">
            <v>1.1393398566594826E-5</v>
          </cell>
        </row>
        <row r="23">
          <cell r="A23">
            <v>19</v>
          </cell>
          <cell r="B23">
            <v>8.6899999999999998E-4</v>
          </cell>
          <cell r="C23">
            <v>98870</v>
          </cell>
          <cell r="D23">
            <v>58.09</v>
          </cell>
          <cell r="E23">
            <v>3.3399999999999999E-4</v>
          </cell>
          <cell r="F23">
            <v>99165</v>
          </cell>
          <cell r="G23">
            <v>62.7</v>
          </cell>
          <cell r="H23">
            <v>8.6937779938764457E-4</v>
          </cell>
          <cell r="I23">
            <v>1.6672985188542345E-5</v>
          </cell>
          <cell r="J23">
            <v>3.3345414406360518E-5</v>
          </cell>
          <cell r="K23">
            <v>3.3405579042295879E-4</v>
          </cell>
          <cell r="L23">
            <v>6.4065441397190951E-6</v>
          </cell>
          <cell r="M23">
            <v>1.2813006192158305E-5</v>
          </cell>
        </row>
        <row r="24">
          <cell r="A24">
            <v>20</v>
          </cell>
          <cell r="B24">
            <v>1.011E-3</v>
          </cell>
          <cell r="C24">
            <v>98785</v>
          </cell>
          <cell r="D24">
            <v>57.14</v>
          </cell>
          <cell r="E24">
            <v>3.7300000000000001E-4</v>
          </cell>
          <cell r="F24">
            <v>99132</v>
          </cell>
          <cell r="G24">
            <v>61.72</v>
          </cell>
          <cell r="H24">
            <v>1.0115114052161554E-3</v>
          </cell>
          <cell r="I24">
            <v>1.9398832922912909E-5</v>
          </cell>
          <cell r="J24">
            <v>3.8796913226168961E-5</v>
          </cell>
          <cell r="K24">
            <v>3.7306958180316968E-4</v>
          </cell>
          <cell r="L24">
            <v>7.1547532224554001E-6</v>
          </cell>
          <cell r="M24">
            <v>1.4309404064438702E-5</v>
          </cell>
        </row>
        <row r="25">
          <cell r="A25">
            <v>21</v>
          </cell>
          <cell r="B25">
            <v>1.145E-3</v>
          </cell>
          <cell r="C25">
            <v>98685</v>
          </cell>
          <cell r="D25">
            <v>56.2</v>
          </cell>
          <cell r="E25">
            <v>4.1199999999999999E-4</v>
          </cell>
          <cell r="F25">
            <v>99095</v>
          </cell>
          <cell r="G25">
            <v>60.75</v>
          </cell>
          <cell r="H25">
            <v>1.1456560133045839E-3</v>
          </cell>
          <cell r="I25">
            <v>2.1971467127923149E-5</v>
          </cell>
          <cell r="J25">
            <v>4.3941968779215301E-5</v>
          </cell>
          <cell r="K25">
            <v>4.1208489531868291E-4</v>
          </cell>
          <cell r="L25">
            <v>7.9029914968036471E-6</v>
          </cell>
          <cell r="M25">
            <v>1.5805858079698254E-5</v>
          </cell>
        </row>
        <row r="26">
          <cell r="A26">
            <v>22</v>
          </cell>
          <cell r="B26">
            <v>1.2459999999999999E-3</v>
          </cell>
          <cell r="C26">
            <v>98572</v>
          </cell>
          <cell r="D26">
            <v>55.27</v>
          </cell>
          <cell r="E26">
            <v>4.46E-4</v>
          </cell>
          <cell r="F26">
            <v>99054</v>
          </cell>
          <cell r="G26">
            <v>59.77</v>
          </cell>
          <cell r="H26">
            <v>1.2467769034147924E-3</v>
          </cell>
          <cell r="I26">
            <v>2.3910770275814971E-5</v>
          </cell>
          <cell r="J26">
            <v>4.7820397120035274E-5</v>
          </cell>
          <cell r="K26">
            <v>4.4609948758202048E-4</v>
          </cell>
          <cell r="L26">
            <v>8.555325606784826E-6</v>
          </cell>
          <cell r="M26">
            <v>1.7110504827222428E-5</v>
          </cell>
        </row>
        <row r="27">
          <cell r="A27">
            <v>23</v>
          </cell>
          <cell r="B27">
            <v>1.3010000000000001E-3</v>
          </cell>
          <cell r="C27">
            <v>98449</v>
          </cell>
          <cell r="D27">
            <v>54.33</v>
          </cell>
          <cell r="E27">
            <v>4.7199999999999998E-4</v>
          </cell>
          <cell r="F27">
            <v>99010</v>
          </cell>
          <cell r="G27">
            <v>58.8</v>
          </cell>
          <cell r="H27">
            <v>1.3018470352416012E-3</v>
          </cell>
          <cell r="I27">
            <v>2.4966908922242553E-5</v>
          </cell>
          <cell r="J27">
            <v>4.9932571172139895E-5</v>
          </cell>
          <cell r="K27">
            <v>4.7211142706379014E-4</v>
          </cell>
          <cell r="L27">
            <v>9.0541843101129803E-6</v>
          </cell>
          <cell r="M27">
            <v>1.8108204664746275E-5</v>
          </cell>
        </row>
        <row r="28">
          <cell r="A28">
            <v>24</v>
          </cell>
          <cell r="B28">
            <v>1.3209999999999999E-3</v>
          </cell>
          <cell r="C28">
            <v>98321</v>
          </cell>
          <cell r="D28">
            <v>53.4</v>
          </cell>
          <cell r="E28">
            <v>4.9299999999999995E-4</v>
          </cell>
          <cell r="F28">
            <v>98963</v>
          </cell>
          <cell r="G28">
            <v>57.82</v>
          </cell>
          <cell r="H28">
            <v>1.3218732896618343E-3</v>
          </cell>
          <cell r="I28">
            <v>2.5350973759837571E-5</v>
          </cell>
          <cell r="J28">
            <v>5.0700662197700197E-5</v>
          </cell>
          <cell r="K28">
            <v>4.9312156445579201E-4</v>
          </cell>
          <cell r="L28">
            <v>9.457118120698926E-6</v>
          </cell>
          <cell r="M28">
            <v>1.8914057368313308E-5</v>
          </cell>
        </row>
        <row r="29">
          <cell r="A29">
            <v>25</v>
          </cell>
          <cell r="B29">
            <v>1.33E-3</v>
          </cell>
          <cell r="C29">
            <v>98191</v>
          </cell>
          <cell r="D29">
            <v>52.47</v>
          </cell>
          <cell r="E29">
            <v>5.13E-4</v>
          </cell>
          <cell r="F29">
            <v>98915</v>
          </cell>
          <cell r="G29">
            <v>56.85</v>
          </cell>
          <cell r="H29">
            <v>1.3308852349954718E-3</v>
          </cell>
          <cell r="I29">
            <v>2.5523805446100464E-5</v>
          </cell>
          <cell r="J29">
            <v>5.104630798513643E-5</v>
          </cell>
          <cell r="K29">
            <v>5.131316295192063E-4</v>
          </cell>
          <cell r="L29">
            <v>9.8408724777334273E-6</v>
          </cell>
          <cell r="M29">
            <v>1.968155127118898E-5</v>
          </cell>
        </row>
        <row r="30">
          <cell r="A30">
            <v>26</v>
          </cell>
          <cell r="B30">
            <v>1.3450000000000001E-3</v>
          </cell>
          <cell r="C30">
            <v>98060</v>
          </cell>
          <cell r="D30">
            <v>51.54</v>
          </cell>
          <cell r="E30">
            <v>5.3700000000000004E-4</v>
          </cell>
          <cell r="F30">
            <v>98864</v>
          </cell>
          <cell r="G30">
            <v>55.88</v>
          </cell>
          <cell r="H30">
            <v>1.3459053243652732E-3</v>
          </cell>
          <cell r="I30">
            <v>2.581186171780383E-5</v>
          </cell>
          <cell r="J30">
            <v>5.1622390954131347E-5</v>
          </cell>
          <cell r="K30">
            <v>5.3714423613885883E-4</v>
          </cell>
          <cell r="L30">
            <v>1.0301387842618244E-5</v>
          </cell>
          <cell r="M30">
            <v>2.0602563449489963E-5</v>
          </cell>
        </row>
        <row r="31">
          <cell r="A31">
            <v>27</v>
          </cell>
          <cell r="B31">
            <v>1.3630000000000001E-3</v>
          </cell>
          <cell r="C31">
            <v>97928</v>
          </cell>
          <cell r="D31">
            <v>50.61</v>
          </cell>
          <cell r="E31">
            <v>5.6300000000000002E-4</v>
          </cell>
          <cell r="F31">
            <v>98811</v>
          </cell>
          <cell r="G31">
            <v>54.91</v>
          </cell>
          <cell r="H31">
            <v>1.3639297294101536E-3</v>
          </cell>
          <cell r="I31">
            <v>2.6157534955097507E-5</v>
          </cell>
          <cell r="J31">
            <v>5.2313701500827925E-5</v>
          </cell>
          <cell r="K31">
            <v>5.6315854400962448E-4</v>
          </cell>
          <cell r="L31">
            <v>1.0800291967067895E-5</v>
          </cell>
          <cell r="M31">
            <v>2.1600350643247168E-5</v>
          </cell>
        </row>
        <row r="32">
          <cell r="A32">
            <v>28</v>
          </cell>
          <cell r="B32">
            <v>1.3910000000000001E-3</v>
          </cell>
          <cell r="C32">
            <v>97795</v>
          </cell>
          <cell r="D32">
            <v>49.68</v>
          </cell>
          <cell r="E32">
            <v>5.9299999999999999E-4</v>
          </cell>
          <cell r="F32">
            <v>98755</v>
          </cell>
          <cell r="G32">
            <v>53.94</v>
          </cell>
          <cell r="H32">
            <v>1.3919683385768386E-3</v>
          </cell>
          <cell r="I32">
            <v>2.669526126427258E-5</v>
          </cell>
          <cell r="J32">
            <v>5.3389097279921138E-5</v>
          </cell>
          <cell r="K32">
            <v>5.9317589404016919E-4</v>
          </cell>
          <cell r="L32">
            <v>1.1375966699975821E-5</v>
          </cell>
          <cell r="M32">
            <v>2.2751674576659831E-5</v>
          </cell>
        </row>
        <row r="33">
          <cell r="A33">
            <v>29</v>
          </cell>
          <cell r="B33">
            <v>1.4270000000000001E-3</v>
          </cell>
          <cell r="C33">
            <v>97659</v>
          </cell>
          <cell r="D33">
            <v>48.75</v>
          </cell>
          <cell r="E33">
            <v>6.2699999999999995E-4</v>
          </cell>
          <cell r="F33">
            <v>98697</v>
          </cell>
          <cell r="G33">
            <v>52.97</v>
          </cell>
          <cell r="H33">
            <v>1.4280191341516275E-3</v>
          </cell>
          <cell r="I33">
            <v>2.7386645816623695E-5</v>
          </cell>
          <cell r="J33">
            <v>5.4771791603847042E-5</v>
          </cell>
          <cell r="K33">
            <v>6.2719664670266224E-4</v>
          </cell>
          <cell r="L33">
            <v>1.2028418954501232E-5</v>
          </cell>
          <cell r="M33">
            <v>2.4056548545647871E-5</v>
          </cell>
        </row>
        <row r="34">
          <cell r="A34">
            <v>30</v>
          </cell>
          <cell r="B34">
            <v>1.467E-3</v>
          </cell>
          <cell r="C34">
            <v>97519</v>
          </cell>
          <cell r="D34">
            <v>47.82</v>
          </cell>
          <cell r="E34">
            <v>6.6399999999999999E-4</v>
          </cell>
          <cell r="F34">
            <v>98635</v>
          </cell>
          <cell r="G34">
            <v>52.01</v>
          </cell>
          <cell r="H34">
            <v>1.4680770980307495E-3</v>
          </cell>
          <cell r="I34">
            <v>2.8154880108907436E-5</v>
          </cell>
          <cell r="J34">
            <v>5.6308174853025861E-5</v>
          </cell>
          <cell r="K34">
            <v>6.6422054563360241E-4</v>
          </cell>
          <cell r="L34">
            <v>1.2738465747658884E-5</v>
          </cell>
          <cell r="M34">
            <v>2.5476606961061243E-5</v>
          </cell>
        </row>
        <row r="35">
          <cell r="A35">
            <v>31</v>
          </cell>
          <cell r="B35">
            <v>1.505E-3</v>
          </cell>
          <cell r="C35">
            <v>97376</v>
          </cell>
          <cell r="D35">
            <v>46.89</v>
          </cell>
          <cell r="E35">
            <v>7.0500000000000001E-4</v>
          </cell>
          <cell r="F35">
            <v>98569</v>
          </cell>
          <cell r="G35">
            <v>51.04</v>
          </cell>
          <cell r="H35">
            <v>1.506133650071651E-3</v>
          </cell>
          <cell r="I35">
            <v>2.8884731192006028E-5</v>
          </cell>
          <cell r="J35">
            <v>5.7767793760765684E-5</v>
          </cell>
          <cell r="K35">
            <v>7.0524862936262398E-4</v>
          </cell>
          <cell r="L35">
            <v>1.3525305062868081E-5</v>
          </cell>
          <cell r="M35">
            <v>2.7050244261306311E-5</v>
          </cell>
        </row>
        <row r="36">
          <cell r="A36">
            <v>32</v>
          </cell>
          <cell r="B36">
            <v>1.5410000000000001E-3</v>
          </cell>
          <cell r="C36">
            <v>97230</v>
          </cell>
          <cell r="D36">
            <v>45.96</v>
          </cell>
          <cell r="E36">
            <v>7.4799999999999997E-4</v>
          </cell>
          <cell r="F36">
            <v>98500</v>
          </cell>
          <cell r="G36">
            <v>50.08</v>
          </cell>
          <cell r="H36">
            <v>1.542188561706006E-3</v>
          </cell>
          <cell r="I36">
            <v>2.9576194682420927E-5</v>
          </cell>
          <cell r="J36">
            <v>5.9150639896698998E-5</v>
          </cell>
          <cell r="K36">
            <v>7.4827989158127628E-4</v>
          </cell>
          <cell r="L36">
            <v>1.4350561468220531E-5</v>
          </cell>
          <cell r="M36">
            <v>2.8700711063200934E-5</v>
          </cell>
        </row>
        <row r="37">
          <cell r="A37">
            <v>33</v>
          </cell>
          <cell r="B37">
            <v>1.573E-3</v>
          </cell>
          <cell r="C37">
            <v>97080</v>
          </cell>
          <cell r="D37">
            <v>45.03</v>
          </cell>
          <cell r="E37">
            <v>7.94E-4</v>
          </cell>
          <cell r="F37">
            <v>98426</v>
          </cell>
          <cell r="G37">
            <v>49.11</v>
          </cell>
          <cell r="H37">
            <v>1.5742384634057237E-3</v>
          </cell>
          <cell r="I37">
            <v>3.0190849826260599E-5</v>
          </cell>
          <cell r="J37">
            <v>6.0379876714367064E-5</v>
          </cell>
          <cell r="K37">
            <v>7.9431538495478157E-4</v>
          </cell>
          <cell r="L37">
            <v>1.5233433218228783E-5</v>
          </cell>
          <cell r="M37">
            <v>3.0466402326179143E-5</v>
          </cell>
        </row>
        <row r="38">
          <cell r="A38">
            <v>34</v>
          </cell>
          <cell r="B38">
            <v>1.606E-3</v>
          </cell>
          <cell r="C38">
            <v>96927</v>
          </cell>
          <cell r="D38">
            <v>44.1</v>
          </cell>
          <cell r="E38">
            <v>8.4500000000000005E-4</v>
          </cell>
          <cell r="F38">
            <v>98348</v>
          </cell>
          <cell r="G38">
            <v>48.15</v>
          </cell>
          <cell r="H38">
            <v>1.6072910004162558E-3</v>
          </cell>
          <cell r="I38">
            <v>3.0824733576695118E-5</v>
          </cell>
          <cell r="J38">
            <v>6.1647566863998193E-5</v>
          </cell>
          <cell r="K38">
            <v>8.4535721374457047E-4</v>
          </cell>
          <cell r="L38">
            <v>1.6212316801416311E-5</v>
          </cell>
          <cell r="M38">
            <v>3.2424107930029145E-5</v>
          </cell>
        </row>
        <row r="39">
          <cell r="A39">
            <v>35</v>
          </cell>
          <cell r="B39">
            <v>1.6479999999999999E-3</v>
          </cell>
          <cell r="C39">
            <v>96772</v>
          </cell>
          <cell r="D39">
            <v>43.17</v>
          </cell>
          <cell r="E39">
            <v>9.0300000000000005E-4</v>
          </cell>
          <cell r="F39">
            <v>98265</v>
          </cell>
          <cell r="G39">
            <v>47.19</v>
          </cell>
          <cell r="H39">
            <v>1.6493594457830483E-3</v>
          </cell>
          <cell r="I39">
            <v>3.1631525016503656E-5</v>
          </cell>
          <cell r="J39">
            <v>6.3261048968477063E-5</v>
          </cell>
          <cell r="K39">
            <v>9.034079501044393E-4</v>
          </cell>
          <cell r="L39">
            <v>1.7325617679577456E-5</v>
          </cell>
          <cell r="M39">
            <v>3.4650635012067887E-5</v>
          </cell>
        </row>
        <row r="40">
          <cell r="A40">
            <v>36</v>
          </cell>
          <cell r="B40">
            <v>1.704E-3</v>
          </cell>
          <cell r="C40">
            <v>96612</v>
          </cell>
          <cell r="D40">
            <v>42.24</v>
          </cell>
          <cell r="E40">
            <v>9.68E-4</v>
          </cell>
          <cell r="F40">
            <v>98176</v>
          </cell>
          <cell r="G40">
            <v>46.23</v>
          </cell>
          <cell r="H40">
            <v>1.7054534593645507E-3</v>
          </cell>
          <cell r="I40">
            <v>3.270729973523818E-5</v>
          </cell>
          <cell r="J40">
            <v>6.5412459982261417E-5</v>
          </cell>
          <cell r="K40">
            <v>9.6846881456605317E-4</v>
          </cell>
          <cell r="L40">
            <v>1.8573359260149573E-5</v>
          </cell>
          <cell r="M40">
            <v>3.7146028589507551E-5</v>
          </cell>
        </row>
        <row r="41">
          <cell r="A41">
            <v>37</v>
          </cell>
          <cell r="B41">
            <v>1.774E-3</v>
          </cell>
          <cell r="C41">
            <v>96448</v>
          </cell>
          <cell r="D41">
            <v>41.31</v>
          </cell>
          <cell r="E41">
            <v>1.0380000000000001E-3</v>
          </cell>
          <cell r="F41">
            <v>98081</v>
          </cell>
          <cell r="G41">
            <v>45.28</v>
          </cell>
          <cell r="H41">
            <v>1.7755754014505357E-3</v>
          </cell>
          <cell r="I41">
            <v>3.4052102998692744E-5</v>
          </cell>
          <cell r="J41">
            <v>6.8101886958604751E-5</v>
          </cell>
          <cell r="K41">
            <v>1.0385390950860699E-3</v>
          </cell>
          <cell r="L41">
            <v>1.9917171754660173E-5</v>
          </cell>
          <cell r="M41">
            <v>3.9833550132373219E-5</v>
          </cell>
        </row>
        <row r="42">
          <cell r="A42">
            <v>38</v>
          </cell>
          <cell r="B42">
            <v>1.861E-3</v>
          </cell>
          <cell r="C42">
            <v>96277</v>
          </cell>
          <cell r="D42">
            <v>40.380000000000003</v>
          </cell>
          <cell r="E42">
            <v>1.1130000000000001E-3</v>
          </cell>
          <cell r="F42">
            <v>97979</v>
          </cell>
          <cell r="G42">
            <v>44.33</v>
          </cell>
          <cell r="H42">
            <v>1.8627338119165814E-3</v>
          </cell>
          <cell r="I42">
            <v>3.5723632784455439E-5</v>
          </cell>
          <cell r="J42">
            <v>7.1444713273804972E-5</v>
          </cell>
          <cell r="K42">
            <v>1.1136198444673087E-3</v>
          </cell>
          <cell r="L42">
            <v>2.135707535383166E-5</v>
          </cell>
          <cell r="M42">
            <v>4.2713238471270287E-5</v>
          </cell>
        </row>
        <row r="43">
          <cell r="A43">
            <v>39</v>
          </cell>
          <cell r="B43">
            <v>1.967E-3</v>
          </cell>
          <cell r="C43">
            <v>96097</v>
          </cell>
          <cell r="D43">
            <v>39.46</v>
          </cell>
          <cell r="E43">
            <v>1.196E-3</v>
          </cell>
          <cell r="F43">
            <v>97870</v>
          </cell>
          <cell r="G43">
            <v>43.37</v>
          </cell>
          <cell r="H43">
            <v>1.968937085081101E-3</v>
          </cell>
          <cell r="I43">
            <v>3.7760406212180393E-5</v>
          </cell>
          <cell r="J43">
            <v>7.5517960799631467E-5</v>
          </cell>
          <cell r="K43">
            <v>1.1967157787711659E-3</v>
          </cell>
          <cell r="L43">
            <v>2.2950694701889729E-5</v>
          </cell>
          <cell r="M43">
            <v>4.5900335951087889E-5</v>
          </cell>
        </row>
        <row r="44">
          <cell r="A44">
            <v>40</v>
          </cell>
          <cell r="B44">
            <v>2.0920000000000001E-3</v>
          </cell>
          <cell r="C44">
            <v>95908</v>
          </cell>
          <cell r="D44">
            <v>38.53</v>
          </cell>
          <cell r="E44">
            <v>1.2869999999999999E-3</v>
          </cell>
          <cell r="F44">
            <v>97753</v>
          </cell>
          <cell r="G44">
            <v>42.43</v>
          </cell>
          <cell r="H44">
            <v>2.0941912886505991E-3</v>
          </cell>
          <cell r="I44">
            <v>4.0162539648746025E-5</v>
          </cell>
          <cell r="J44">
            <v>8.0321853324738512E-5</v>
          </cell>
          <cell r="K44">
            <v>1.2878288957689358E-3</v>
          </cell>
          <cell r="L44">
            <v>2.469806811222498E-5</v>
          </cell>
          <cell r="M44">
            <v>4.9394916255440791E-5</v>
          </cell>
        </row>
        <row r="45">
          <cell r="A45">
            <v>41</v>
          </cell>
          <cell r="B45">
            <v>2.2399999999999998E-3</v>
          </cell>
          <cell r="C45">
            <v>95708</v>
          </cell>
          <cell r="D45">
            <v>37.61</v>
          </cell>
          <cell r="E45">
            <v>1.3929999999999999E-3</v>
          </cell>
          <cell r="F45">
            <v>97627</v>
          </cell>
          <cell r="G45">
            <v>41.48</v>
          </cell>
          <cell r="H45">
            <v>2.2425125527800638E-3</v>
          </cell>
          <cell r="I45">
            <v>4.3007054705052151E-5</v>
          </cell>
          <cell r="J45">
            <v>8.6010410302650442E-5</v>
          </cell>
          <cell r="K45">
            <v>1.3939711264575156E-3</v>
          </cell>
          <cell r="L45">
            <v>2.6733670863291371E-5</v>
          </cell>
          <cell r="M45">
            <v>5.3465912373762414E-5</v>
          </cell>
        </row>
        <row r="46">
          <cell r="A46">
            <v>42</v>
          </cell>
          <cell r="B46">
            <v>2.418E-3</v>
          </cell>
          <cell r="C46">
            <v>95493</v>
          </cell>
          <cell r="D46">
            <v>36.700000000000003</v>
          </cell>
          <cell r="E46">
            <v>1.5169999999999999E-3</v>
          </cell>
          <cell r="F46">
            <v>97491</v>
          </cell>
          <cell r="G46">
            <v>40.54</v>
          </cell>
          <cell r="H46">
            <v>2.4209280830221856E-3</v>
          </cell>
          <cell r="I46">
            <v>4.6428719595998413E-5</v>
          </cell>
          <cell r="J46">
            <v>9.285312807338908E-5</v>
          </cell>
          <cell r="K46">
            <v>1.5181518095107199E-3</v>
          </cell>
          <cell r="L46">
            <v>2.9115216252082642E-5</v>
          </cell>
          <cell r="M46">
            <v>5.8228737145449294E-5</v>
          </cell>
        </row>
        <row r="47">
          <cell r="A47">
            <v>43</v>
          </cell>
          <cell r="B47">
            <v>2.6289999999999998E-3</v>
          </cell>
          <cell r="C47">
            <v>95262</v>
          </cell>
          <cell r="D47">
            <v>35.78</v>
          </cell>
          <cell r="E47">
            <v>1.6620000000000001E-3</v>
          </cell>
          <cell r="F47">
            <v>97343</v>
          </cell>
          <cell r="G47">
            <v>39.6</v>
          </cell>
          <cell r="H47">
            <v>2.6324618893692571E-3</v>
          </cell>
          <cell r="I47">
            <v>5.0485528986098918E-5</v>
          </cell>
          <cell r="J47">
            <v>1.0096596056652363E-4</v>
          </cell>
          <cell r="K47">
            <v>1.6633826541932661E-3</v>
          </cell>
          <cell r="L47">
            <v>3.1900463038942336E-5</v>
          </cell>
          <cell r="M47">
            <v>6.3798890842070577E-5</v>
          </cell>
        </row>
        <row r="48">
          <cell r="A48">
            <v>44</v>
          </cell>
          <cell r="B48">
            <v>2.8730000000000001E-3</v>
          </cell>
          <cell r="C48">
            <v>95012</v>
          </cell>
          <cell r="D48">
            <v>34.880000000000003</v>
          </cell>
          <cell r="E48">
            <v>1.8270000000000001E-3</v>
          </cell>
          <cell r="F48">
            <v>97182</v>
          </cell>
          <cell r="G48">
            <v>38.659999999999997</v>
          </cell>
          <cell r="H48">
            <v>2.8771349862761232E-3</v>
          </cell>
          <cell r="I48">
            <v>5.5177885891964648E-5</v>
          </cell>
          <cell r="J48">
            <v>1.1034968280976276E-4</v>
          </cell>
          <cell r="K48">
            <v>1.828671000088304E-3</v>
          </cell>
          <cell r="L48">
            <v>3.5070373916454665E-5</v>
          </cell>
          <cell r="M48">
            <v>7.013828802815425E-5</v>
          </cell>
        </row>
        <row r="49">
          <cell r="A49">
            <v>45</v>
          </cell>
          <cell r="B49">
            <v>3.1459999999999999E-3</v>
          </cell>
          <cell r="C49">
            <v>94739</v>
          </cell>
          <cell r="D49">
            <v>33.979999999999997</v>
          </cell>
          <cell r="E49">
            <v>2.0049999999999998E-3</v>
          </cell>
          <cell r="F49">
            <v>97004</v>
          </cell>
          <cell r="G49">
            <v>37.729999999999997</v>
          </cell>
          <cell r="H49">
            <v>3.1509590615363733E-3</v>
          </cell>
          <cell r="I49">
            <v>6.0429302197161521E-5</v>
          </cell>
          <cell r="J49">
            <v>1.2085130128736132E-4</v>
          </cell>
          <cell r="K49">
            <v>2.0070127032633845E-3</v>
          </cell>
          <cell r="L49">
            <v>3.8490622947004953E-5</v>
          </cell>
          <cell r="M49">
            <v>7.6978282913975349E-5</v>
          </cell>
        </row>
        <row r="50">
          <cell r="A50">
            <v>46</v>
          </cell>
          <cell r="B50">
            <v>3.447E-3</v>
          </cell>
          <cell r="C50">
            <v>94441</v>
          </cell>
          <cell r="D50">
            <v>33.08</v>
          </cell>
          <cell r="E50">
            <v>2.1979999999999999E-3</v>
          </cell>
          <cell r="F50">
            <v>96810</v>
          </cell>
          <cell r="G50">
            <v>36.81</v>
          </cell>
          <cell r="H50">
            <v>3.4529545920904733E-3</v>
          </cell>
          <cell r="I50">
            <v>6.6220992543385073E-5</v>
          </cell>
          <cell r="J50">
            <v>1.3243321503420002E-4</v>
          </cell>
          <cell r="K50">
            <v>2.2004191475075764E-3</v>
          </cell>
          <cell r="L50">
            <v>4.2199784582514138E-5</v>
          </cell>
          <cell r="M50">
            <v>8.4396007621556635E-5</v>
          </cell>
        </row>
        <row r="51">
          <cell r="A51">
            <v>47</v>
          </cell>
          <cell r="B51">
            <v>3.787E-3</v>
          </cell>
          <cell r="C51">
            <v>94115</v>
          </cell>
          <cell r="D51">
            <v>32.19</v>
          </cell>
          <cell r="E51">
            <v>2.4120000000000001E-3</v>
          </cell>
          <cell r="F51">
            <v>96597</v>
          </cell>
          <cell r="G51">
            <v>35.89</v>
          </cell>
          <cell r="H51">
            <v>3.7941888396631068E-3</v>
          </cell>
          <cell r="I51">
            <v>7.2765205611178256E-5</v>
          </cell>
          <cell r="J51">
            <v>1.4551982218569126E-4</v>
          </cell>
          <cell r="K51">
            <v>2.4149135579440424E-3</v>
          </cell>
          <cell r="L51">
            <v>4.6313372634510978E-5</v>
          </cell>
          <cell r="M51">
            <v>9.2622455544533189E-5</v>
          </cell>
        </row>
        <row r="52">
          <cell r="A52">
            <v>48</v>
          </cell>
          <cell r="B52">
            <v>4.1669999999999997E-3</v>
          </cell>
          <cell r="C52">
            <v>93759</v>
          </cell>
          <cell r="D52">
            <v>31.32</v>
          </cell>
          <cell r="E52">
            <v>2.6480000000000002E-3</v>
          </cell>
          <cell r="F52">
            <v>96364</v>
          </cell>
          <cell r="G52">
            <v>34.97</v>
          </cell>
          <cell r="H52">
            <v>4.1757061385701627E-3</v>
          </cell>
          <cell r="I52">
            <v>8.0081969713425275E-5</v>
          </cell>
          <cell r="J52">
            <v>1.6015111386780134E-4</v>
          </cell>
          <cell r="K52">
            <v>2.6515121534917102E-3</v>
          </cell>
          <cell r="L52">
            <v>5.085087621692906E-5</v>
          </cell>
          <cell r="M52">
            <v>1.016965809859105E-4</v>
          </cell>
        </row>
        <row r="53">
          <cell r="A53">
            <v>49</v>
          </cell>
          <cell r="B53">
            <v>4.5859999999999998E-3</v>
          </cell>
          <cell r="C53">
            <v>93368</v>
          </cell>
          <cell r="D53">
            <v>30.44</v>
          </cell>
          <cell r="E53">
            <v>2.9039999999999999E-3</v>
          </cell>
          <cell r="F53">
            <v>96109</v>
          </cell>
          <cell r="G53">
            <v>34.06</v>
          </cell>
          <cell r="H53">
            <v>4.5965479589811543E-3</v>
          </cell>
          <cell r="I53">
            <v>8.8152902101362881E-5</v>
          </cell>
          <cell r="J53">
            <v>1.7629026324772479E-4</v>
          </cell>
          <cell r="K53">
            <v>2.908224789174295E-3</v>
          </cell>
          <cell r="L53">
            <v>5.5774128197209879E-5</v>
          </cell>
          <cell r="M53">
            <v>1.1154203511898331E-4</v>
          </cell>
        </row>
        <row r="54">
          <cell r="A54">
            <v>50</v>
          </cell>
          <cell r="B54">
            <v>5.0379999999999999E-3</v>
          </cell>
          <cell r="C54">
            <v>92940</v>
          </cell>
          <cell r="D54">
            <v>29.58</v>
          </cell>
          <cell r="E54">
            <v>3.1819999999999999E-3</v>
          </cell>
          <cell r="F54">
            <v>95829</v>
          </cell>
          <cell r="G54">
            <v>33.159999999999997</v>
          </cell>
          <cell r="H54">
            <v>5.0507335076112195E-3</v>
          </cell>
          <cell r="I54">
            <v>9.6863302724075947E-5</v>
          </cell>
          <cell r="J54">
            <v>1.9370784166106159E-4</v>
          </cell>
          <cell r="K54">
            <v>3.1870733270764908E-3</v>
          </cell>
          <cell r="L54">
            <v>6.1121903980723949E-5</v>
          </cell>
          <cell r="M54">
            <v>1.2223633649155463E-4</v>
          </cell>
        </row>
        <row r="55">
          <cell r="A55">
            <v>51</v>
          </cell>
          <cell r="B55">
            <v>5.5199999999999997E-3</v>
          </cell>
          <cell r="C55">
            <v>92472</v>
          </cell>
          <cell r="D55">
            <v>28.73</v>
          </cell>
          <cell r="E55">
            <v>3.473E-3</v>
          </cell>
          <cell r="F55">
            <v>95524</v>
          </cell>
          <cell r="G55">
            <v>32.270000000000003</v>
          </cell>
          <cell r="H55">
            <v>5.5352914986770288E-3</v>
          </cell>
          <cell r="I55">
            <v>1.0615618806543229E-4</v>
          </cell>
          <cell r="J55">
            <v>2.1228983945331681E-4</v>
          </cell>
          <cell r="K55">
            <v>3.4790448644342279E-3</v>
          </cell>
          <cell r="L55">
            <v>6.6721353519543948E-5</v>
          </cell>
          <cell r="M55">
            <v>1.334338039570282E-4</v>
          </cell>
        </row>
        <row r="56">
          <cell r="A56">
            <v>52</v>
          </cell>
          <cell r="B56">
            <v>6.0359999999999997E-3</v>
          </cell>
          <cell r="C56">
            <v>91961</v>
          </cell>
          <cell r="D56">
            <v>27.89</v>
          </cell>
          <cell r="E56">
            <v>3.7669999999999999E-3</v>
          </cell>
          <cell r="F56">
            <v>95193</v>
          </cell>
          <cell r="G56">
            <v>31.38</v>
          </cell>
          <cell r="H56">
            <v>6.0542902852483791E-3</v>
          </cell>
          <cell r="I56">
            <v>1.1610958127086103E-4</v>
          </cell>
          <cell r="J56">
            <v>2.3219220175896282E-4</v>
          </cell>
          <cell r="K56">
            <v>3.7741130132661134E-3</v>
          </cell>
          <cell r="L56">
            <v>7.2380190078919924E-5</v>
          </cell>
          <cell r="M56">
            <v>1.4474990287960399E-4</v>
          </cell>
        </row>
        <row r="57">
          <cell r="A57">
            <v>53</v>
          </cell>
          <cell r="B57">
            <v>6.587E-3</v>
          </cell>
          <cell r="C57">
            <v>91406</v>
          </cell>
          <cell r="D57">
            <v>27.05</v>
          </cell>
          <cell r="E57">
            <v>4.058E-3</v>
          </cell>
          <cell r="F57">
            <v>94834</v>
          </cell>
          <cell r="G57">
            <v>30.49</v>
          </cell>
          <cell r="H57">
            <v>6.6087900244704428E-3</v>
          </cell>
          <cell r="I57">
            <v>1.2674381410451746E-4</v>
          </cell>
          <cell r="J57">
            <v>2.5345550293476293E-4</v>
          </cell>
          <cell r="K57">
            <v>4.0662560248687276E-3</v>
          </cell>
          <cell r="L57">
            <v>7.7982928162199035E-5</v>
          </cell>
          <cell r="M57">
            <v>1.5595369428256234E-4</v>
          </cell>
        </row>
        <row r="58">
          <cell r="A58">
            <v>54</v>
          </cell>
          <cell r="B58">
            <v>7.1700000000000002E-3</v>
          </cell>
          <cell r="C58">
            <v>90804</v>
          </cell>
          <cell r="D58">
            <v>26.23</v>
          </cell>
          <cell r="E58">
            <v>4.352E-3</v>
          </cell>
          <cell r="F58">
            <v>94449</v>
          </cell>
          <cell r="G58">
            <v>29.62</v>
          </cell>
          <cell r="H58">
            <v>7.1958279818024268E-3</v>
          </cell>
          <cell r="I58">
            <v>1.3800206704656678E-4</v>
          </cell>
          <cell r="J58">
            <v>2.7596604845614436E-4</v>
          </cell>
          <cell r="K58">
            <v>4.3614975174807828E-3</v>
          </cell>
          <cell r="L58">
            <v>8.3645089120106155E-5</v>
          </cell>
          <cell r="M58">
            <v>1.6727618601863892E-4</v>
          </cell>
        </row>
        <row r="59">
          <cell r="A59">
            <v>55</v>
          </cell>
          <cell r="B59">
            <v>7.8009999999999998E-3</v>
          </cell>
          <cell r="C59">
            <v>90153</v>
          </cell>
          <cell r="D59">
            <v>25.41</v>
          </cell>
          <cell r="E59">
            <v>4.6810000000000003E-3</v>
          </cell>
          <cell r="F59">
            <v>94038</v>
          </cell>
          <cell r="G59">
            <v>28.74</v>
          </cell>
          <cell r="H59">
            <v>7.8315869770146564E-3</v>
          </cell>
          <cell r="I59">
            <v>1.5019469528957264E-4</v>
          </cell>
          <cell r="J59">
            <v>3.0034427820335718E-4</v>
          </cell>
          <cell r="K59">
            <v>4.6919901906336981E-3</v>
          </cell>
          <cell r="L59">
            <v>8.998329956012609E-5</v>
          </cell>
          <cell r="M59">
            <v>1.7995040610330193E-4</v>
          </cell>
        </row>
        <row r="60">
          <cell r="A60">
            <v>56</v>
          </cell>
          <cell r="B60">
            <v>8.4659999999999996E-3</v>
          </cell>
          <cell r="C60">
            <v>89450</v>
          </cell>
          <cell r="D60">
            <v>24.61</v>
          </cell>
          <cell r="E60">
            <v>5.0400000000000002E-3</v>
          </cell>
          <cell r="F60">
            <v>93598</v>
          </cell>
          <cell r="G60">
            <v>27.88</v>
          </cell>
          <cell r="H60">
            <v>8.5020401326663803E-3</v>
          </cell>
          <cell r="I60">
            <v>1.6305269044618502E-4</v>
          </cell>
          <cell r="J60">
            <v>3.2605221431214471E-4</v>
          </cell>
          <cell r="K60">
            <v>5.0527436366515121E-3</v>
          </cell>
          <cell r="L60">
            <v>9.6901853112341512E-5</v>
          </cell>
          <cell r="M60">
            <v>1.9378492749955178E-4</v>
          </cell>
        </row>
        <row r="61">
          <cell r="A61">
            <v>57</v>
          </cell>
          <cell r="B61">
            <v>9.1330000000000005E-3</v>
          </cell>
          <cell r="C61">
            <v>88693</v>
          </cell>
          <cell r="D61">
            <v>23.82</v>
          </cell>
          <cell r="E61">
            <v>5.4000000000000003E-3</v>
          </cell>
          <cell r="F61">
            <v>93126</v>
          </cell>
          <cell r="G61">
            <v>27.01</v>
          </cell>
          <cell r="H61">
            <v>9.1749615296686984E-3</v>
          </cell>
          <cell r="I61">
            <v>1.7595802169938186E-4</v>
          </cell>
          <cell r="J61">
            <v>3.518541282111487E-4</v>
          </cell>
          <cell r="K61">
            <v>5.4146327014988416E-3</v>
          </cell>
          <cell r="L61">
            <v>1.038421856379074E-4</v>
          </cell>
          <cell r="M61">
            <v>2.076628063697461E-4</v>
          </cell>
        </row>
        <row r="62">
          <cell r="A62">
            <v>58</v>
          </cell>
          <cell r="B62">
            <v>9.7920000000000004E-3</v>
          </cell>
          <cell r="C62">
            <v>87883</v>
          </cell>
          <cell r="D62">
            <v>23.03</v>
          </cell>
          <cell r="E62">
            <v>5.7559999999999998E-3</v>
          </cell>
          <cell r="F62">
            <v>92623</v>
          </cell>
          <cell r="G62">
            <v>26.16</v>
          </cell>
          <cell r="H62">
            <v>9.8402569115267069E-3</v>
          </cell>
          <cell r="I62">
            <v>1.8871710072755268E-4</v>
          </cell>
          <cell r="J62">
            <v>3.7736298212742714E-4</v>
          </cell>
          <cell r="K62">
            <v>5.7726296120681536E-3</v>
          </cell>
          <cell r="L62">
            <v>1.1070787417017761E-4</v>
          </cell>
          <cell r="M62">
            <v>2.2139123768261104E-4</v>
          </cell>
        </row>
        <row r="63">
          <cell r="A63">
            <v>59</v>
          </cell>
          <cell r="B63">
            <v>1.0462000000000001E-2</v>
          </cell>
          <cell r="C63">
            <v>87022</v>
          </cell>
          <cell r="D63">
            <v>22.25</v>
          </cell>
          <cell r="E63">
            <v>6.1279999999999998E-3</v>
          </cell>
          <cell r="F63">
            <v>92090</v>
          </cell>
          <cell r="G63">
            <v>25.31</v>
          </cell>
          <cell r="H63">
            <v>1.0517111442945372E-2</v>
          </cell>
          <cell r="I63">
            <v>2.0169786189386038E-4</v>
          </cell>
          <cell r="J63">
            <v>4.0331437067231413E-4</v>
          </cell>
          <cell r="K63">
            <v>6.1468532532856501E-3</v>
          </cell>
          <cell r="L63">
            <v>1.1788476002074397E-4</v>
          </cell>
          <cell r="M63">
            <v>2.3574172859242015E-4</v>
          </cell>
        </row>
        <row r="64">
          <cell r="A64">
            <v>60</v>
          </cell>
          <cell r="B64">
            <v>1.1197E-2</v>
          </cell>
          <cell r="C64">
            <v>86112</v>
          </cell>
          <cell r="D64">
            <v>21.48</v>
          </cell>
          <cell r="E64">
            <v>6.5449999999999996E-3</v>
          </cell>
          <cell r="F64">
            <v>91526</v>
          </cell>
          <cell r="G64">
            <v>24.46</v>
          </cell>
          <cell r="H64">
            <v>1.1260158302730725E-2</v>
          </cell>
          <cell r="I64">
            <v>2.159480639306737E-4</v>
          </cell>
          <cell r="J64">
            <v>4.3180287415445218E-4</v>
          </cell>
          <cell r="K64">
            <v>6.5665124297774463E-3</v>
          </cell>
          <cell r="L64">
            <v>1.259330115850374E-4</v>
          </cell>
          <cell r="M64">
            <v>2.5183430758601855E-4</v>
          </cell>
        </row>
        <row r="65">
          <cell r="A65">
            <v>61</v>
          </cell>
          <cell r="B65">
            <v>1.2009000000000001E-2</v>
          </cell>
          <cell r="C65">
            <v>85147</v>
          </cell>
          <cell r="D65">
            <v>20.72</v>
          </cell>
          <cell r="E65">
            <v>7.0340000000000003E-3</v>
          </cell>
          <cell r="F65">
            <v>90927</v>
          </cell>
          <cell r="G65">
            <v>23.62</v>
          </cell>
          <cell r="H65">
            <v>1.2081690587500207E-2</v>
          </cell>
          <cell r="I65">
            <v>2.3170346466153989E-4</v>
          </cell>
          <cell r="J65">
            <v>4.6329957291590951E-4</v>
          </cell>
          <cell r="K65">
            <v>7.0588552008998004E-3</v>
          </cell>
          <cell r="L65">
            <v>1.353751939554532E-4</v>
          </cell>
          <cell r="M65">
            <v>2.7071373833231771E-4</v>
          </cell>
        </row>
        <row r="66">
          <cell r="A66">
            <v>62</v>
          </cell>
          <cell r="B66">
            <v>1.2867E-2</v>
          </cell>
          <cell r="C66">
            <v>84125</v>
          </cell>
          <cell r="D66">
            <v>19.97</v>
          </cell>
          <cell r="E66">
            <v>7.607E-3</v>
          </cell>
          <cell r="F66">
            <v>90287</v>
          </cell>
          <cell r="G66">
            <v>22.78</v>
          </cell>
          <cell r="H66">
            <v>1.2950496853810427E-2</v>
          </cell>
          <cell r="I66">
            <v>2.4836548895075701E-4</v>
          </cell>
          <cell r="J66">
            <v>4.9660762749414999E-4</v>
          </cell>
          <cell r="K66">
            <v>7.6360807967843121E-3</v>
          </cell>
          <cell r="L66">
            <v>1.4644526477783769E-4</v>
          </cell>
          <cell r="M66">
            <v>2.9284764131176644E-4</v>
          </cell>
        </row>
        <row r="67">
          <cell r="A67">
            <v>63</v>
          </cell>
          <cell r="B67">
            <v>1.3772E-2</v>
          </cell>
          <cell r="C67">
            <v>83042</v>
          </cell>
          <cell r="D67">
            <v>19.22</v>
          </cell>
          <cell r="E67">
            <v>8.2810000000000002E-3</v>
          </cell>
          <cell r="F67">
            <v>89600</v>
          </cell>
          <cell r="G67">
            <v>21.95</v>
          </cell>
          <cell r="H67">
            <v>1.3867713788215332E-2</v>
          </cell>
          <cell r="I67">
            <v>2.6595593624856561E-4</v>
          </cell>
          <cell r="J67">
            <v>5.3177043245611344E-4</v>
          </cell>
          <cell r="K67">
            <v>8.3154779537244344E-3</v>
          </cell>
          <cell r="L67">
            <v>1.5947478858529992E-4</v>
          </cell>
          <cell r="M67">
            <v>3.1889871816148663E-4</v>
          </cell>
        </row>
        <row r="68">
          <cell r="A68">
            <v>64</v>
          </cell>
          <cell r="B68">
            <v>1.4749E-2</v>
          </cell>
          <cell r="C68">
            <v>81899</v>
          </cell>
          <cell r="D68">
            <v>18.48</v>
          </cell>
          <cell r="E68">
            <v>9.0570000000000008E-3</v>
          </cell>
          <cell r="F68">
            <v>88858</v>
          </cell>
          <cell r="G68">
            <v>21.13</v>
          </cell>
          <cell r="H68">
            <v>1.485884793671949E-2</v>
          </cell>
          <cell r="I68">
            <v>2.8496397278861534E-4</v>
          </cell>
          <cell r="J68">
            <v>5.6976556749510632E-4</v>
          </cell>
          <cell r="K68">
            <v>9.0982639652833919E-3</v>
          </cell>
          <cell r="L68">
            <v>1.7448711071465898E-4</v>
          </cell>
          <cell r="M68">
            <v>3.4891333700826088E-4</v>
          </cell>
        </row>
        <row r="69">
          <cell r="A69">
            <v>65</v>
          </cell>
          <cell r="B69">
            <v>1.5852000000000002E-2</v>
          </cell>
          <cell r="C69">
            <v>80691</v>
          </cell>
          <cell r="D69">
            <v>17.75</v>
          </cell>
          <cell r="E69">
            <v>9.953E-3</v>
          </cell>
          <cell r="F69">
            <v>88054</v>
          </cell>
          <cell r="G69">
            <v>20.32</v>
          </cell>
          <cell r="H69">
            <v>1.5978986735742755E-2</v>
          </cell>
          <cell r="I69">
            <v>3.064460690859687E-4</v>
          </cell>
          <cell r="J69">
            <v>6.1270435815030666E-4</v>
          </cell>
          <cell r="K69">
            <v>1.0002862232916842E-2</v>
          </cell>
          <cell r="L69">
            <v>1.9183555638287939E-4</v>
          </cell>
          <cell r="M69">
            <v>3.8359752041638995E-4</v>
          </cell>
        </row>
        <row r="70">
          <cell r="A70">
            <v>66</v>
          </cell>
          <cell r="B70">
            <v>1.7097000000000001E-2</v>
          </cell>
          <cell r="C70">
            <v>79412</v>
          </cell>
          <cell r="D70">
            <v>17.03</v>
          </cell>
          <cell r="E70">
            <v>1.095E-2</v>
          </cell>
          <cell r="F70">
            <v>87177</v>
          </cell>
          <cell r="G70">
            <v>19.52</v>
          </cell>
          <cell r="H70">
            <v>1.724484122171974E-2</v>
          </cell>
          <cell r="I70">
            <v>3.3072271050746583E-4</v>
          </cell>
          <cell r="J70">
            <v>6.6122671421597889E-4</v>
          </cell>
          <cell r="K70">
            <v>1.1010392520052188E-2</v>
          </cell>
          <cell r="L70">
            <v>2.1115803915877692E-4</v>
          </cell>
          <cell r="M70">
            <v>4.2222691543458701E-4</v>
          </cell>
        </row>
        <row r="71">
          <cell r="A71">
            <v>67</v>
          </cell>
          <cell r="B71">
            <v>1.8463E-2</v>
          </cell>
          <cell r="C71">
            <v>78054</v>
          </cell>
          <cell r="D71">
            <v>16.32</v>
          </cell>
          <cell r="E71">
            <v>1.201E-2</v>
          </cell>
          <cell r="F71">
            <v>86223</v>
          </cell>
          <cell r="G71">
            <v>18.73</v>
          </cell>
          <cell r="H71">
            <v>1.8635568574214691E-2</v>
          </cell>
          <cell r="I71">
            <v>3.5739417205822257E-4</v>
          </cell>
          <cell r="J71">
            <v>7.1453294378398535E-4</v>
          </cell>
          <cell r="K71">
            <v>1.2082702742981377E-2</v>
          </cell>
          <cell r="L71">
            <v>2.3172287584659421E-4</v>
          </cell>
          <cell r="M71">
            <v>4.6333837729883864E-4</v>
          </cell>
        </row>
        <row r="72">
          <cell r="A72">
            <v>68</v>
          </cell>
          <cell r="B72">
            <v>1.9959000000000001E-2</v>
          </cell>
          <cell r="C72">
            <v>76613</v>
          </cell>
          <cell r="D72">
            <v>15.61</v>
          </cell>
          <cell r="E72">
            <v>1.3124E-2</v>
          </cell>
          <cell r="F72">
            <v>85187</v>
          </cell>
          <cell r="G72">
            <v>17.95</v>
          </cell>
          <cell r="H72">
            <v>2.0160871457957294E-2</v>
          </cell>
          <cell r="I72">
            <v>3.8664653208696285E-4</v>
          </cell>
          <cell r="J72">
            <v>7.7299415014675521E-4</v>
          </cell>
          <cell r="K72">
            <v>1.3210880673187247E-2</v>
          </cell>
          <cell r="L72">
            <v>2.5335914713579886E-4</v>
          </cell>
          <cell r="M72">
            <v>5.065899342384661E-4</v>
          </cell>
        </row>
        <row r="73">
          <cell r="A73">
            <v>69</v>
          </cell>
          <cell r="B73">
            <v>2.1616E-2</v>
          </cell>
          <cell r="C73">
            <v>75084</v>
          </cell>
          <cell r="D73">
            <v>14.92</v>
          </cell>
          <cell r="E73">
            <v>1.4330000000000001E-2</v>
          </cell>
          <cell r="F73">
            <v>84069</v>
          </cell>
          <cell r="G73">
            <v>17.18</v>
          </cell>
          <cell r="H73">
            <v>2.185304797265282E-2</v>
          </cell>
          <cell r="I73">
            <v>4.1909920569536448E-4</v>
          </cell>
          <cell r="J73">
            <v>8.3784722123148025E-4</v>
          </cell>
          <cell r="K73">
            <v>1.443366599760343E-2</v>
          </cell>
          <cell r="L73">
            <v>2.7680980531584226E-4</v>
          </cell>
          <cell r="M73">
            <v>5.5346639157138888E-4</v>
          </cell>
        </row>
        <row r="74">
          <cell r="A74">
            <v>70</v>
          </cell>
          <cell r="B74">
            <v>2.3528E-2</v>
          </cell>
          <cell r="C74">
            <v>73461</v>
          </cell>
          <cell r="D74">
            <v>14.24</v>
          </cell>
          <cell r="E74">
            <v>1.5727999999999999E-2</v>
          </cell>
          <cell r="F74">
            <v>82864</v>
          </cell>
          <cell r="G74">
            <v>16.43</v>
          </cell>
          <cell r="H74">
            <v>2.3809202911631137E-2</v>
          </cell>
          <cell r="I74">
            <v>4.5661447506048069E-4</v>
          </cell>
          <cell r="J74">
            <v>9.128120834711595E-4</v>
          </cell>
          <cell r="K74">
            <v>1.5852997363389253E-2</v>
          </cell>
          <cell r="L74">
            <v>3.0402983653362691E-4</v>
          </cell>
          <cell r="M74">
            <v>6.0787484224888999E-4</v>
          </cell>
        </row>
        <row r="75">
          <cell r="A75">
            <v>71</v>
          </cell>
          <cell r="B75">
            <v>2.5693000000000001E-2</v>
          </cell>
          <cell r="C75">
            <v>71732</v>
          </cell>
          <cell r="D75">
            <v>13.57</v>
          </cell>
          <cell r="E75">
            <v>1.7337999999999999E-2</v>
          </cell>
          <cell r="F75">
            <v>81561</v>
          </cell>
          <cell r="G75">
            <v>15.68</v>
          </cell>
          <cell r="H75">
            <v>2.6028829931264472E-2</v>
          </cell>
          <cell r="I75">
            <v>4.9918262949058209E-4</v>
          </cell>
          <cell r="J75">
            <v>9.9786705819526755E-4</v>
          </cell>
          <cell r="K75">
            <v>1.7490063334656861E-2</v>
          </cell>
          <cell r="L75">
            <v>3.3542559647923041E-4</v>
          </cell>
          <cell r="M75">
            <v>6.7062622260694038E-4</v>
          </cell>
        </row>
        <row r="76">
          <cell r="A76">
            <v>72</v>
          </cell>
          <cell r="B76">
            <v>2.8041E-2</v>
          </cell>
          <cell r="C76">
            <v>69889</v>
          </cell>
          <cell r="D76">
            <v>12.92</v>
          </cell>
          <cell r="E76">
            <v>1.9108E-2</v>
          </cell>
          <cell r="F76">
            <v>80147</v>
          </cell>
          <cell r="G76">
            <v>14.95</v>
          </cell>
          <cell r="H76">
            <v>2.8441656481303156E-2</v>
          </cell>
          <cell r="I76">
            <v>5.454559773488463E-4</v>
          </cell>
          <cell r="J76">
            <v>1.0903171265725931E-3</v>
          </cell>
          <cell r="K76">
            <v>1.9292917220434014E-2</v>
          </cell>
          <cell r="L76">
            <v>3.7000084806242106E-4</v>
          </cell>
          <cell r="M76">
            <v>7.3972796239496486E-4</v>
          </cell>
        </row>
        <row r="77">
          <cell r="A77">
            <v>73</v>
          </cell>
          <cell r="B77">
            <v>3.0567E-2</v>
          </cell>
          <cell r="C77">
            <v>67930</v>
          </cell>
          <cell r="D77">
            <v>12.27</v>
          </cell>
          <cell r="E77">
            <v>2.1041000000000001E-2</v>
          </cell>
          <cell r="F77">
            <v>78616</v>
          </cell>
          <cell r="G77">
            <v>14.23</v>
          </cell>
          <cell r="H77">
            <v>3.1043914475003077E-2</v>
          </cell>
          <cell r="I77">
            <v>5.9536225401738449E-4</v>
          </cell>
          <cell r="J77">
            <v>1.1900158768971547E-3</v>
          </cell>
          <cell r="K77">
            <v>2.1265516797441847E-2</v>
          </cell>
          <cell r="L77">
            <v>4.0783149378806794E-4</v>
          </cell>
          <cell r="M77">
            <v>8.1533042494730257E-4</v>
          </cell>
        </row>
        <row r="78">
          <cell r="A78">
            <v>74</v>
          </cell>
          <cell r="B78">
            <v>3.3347000000000002E-2</v>
          </cell>
          <cell r="C78">
            <v>65853</v>
          </cell>
          <cell r="D78">
            <v>11.65</v>
          </cell>
          <cell r="E78">
            <v>2.3191E-2</v>
          </cell>
          <cell r="F78">
            <v>76961</v>
          </cell>
          <cell r="G78">
            <v>13.53</v>
          </cell>
          <cell r="H78">
            <v>3.3915689706657336E-2</v>
          </cell>
          <cell r="I78">
            <v>6.5043735017916802E-4</v>
          </cell>
          <cell r="J78">
            <v>1.3000289296523082E-3</v>
          </cell>
          <cell r="K78">
            <v>2.3464142468874748E-2</v>
          </cell>
          <cell r="L78">
            <v>4.4999688296728314E-4</v>
          </cell>
          <cell r="M78">
            <v>8.9958889301533507E-4</v>
          </cell>
        </row>
        <row r="79">
          <cell r="A79">
            <v>75</v>
          </cell>
          <cell r="B79">
            <v>3.6572E-2</v>
          </cell>
          <cell r="C79">
            <v>63657</v>
          </cell>
          <cell r="D79">
            <v>11.03</v>
          </cell>
          <cell r="E79">
            <v>2.5713E-2</v>
          </cell>
          <cell r="F79">
            <v>75177</v>
          </cell>
          <cell r="G79">
            <v>12.83</v>
          </cell>
          <cell r="H79">
            <v>3.7257521475745119E-2</v>
          </cell>
          <cell r="I79">
            <v>7.1452722184123089E-4</v>
          </cell>
          <cell r="J79">
            <v>1.4280338316089436E-3</v>
          </cell>
          <cell r="K79">
            <v>2.6049357552719452E-2</v>
          </cell>
          <cell r="L79">
            <v>4.9957630957847478E-4</v>
          </cell>
          <cell r="M79">
            <v>9.9865363238060834E-4</v>
          </cell>
        </row>
        <row r="80">
          <cell r="A80">
            <v>76</v>
          </cell>
          <cell r="B80">
            <v>4.0275999999999999E-2</v>
          </cell>
          <cell r="C80">
            <v>61329</v>
          </cell>
          <cell r="D80">
            <v>10.43</v>
          </cell>
          <cell r="E80">
            <v>2.8608999999999999E-2</v>
          </cell>
          <cell r="F80">
            <v>73244</v>
          </cell>
          <cell r="G80">
            <v>12.16</v>
          </cell>
          <cell r="H80">
            <v>4.1109535856303038E-2</v>
          </cell>
          <cell r="I80">
            <v>7.8840140951698195E-4</v>
          </cell>
          <cell r="J80">
            <v>1.5755603186140554E-3</v>
          </cell>
          <cell r="K80">
            <v>2.9026214091794494E-2</v>
          </cell>
          <cell r="L80">
            <v>5.5666666203441875E-4</v>
          </cell>
          <cell r="M80">
            <v>1.1127137984577873E-3</v>
          </cell>
        </row>
        <row r="81">
          <cell r="A81">
            <v>77</v>
          </cell>
          <cell r="B81">
            <v>4.4347999999999999E-2</v>
          </cell>
          <cell r="C81">
            <v>58859</v>
          </cell>
          <cell r="D81">
            <v>9.85</v>
          </cell>
          <cell r="E81">
            <v>3.1759999999999997E-2</v>
          </cell>
          <cell r="F81">
            <v>71148</v>
          </cell>
          <cell r="G81">
            <v>11.5</v>
          </cell>
          <cell r="H81">
            <v>4.5361448937312476E-2</v>
          </cell>
          <cell r="I81">
            <v>8.6994488103485769E-4</v>
          </cell>
          <cell r="J81">
            <v>1.7383770313330604E-3</v>
          </cell>
          <cell r="K81">
            <v>3.2275288551788697E-2</v>
          </cell>
          <cell r="L81">
            <v>6.189776278609111E-4</v>
          </cell>
          <cell r="M81">
            <v>1.2371893052176564E-3</v>
          </cell>
        </row>
        <row r="82">
          <cell r="A82">
            <v>78</v>
          </cell>
          <cell r="B82">
            <v>4.8797E-2</v>
          </cell>
          <cell r="C82">
            <v>56249</v>
          </cell>
          <cell r="D82">
            <v>9.2799999999999994</v>
          </cell>
          <cell r="E82">
            <v>3.5157000000000001E-2</v>
          </cell>
          <cell r="F82">
            <v>68888</v>
          </cell>
          <cell r="G82">
            <v>10.86</v>
          </cell>
          <cell r="H82">
            <v>5.0027779699689065E-2</v>
          </cell>
          <cell r="I82">
            <v>9.5943608237533911E-4</v>
          </cell>
          <cell r="J82">
            <v>1.9170323065640371E-3</v>
          </cell>
          <cell r="K82">
            <v>3.5789885179822616E-2</v>
          </cell>
          <cell r="L82">
            <v>6.8638079546443748E-4</v>
          </cell>
          <cell r="M82">
            <v>1.3718197847438773E-3</v>
          </cell>
        </row>
        <row r="83">
          <cell r="A83">
            <v>79</v>
          </cell>
          <cell r="B83">
            <v>5.3739000000000002E-2</v>
          </cell>
          <cell r="C83">
            <v>53504</v>
          </cell>
          <cell r="D83">
            <v>8.73</v>
          </cell>
          <cell r="E83">
            <v>3.8920000000000003E-2</v>
          </cell>
          <cell r="F83">
            <v>66467</v>
          </cell>
          <cell r="G83">
            <v>10.24</v>
          </cell>
          <cell r="H83">
            <v>5.5236849463171867E-2</v>
          </cell>
          <cell r="I83">
            <v>1.0593359683326372E-3</v>
          </cell>
          <cell r="J83">
            <v>2.1164291354772713E-3</v>
          </cell>
          <cell r="K83">
            <v>3.9697626858545797E-2</v>
          </cell>
          <cell r="L83">
            <v>7.6132372496630991E-4</v>
          </cell>
          <cell r="M83">
            <v>1.5214888104453372E-3</v>
          </cell>
        </row>
        <row r="84">
          <cell r="A84">
            <v>80</v>
          </cell>
          <cell r="B84">
            <v>5.9402999999999997E-2</v>
          </cell>
          <cell r="C84">
            <v>50629</v>
          </cell>
          <cell r="D84">
            <v>8.1999999999999993</v>
          </cell>
          <cell r="E84">
            <v>4.3289000000000001E-2</v>
          </cell>
          <cell r="F84">
            <v>63880</v>
          </cell>
          <cell r="G84">
            <v>9.64</v>
          </cell>
          <cell r="H84">
            <v>6.1240498929816041E-2</v>
          </cell>
          <cell r="I84">
            <v>1.1744743566202886E-3</v>
          </cell>
          <cell r="J84">
            <v>2.3461920920215817E-3</v>
          </cell>
          <cell r="K84">
            <v>4.4253918506897784E-2</v>
          </cell>
          <cell r="L84">
            <v>8.4870458886824067E-4</v>
          </cell>
          <cell r="M84">
            <v>1.6959693935276743E-3</v>
          </cell>
        </row>
        <row r="85">
          <cell r="A85">
            <v>81</v>
          </cell>
          <cell r="B85">
            <v>6.5873000000000001E-2</v>
          </cell>
          <cell r="C85">
            <v>47621</v>
          </cell>
          <cell r="D85">
            <v>7.68</v>
          </cell>
          <cell r="E85">
            <v>4.8356000000000003E-2</v>
          </cell>
          <cell r="F85">
            <v>61114</v>
          </cell>
          <cell r="G85">
            <v>9.0500000000000007</v>
          </cell>
          <cell r="H85">
            <v>6.8142875692893623E-2</v>
          </cell>
          <cell r="I85">
            <v>1.3068485967004833E-3</v>
          </cell>
          <cell r="J85">
            <v>2.610284460822232E-3</v>
          </cell>
          <cell r="K85">
            <v>4.9564263707183462E-2</v>
          </cell>
          <cell r="L85">
            <v>9.5054674188016898E-4</v>
          </cell>
          <cell r="M85">
            <v>1.8992875501407935E-3</v>
          </cell>
        </row>
        <row r="86">
          <cell r="A86">
            <v>82</v>
          </cell>
          <cell r="B86">
            <v>7.3081999999999994E-2</v>
          </cell>
          <cell r="C86">
            <v>44484</v>
          </cell>
          <cell r="D86">
            <v>7.19</v>
          </cell>
          <cell r="E86">
            <v>5.4040999999999999E-2</v>
          </cell>
          <cell r="F86">
            <v>58159</v>
          </cell>
          <cell r="G86">
            <v>8.48</v>
          </cell>
          <cell r="H86">
            <v>7.5890174718295747E-2</v>
          </cell>
          <cell r="I86">
            <v>1.4554268120548675E-3</v>
          </cell>
          <cell r="J86">
            <v>2.9066211973534095E-3</v>
          </cell>
          <cell r="K86">
            <v>5.5556051250029895E-2</v>
          </cell>
          <cell r="L86">
            <v>1.0654576414052517E-3</v>
          </cell>
          <cell r="M86">
            <v>2.1286464946571604E-3</v>
          </cell>
        </row>
        <row r="87">
          <cell r="A87">
            <v>83</v>
          </cell>
          <cell r="B87">
            <v>8.1070000000000003E-2</v>
          </cell>
          <cell r="C87">
            <v>41233</v>
          </cell>
          <cell r="D87">
            <v>6.72</v>
          </cell>
          <cell r="E87">
            <v>6.0384E-2</v>
          </cell>
          <cell r="F87">
            <v>55016</v>
          </cell>
          <cell r="G87">
            <v>7.94</v>
          </cell>
          <cell r="H87">
            <v>8.454532927724065E-2</v>
          </cell>
          <cell r="I87">
            <v>1.6214159411394582E-3</v>
          </cell>
          <cell r="J87">
            <v>3.2375795819468145E-3</v>
          </cell>
          <cell r="K87">
            <v>6.2283997819587315E-2</v>
          </cell>
          <cell r="L87">
            <v>1.1944866476468958E-3</v>
          </cell>
          <cell r="M87">
            <v>2.3861219696231784E-3</v>
          </cell>
        </row>
        <row r="88">
          <cell r="A88">
            <v>84</v>
          </cell>
          <cell r="B88">
            <v>8.9946999999999999E-2</v>
          </cell>
          <cell r="C88">
            <v>37890</v>
          </cell>
          <cell r="D88">
            <v>6.27</v>
          </cell>
          <cell r="E88">
            <v>6.7498000000000002E-2</v>
          </cell>
          <cell r="F88">
            <v>51694</v>
          </cell>
          <cell r="G88">
            <v>7.42</v>
          </cell>
          <cell r="H88">
            <v>9.4252439408984923E-2</v>
          </cell>
          <cell r="I88">
            <v>1.8075795440795376E-3</v>
          </cell>
          <cell r="J88">
            <v>3.6086322680759508E-3</v>
          </cell>
          <cell r="K88">
            <v>6.9883982694348562E-2</v>
          </cell>
          <cell r="L88">
            <v>1.3402396624343596E-3</v>
          </cell>
          <cell r="M88">
            <v>2.6768900478736368E-3</v>
          </cell>
        </row>
        <row r="89">
          <cell r="A89">
            <v>85</v>
          </cell>
          <cell r="B89">
            <v>9.9842E-2</v>
          </cell>
          <cell r="C89">
            <v>34482</v>
          </cell>
          <cell r="D89">
            <v>5.84</v>
          </cell>
          <cell r="E89">
            <v>7.5516E-2</v>
          </cell>
          <cell r="F89">
            <v>48205</v>
          </cell>
          <cell r="G89">
            <v>6.92</v>
          </cell>
          <cell r="H89">
            <v>0.10518497551034399</v>
          </cell>
          <cell r="I89">
            <v>2.0172444476686952E-3</v>
          </cell>
          <cell r="J89">
            <v>4.026361278947288E-3</v>
          </cell>
          <cell r="K89">
            <v>7.851953495696383E-2</v>
          </cell>
          <cell r="L89">
            <v>1.5058528573777797E-3</v>
          </cell>
          <cell r="M89">
            <v>3.0071750785549689E-3</v>
          </cell>
        </row>
        <row r="90">
          <cell r="A90">
            <v>86</v>
          </cell>
          <cell r="B90">
            <v>0.110863</v>
          </cell>
          <cell r="C90">
            <v>31040</v>
          </cell>
          <cell r="D90">
            <v>5.43</v>
          </cell>
          <cell r="E90">
            <v>8.4556000000000006E-2</v>
          </cell>
          <cell r="F90">
            <v>44565</v>
          </cell>
          <cell r="G90">
            <v>6.44</v>
          </cell>
          <cell r="H90">
            <v>0.11750394960451889</v>
          </cell>
          <cell r="I90">
            <v>2.253498551183745E-3</v>
          </cell>
          <cell r="J90">
            <v>4.4968558322060481E-3</v>
          </cell>
          <cell r="K90">
            <v>8.8346085498696825E-2</v>
          </cell>
          <cell r="L90">
            <v>1.6943070964349283E-3</v>
          </cell>
          <cell r="M90">
            <v>3.3828793193825257E-3</v>
          </cell>
        </row>
        <row r="91">
          <cell r="A91">
            <v>87</v>
          </cell>
          <cell r="B91">
            <v>0.123088</v>
          </cell>
          <cell r="C91">
            <v>27598</v>
          </cell>
          <cell r="D91">
            <v>5.04</v>
          </cell>
          <cell r="E91">
            <v>9.4702999999999996E-2</v>
          </cell>
          <cell r="F91">
            <v>40796</v>
          </cell>
          <cell r="G91">
            <v>5.99</v>
          </cell>
          <cell r="H91">
            <v>0.13134863371981337</v>
          </cell>
          <cell r="I91">
            <v>2.5190128228351968E-3</v>
          </cell>
          <cell r="J91">
            <v>5.0253560799291552E-3</v>
          </cell>
          <cell r="K91">
            <v>9.9492212324856735E-2</v>
          </cell>
          <cell r="L91">
            <v>1.9080682571329317E-3</v>
          </cell>
          <cell r="M91">
            <v>3.8088643188226579E-3</v>
          </cell>
        </row>
        <row r="92">
          <cell r="A92">
            <v>88</v>
          </cell>
          <cell r="B92">
            <v>0.13656299999999999</v>
          </cell>
          <cell r="C92">
            <v>24201</v>
          </cell>
          <cell r="D92">
            <v>4.68</v>
          </cell>
          <cell r="E92">
            <v>0.106014</v>
          </cell>
          <cell r="F92">
            <v>36933</v>
          </cell>
          <cell r="G92">
            <v>5.57</v>
          </cell>
          <cell r="H92">
            <v>0.14683434294527842</v>
          </cell>
          <cell r="I92">
            <v>2.8159987830611343E-3</v>
          </cell>
          <cell r="J92">
            <v>5.6161675998828153E-3</v>
          </cell>
          <cell r="K92">
            <v>0.11206516388649862</v>
          </cell>
          <cell r="L92">
            <v>2.1491931573905292E-3</v>
          </cell>
          <cell r="M92">
            <v>4.2891614743678641E-3</v>
          </cell>
        </row>
        <row r="93">
          <cell r="A93">
            <v>89</v>
          </cell>
          <cell r="B93">
            <v>0.15129899999999999</v>
          </cell>
          <cell r="C93">
            <v>20896</v>
          </cell>
          <cell r="D93">
            <v>4.34</v>
          </cell>
          <cell r="E93">
            <v>0.11851299999999999</v>
          </cell>
          <cell r="F93">
            <v>33017</v>
          </cell>
          <cell r="G93">
            <v>5.17</v>
          </cell>
          <cell r="H93">
            <v>0.16404833373454769</v>
          </cell>
          <cell r="I93">
            <v>3.1461298419257024E-3</v>
          </cell>
          <cell r="J93">
            <v>6.2725048737357625E-3</v>
          </cell>
          <cell r="K93">
            <v>0.12614502484229523</v>
          </cell>
          <cell r="L93">
            <v>2.4192176661116901E-3</v>
          </cell>
          <cell r="M93">
            <v>4.8267489595079649E-3</v>
          </cell>
        </row>
        <row r="94">
          <cell r="A94">
            <v>90</v>
          </cell>
          <cell r="B94">
            <v>0.167291</v>
          </cell>
          <cell r="C94">
            <v>17735</v>
          </cell>
          <cell r="D94">
            <v>4.03</v>
          </cell>
          <cell r="E94">
            <v>0.13220599999999999</v>
          </cell>
          <cell r="F94">
            <v>29104</v>
          </cell>
          <cell r="G94">
            <v>4.8</v>
          </cell>
          <cell r="H94">
            <v>0.18307103758452889</v>
          </cell>
          <cell r="I94">
            <v>3.5109485200195789E-3</v>
          </cell>
          <cell r="J94">
            <v>6.997301124685551E-3</v>
          </cell>
          <cell r="K94">
            <v>0.14180091967728087</v>
          </cell>
          <cell r="L94">
            <v>2.7194674572622712E-3</v>
          </cell>
          <cell r="M94">
            <v>5.4241706873735529E-3</v>
          </cell>
        </row>
        <row r="95">
          <cell r="A95">
            <v>91</v>
          </cell>
          <cell r="B95">
            <v>0.18451999999999999</v>
          </cell>
          <cell r="C95">
            <v>14768</v>
          </cell>
          <cell r="D95">
            <v>3.74</v>
          </cell>
          <cell r="E95">
            <v>0.147092</v>
          </cell>
          <cell r="F95">
            <v>25257</v>
          </cell>
          <cell r="G95">
            <v>4.45</v>
          </cell>
          <cell r="H95">
            <v>0.2039783820531989</v>
          </cell>
          <cell r="I95">
            <v>3.911910961093436E-3</v>
          </cell>
          <cell r="J95">
            <v>7.7932954904519347E-3</v>
          </cell>
          <cell r="K95">
            <v>0.15910359193790199</v>
          </cell>
          <cell r="L95">
            <v>3.0512992552754448E-3</v>
          </cell>
          <cell r="M95">
            <v>6.0840154770740451E-3</v>
          </cell>
        </row>
        <row r="96">
          <cell r="A96">
            <v>92</v>
          </cell>
          <cell r="B96">
            <v>0.202954</v>
          </cell>
          <cell r="C96">
            <v>12043</v>
          </cell>
          <cell r="D96">
            <v>3.47</v>
          </cell>
          <cell r="E96">
            <v>0.16315399999999999</v>
          </cell>
          <cell r="F96">
            <v>21542</v>
          </cell>
          <cell r="G96">
            <v>4.13</v>
          </cell>
          <cell r="H96">
            <v>0.22684288542081402</v>
          </cell>
          <cell r="I96">
            <v>4.3504079255433439E-3</v>
          </cell>
          <cell r="J96">
            <v>8.6630732958462575E-3</v>
          </cell>
          <cell r="K96">
            <v>0.17811521586303455</v>
          </cell>
          <cell r="L96">
            <v>3.4159054418345463E-3</v>
          </cell>
          <cell r="M96">
            <v>6.8085271172968476E-3</v>
          </cell>
        </row>
        <row r="97">
          <cell r="A97">
            <v>93</v>
          </cell>
          <cell r="B97">
            <v>0.222555</v>
          </cell>
          <cell r="C97">
            <v>9599</v>
          </cell>
          <cell r="D97">
            <v>3.23</v>
          </cell>
          <cell r="E97">
            <v>0.180371</v>
          </cell>
          <cell r="F97">
            <v>18027</v>
          </cell>
          <cell r="G97">
            <v>3.84</v>
          </cell>
          <cell r="H97">
            <v>0.25174237698074714</v>
          </cell>
          <cell r="I97">
            <v>4.8279320287277303E-3</v>
          </cell>
          <cell r="J97">
            <v>9.6093958858263218E-3</v>
          </cell>
          <cell r="K97">
            <v>0.19890348012964604</v>
          </cell>
          <cell r="L97">
            <v>3.8145841548829474E-3</v>
          </cell>
          <cell r="M97">
            <v>7.6001400725608237E-3</v>
          </cell>
        </row>
        <row r="98">
          <cell r="A98">
            <v>94</v>
          </cell>
          <cell r="B98">
            <v>0.24327199999999999</v>
          </cell>
          <cell r="C98">
            <v>7463</v>
          </cell>
          <cell r="D98">
            <v>3.01</v>
          </cell>
          <cell r="E98">
            <v>0.198714</v>
          </cell>
          <cell r="F98">
            <v>14775</v>
          </cell>
          <cell r="G98">
            <v>3.57</v>
          </cell>
          <cell r="H98">
            <v>0.27875140319103875</v>
          </cell>
          <cell r="I98">
            <v>5.3459129275709397E-3</v>
          </cell>
          <cell r="J98">
            <v>1.0634871448009675E-2</v>
          </cell>
          <cell r="K98">
            <v>0.22153734195937855</v>
          </cell>
          <cell r="L98">
            <v>4.2486578605980593E-3</v>
          </cell>
          <cell r="M98">
            <v>8.4613155743316071E-3</v>
          </cell>
        </row>
        <row r="99">
          <cell r="A99">
            <v>95</v>
          </cell>
          <cell r="B99">
            <v>0.26382100000000003</v>
          </cell>
          <cell r="C99">
            <v>5647</v>
          </cell>
          <cell r="D99">
            <v>2.82</v>
          </cell>
          <cell r="E99">
            <v>0.21726400000000001</v>
          </cell>
          <cell r="F99">
            <v>11839</v>
          </cell>
          <cell r="G99">
            <v>3.34</v>
          </cell>
          <cell r="H99">
            <v>0.30628198330143358</v>
          </cell>
          <cell r="I99">
            <v>5.8738962217566261E-3</v>
          </cell>
          <cell r="J99">
            <v>1.1679056558138168E-2</v>
          </cell>
          <cell r="K99">
            <v>0.244959804595106</v>
          </cell>
          <cell r="L99">
            <v>4.6978554049564945E-3</v>
          </cell>
          <cell r="M99">
            <v>9.35170903624849E-3</v>
          </cell>
        </row>
        <row r="100">
          <cell r="A100">
            <v>96</v>
          </cell>
          <cell r="B100">
            <v>0.283833</v>
          </cell>
          <cell r="C100">
            <v>4157</v>
          </cell>
          <cell r="D100">
            <v>2.64</v>
          </cell>
          <cell r="E100">
            <v>0.235735</v>
          </cell>
          <cell r="F100">
            <v>9267</v>
          </cell>
          <cell r="G100">
            <v>3.12</v>
          </cell>
          <cell r="H100">
            <v>0.33384189899429989</v>
          </cell>
          <cell r="I100">
            <v>6.402442115691684E-3</v>
          </cell>
          <cell r="J100">
            <v>1.2723250509569572E-2</v>
          </cell>
          <cell r="K100">
            <v>0.26884069131842409</v>
          </cell>
          <cell r="L100">
            <v>5.1558446369193911E-3</v>
          </cell>
          <cell r="M100">
            <v>1.0258706077802215E-2</v>
          </cell>
        </row>
        <row r="101">
          <cell r="A101">
            <v>97</v>
          </cell>
          <cell r="B101">
            <v>0.30291600000000002</v>
          </cell>
          <cell r="C101">
            <v>2977</v>
          </cell>
          <cell r="D101">
            <v>2.4900000000000002</v>
          </cell>
          <cell r="E101">
            <v>0.25380999999999998</v>
          </cell>
          <cell r="F101">
            <v>7083</v>
          </cell>
          <cell r="G101">
            <v>2.93</v>
          </cell>
          <cell r="H101">
            <v>0.36084935898386034</v>
          </cell>
          <cell r="I101">
            <v>6.920392977449669E-3</v>
          </cell>
          <cell r="J101">
            <v>1.374544265924027E-2</v>
          </cell>
          <cell r="K101">
            <v>0.29277501951779028</v>
          </cell>
          <cell r="L101">
            <v>5.61485877306E-3</v>
          </cell>
          <cell r="M101">
            <v>1.1166899630404403E-2</v>
          </cell>
        </row>
        <row r="102">
          <cell r="A102">
            <v>98</v>
          </cell>
          <cell r="B102">
            <v>0.32067200000000001</v>
          </cell>
          <cell r="C102">
            <v>2075</v>
          </cell>
          <cell r="D102">
            <v>2.36</v>
          </cell>
          <cell r="E102">
            <v>0.27115499999999998</v>
          </cell>
          <cell r="F102">
            <v>5285</v>
          </cell>
          <cell r="G102">
            <v>2.76</v>
          </cell>
          <cell r="H102">
            <v>0.38665120473254583</v>
          </cell>
          <cell r="I102">
            <v>7.415222489208422E-3</v>
          </cell>
          <cell r="J102">
            <v>1.4721015559510775E-2</v>
          </cell>
          <cell r="K102">
            <v>0.31629418960775635</v>
          </cell>
          <cell r="L102">
            <v>6.0659109794000019E-3</v>
          </cell>
          <cell r="M102">
            <v>1.2058528102195654E-2</v>
          </cell>
        </row>
        <row r="103">
          <cell r="A103">
            <v>99</v>
          </cell>
          <cell r="B103">
            <v>0.33670600000000001</v>
          </cell>
          <cell r="C103">
            <v>1410</v>
          </cell>
          <cell r="D103">
            <v>2.2400000000000002</v>
          </cell>
          <cell r="E103">
            <v>0.28742400000000001</v>
          </cell>
          <cell r="F103">
            <v>3852</v>
          </cell>
          <cell r="G103">
            <v>2.6</v>
          </cell>
          <cell r="H103">
            <v>0.41053694817222658</v>
          </cell>
          <cell r="I103">
            <v>7.8733048636003486E-3</v>
          </cell>
          <cell r="J103">
            <v>1.5623280058198574E-2</v>
          </cell>
          <cell r="K103">
            <v>0.3388687058611492</v>
          </cell>
          <cell r="L103">
            <v>6.4988465517098054E-3</v>
          </cell>
          <cell r="M103">
            <v>1.2913587876070221E-2</v>
          </cell>
        </row>
        <row r="104">
          <cell r="A104">
            <v>100</v>
          </cell>
          <cell r="B104">
            <v>0.35354099999999999</v>
          </cell>
          <cell r="C104">
            <v>935</v>
          </cell>
          <cell r="D104">
            <v>2.12</v>
          </cell>
          <cell r="E104">
            <v>0.30467</v>
          </cell>
          <cell r="F104">
            <v>2745</v>
          </cell>
          <cell r="G104">
            <v>2.4500000000000002</v>
          </cell>
          <cell r="H104">
            <v>0.43624550118806293</v>
          </cell>
          <cell r="I104">
            <v>8.3663452011311784E-3</v>
          </cell>
          <cell r="J104">
            <v>1.6593476494120907E-2</v>
          </cell>
          <cell r="K104">
            <v>0.36336872596487385</v>
          </cell>
          <cell r="L104">
            <v>6.9687095647705411E-3</v>
          </cell>
          <cell r="M104">
            <v>1.3840742963461272E-2</v>
          </cell>
        </row>
        <row r="105">
          <cell r="A105">
            <v>101</v>
          </cell>
          <cell r="B105">
            <v>0.37121799999999999</v>
          </cell>
          <cell r="C105">
            <v>605</v>
          </cell>
          <cell r="D105">
            <v>2.0099999999999998</v>
          </cell>
          <cell r="E105">
            <v>0.32295000000000001</v>
          </cell>
          <cell r="F105">
            <v>1909</v>
          </cell>
          <cell r="G105">
            <v>2.2999999999999998</v>
          </cell>
          <cell r="H105">
            <v>0.46397066423106925</v>
          </cell>
          <cell r="I105">
            <v>8.8980602197244359E-3</v>
          </cell>
          <cell r="J105">
            <v>1.7638704667961802E-2</v>
          </cell>
          <cell r="K105">
            <v>0.3900101535533041</v>
          </cell>
          <cell r="L105">
            <v>7.4796406328244899E-3</v>
          </cell>
          <cell r="M105">
            <v>1.4847947068886147E-2</v>
          </cell>
        </row>
        <row r="106">
          <cell r="A106">
            <v>102</v>
          </cell>
          <cell r="B106">
            <v>0.38977899999999999</v>
          </cell>
          <cell r="C106">
            <v>380</v>
          </cell>
          <cell r="D106">
            <v>1.9</v>
          </cell>
          <cell r="E106">
            <v>0.34232699999999999</v>
          </cell>
          <cell r="F106">
            <v>1292</v>
          </cell>
          <cell r="G106">
            <v>2.17</v>
          </cell>
          <cell r="H106">
            <v>0.49393409234582908</v>
          </cell>
          <cell r="I106">
            <v>9.4727008345494614E-3</v>
          </cell>
          <cell r="J106">
            <v>1.876706553923746E-2</v>
          </cell>
          <cell r="K106">
            <v>0.41904743166893127</v>
          </cell>
          <cell r="L106">
            <v>8.0365194814429435E-3</v>
          </cell>
          <cell r="M106">
            <v>1.5944556958576217E-2</v>
          </cell>
        </row>
        <row r="107">
          <cell r="A107">
            <v>103</v>
          </cell>
          <cell r="B107">
            <v>0.40926800000000002</v>
          </cell>
          <cell r="C107">
            <v>232</v>
          </cell>
          <cell r="D107">
            <v>1.8</v>
          </cell>
          <cell r="E107">
            <v>0.362867</v>
          </cell>
          <cell r="F107">
            <v>850</v>
          </cell>
          <cell r="G107">
            <v>2.0299999999999998</v>
          </cell>
          <cell r="H107">
            <v>0.52639283312118534</v>
          </cell>
          <cell r="I107">
            <v>1.0095196721340497E-2</v>
          </cell>
          <cell r="J107">
            <v>1.9987932328358604E-2</v>
          </cell>
          <cell r="K107">
            <v>0.45077685399503348</v>
          </cell>
          <cell r="L107">
            <v>8.6450284505663003E-3</v>
          </cell>
          <cell r="M107">
            <v>1.7141441622205322E-2</v>
          </cell>
        </row>
        <row r="108">
          <cell r="A108">
            <v>104</v>
          </cell>
          <cell r="B108">
            <v>0.429732</v>
          </cell>
          <cell r="C108">
            <v>137</v>
          </cell>
          <cell r="D108">
            <v>1.7</v>
          </cell>
          <cell r="E108">
            <v>0.38463900000000001</v>
          </cell>
          <cell r="F108">
            <v>541</v>
          </cell>
          <cell r="G108">
            <v>1.91</v>
          </cell>
          <cell r="H108">
            <v>0.56164885321278202</v>
          </cell>
          <cell r="I108">
            <v>1.0771339016678819E-2</v>
          </cell>
          <cell r="J108">
            <v>2.1312291888816559E-2</v>
          </cell>
          <cell r="K108">
            <v>0.4855461915180399</v>
          </cell>
          <cell r="L108">
            <v>9.3118371152743698E-3</v>
          </cell>
          <cell r="M108">
            <v>1.8451325192169188E-2</v>
          </cell>
        </row>
        <row r="109">
          <cell r="A109">
            <v>105</v>
          </cell>
          <cell r="B109">
            <v>0.45121800000000001</v>
          </cell>
          <cell r="C109">
            <v>78</v>
          </cell>
          <cell r="D109">
            <v>1.6</v>
          </cell>
          <cell r="E109">
            <v>0.407717</v>
          </cell>
          <cell r="F109">
            <v>333</v>
          </cell>
          <cell r="G109">
            <v>1.78</v>
          </cell>
          <cell r="H109">
            <v>0.6000540019421744</v>
          </cell>
          <cell r="I109">
            <v>1.1507875510226213E-2</v>
          </cell>
          <cell r="J109">
            <v>2.2752908986866105E-2</v>
          </cell>
          <cell r="K109">
            <v>0.52377071778256867</v>
          </cell>
          <cell r="L109">
            <v>1.0044909619192041E-2</v>
          </cell>
          <cell r="M109">
            <v>1.9889363437790353E-2</v>
          </cell>
        </row>
        <row r="110">
          <cell r="A110">
            <v>106</v>
          </cell>
          <cell r="B110">
            <v>0.47377900000000001</v>
          </cell>
          <cell r="C110">
            <v>43</v>
          </cell>
          <cell r="D110">
            <v>1.51</v>
          </cell>
          <cell r="E110">
            <v>0.43218000000000001</v>
          </cell>
          <cell r="F110">
            <v>197</v>
          </cell>
          <cell r="G110">
            <v>1.67</v>
          </cell>
          <cell r="H110">
            <v>0.6420340023923472</v>
          </cell>
          <cell r="I110">
            <v>1.231297074754851E-2</v>
          </cell>
          <cell r="J110">
            <v>2.4325196763081647E-2</v>
          </cell>
          <cell r="K110">
            <v>0.56595081189329877</v>
          </cell>
          <cell r="L110">
            <v>1.0853842266028525E-2</v>
          </cell>
          <cell r="M110">
            <v>2.1473768398149073E-2</v>
          </cell>
        </row>
        <row r="111">
          <cell r="A111">
            <v>107</v>
          </cell>
          <cell r="B111">
            <v>0.49746800000000002</v>
          </cell>
          <cell r="C111">
            <v>23</v>
          </cell>
          <cell r="D111">
            <v>1.42</v>
          </cell>
          <cell r="E111">
            <v>0.45811099999999999</v>
          </cell>
          <cell r="F111">
            <v>112</v>
          </cell>
          <cell r="G111">
            <v>1.56</v>
          </cell>
          <cell r="H111">
            <v>0.68809595948445301</v>
          </cell>
          <cell r="I111">
            <v>1.3196350020510042E-2</v>
          </cell>
          <cell r="J111">
            <v>2.6047456703015004E-2</v>
          </cell>
          <cell r="K111">
            <v>0.61269409556424026</v>
          </cell>
          <cell r="L111">
            <v>1.1750288065378801E-2</v>
          </cell>
          <cell r="M111">
            <v>2.3226588080524135E-2</v>
          </cell>
        </row>
        <row r="112">
          <cell r="A112">
            <v>108</v>
          </cell>
          <cell r="B112">
            <v>0.52234100000000006</v>
          </cell>
          <cell r="C112">
            <v>11</v>
          </cell>
          <cell r="D112">
            <v>1.34</v>
          </cell>
          <cell r="E112">
            <v>0.485597</v>
          </cell>
          <cell r="F112">
            <v>61</v>
          </cell>
          <cell r="G112">
            <v>1.45</v>
          </cell>
          <cell r="H112">
            <v>0.73885819019512444</v>
          </cell>
          <cell r="I112">
            <v>1.4169871453162836E-2</v>
          </cell>
          <cell r="J112">
            <v>2.7941939135840754E-2</v>
          </cell>
          <cell r="K112">
            <v>0.66474827403840875</v>
          </cell>
          <cell r="L112">
            <v>1.2748586558062724E-2</v>
          </cell>
          <cell r="M112">
            <v>2.5174865320700235E-2</v>
          </cell>
        </row>
        <row r="113">
          <cell r="A113">
            <v>109</v>
          </cell>
          <cell r="B113">
            <v>0.548458</v>
          </cell>
          <cell r="C113">
            <v>5</v>
          </cell>
          <cell r="D113">
            <v>1.26</v>
          </cell>
          <cell r="E113">
            <v>0.514733</v>
          </cell>
          <cell r="F113">
            <v>31</v>
          </cell>
          <cell r="G113">
            <v>1.35</v>
          </cell>
          <cell r="H113">
            <v>0.79508688719567777</v>
          </cell>
          <cell r="I113">
            <v>1.5248229139454802E-2</v>
          </cell>
          <cell r="J113">
            <v>3.0036132597386911E-2</v>
          </cell>
          <cell r="K113">
            <v>0.72305602405878289</v>
          </cell>
          <cell r="L113">
            <v>1.3866816461278197E-2</v>
          </cell>
          <cell r="M113">
            <v>2.7352586452117356E-2</v>
          </cell>
        </row>
        <row r="114">
          <cell r="A114">
            <v>110</v>
          </cell>
          <cell r="B114">
            <v>0.57588099999999998</v>
          </cell>
          <cell r="C114">
            <v>2</v>
          </cell>
          <cell r="D114">
            <v>1.18</v>
          </cell>
          <cell r="E114">
            <v>0.54561700000000002</v>
          </cell>
          <cell r="F114">
            <v>15</v>
          </cell>
          <cell r="G114">
            <v>1.26</v>
          </cell>
          <cell r="H114">
            <v>0.85774120275057675</v>
          </cell>
          <cell r="I114">
            <v>1.6449817765229337E-2</v>
          </cell>
          <cell r="J114">
            <v>3.2364329043490181E-2</v>
          </cell>
          <cell r="K114">
            <v>0.78881482424687177</v>
          </cell>
          <cell r="L114">
            <v>1.5127943099575816E-2</v>
          </cell>
          <cell r="M114">
            <v>2.9802758301971433E-2</v>
          </cell>
        </row>
        <row r="115">
          <cell r="A115">
            <v>111</v>
          </cell>
          <cell r="B115">
            <v>0.60467499999999996</v>
          </cell>
          <cell r="C115">
            <v>1</v>
          </cell>
          <cell r="D115">
            <v>1.1100000000000001</v>
          </cell>
          <cell r="E115">
            <v>0.57835400000000003</v>
          </cell>
          <cell r="F115">
            <v>7</v>
          </cell>
          <cell r="G115">
            <v>1.17</v>
          </cell>
          <cell r="H115">
            <v>0.92804706757275668</v>
          </cell>
          <cell r="I115">
            <v>1.779814831113645E-2</v>
          </cell>
          <cell r="J115">
            <v>3.4970199354717679E-2</v>
          </cell>
          <cell r="K115">
            <v>0.86358917954745407</v>
          </cell>
          <cell r="L115">
            <v>1.6561970652715023E-2</v>
          </cell>
          <cell r="M115">
            <v>3.2581350972008094E-2</v>
          </cell>
        </row>
        <row r="116">
          <cell r="A116">
            <v>112</v>
          </cell>
          <cell r="B116">
            <v>0.63490899999999995</v>
          </cell>
          <cell r="C116">
            <v>0</v>
          </cell>
          <cell r="D116">
            <v>1.04</v>
          </cell>
          <cell r="E116">
            <v>0.61305500000000002</v>
          </cell>
          <cell r="F116">
            <v>3</v>
          </cell>
          <cell r="G116">
            <v>1.08</v>
          </cell>
          <cell r="H116">
            <v>1.0076086414049892</v>
          </cell>
          <cell r="I116">
            <v>1.9323985459285719E-2</v>
          </cell>
          <cell r="J116">
            <v>3.7910667035710444E-2</v>
          </cell>
          <cell r="K116">
            <v>0.94947271491524698</v>
          </cell>
          <cell r="L116">
            <v>1.8209050799154764E-2</v>
          </cell>
          <cell r="M116">
            <v>3.5762939863248633E-2</v>
          </cell>
        </row>
        <row r="117">
          <cell r="A117">
            <v>113</v>
          </cell>
          <cell r="B117">
            <v>0.666655</v>
          </cell>
          <cell r="C117">
            <v>0</v>
          </cell>
          <cell r="D117">
            <v>0.97</v>
          </cell>
          <cell r="E117">
            <v>0.64983900000000006</v>
          </cell>
          <cell r="F117">
            <v>1</v>
          </cell>
          <cell r="G117">
            <v>1</v>
          </cell>
          <cell r="H117">
            <v>1.0985772892805954</v>
          </cell>
          <cell r="I117">
            <v>2.1068588231199174E-2</v>
          </cell>
          <cell r="J117">
            <v>4.1261744770618169E-2</v>
          </cell>
          <cell r="K117">
            <v>1.0493622302662438</v>
          </cell>
          <cell r="L117">
            <v>2.0124738560115447E-2</v>
          </cell>
          <cell r="M117">
            <v>3.9450225933383987E-2</v>
          </cell>
        </row>
        <row r="118">
          <cell r="A118">
            <v>114</v>
          </cell>
          <cell r="B118">
            <v>0.69998700000000003</v>
          </cell>
          <cell r="C118">
            <v>0</v>
          </cell>
          <cell r="D118">
            <v>0.9</v>
          </cell>
          <cell r="E118">
            <v>0.68882900000000002</v>
          </cell>
          <cell r="F118">
            <v>0</v>
          </cell>
          <cell r="G118">
            <v>0.92</v>
          </cell>
          <cell r="H118">
            <v>1.2039294719314646</v>
          </cell>
          <cell r="I118">
            <v>2.3089039388516263E-2</v>
          </cell>
          <cell r="J118">
            <v>4.5128095371656296E-2</v>
          </cell>
          <cell r="K118">
            <v>1.1674126786808088</v>
          </cell>
          <cell r="L118">
            <v>2.2388717901781621E-2</v>
          </cell>
          <cell r="M118">
            <v>4.3789723676221359E-2</v>
          </cell>
        </row>
        <row r="119">
          <cell r="A119">
            <v>115</v>
          </cell>
          <cell r="B119">
            <v>0.73498699999999995</v>
          </cell>
          <cell r="C119">
            <v>0</v>
          </cell>
          <cell r="D119">
            <v>0.84</v>
          </cell>
          <cell r="E119">
            <v>0.730159</v>
          </cell>
          <cell r="F119">
            <v>0</v>
          </cell>
          <cell r="G119">
            <v>0.85</v>
          </cell>
          <cell r="H119">
            <v>1.3279763975953769</v>
          </cell>
          <cell r="I119">
            <v>2.5468019569210323E-2</v>
          </cell>
          <cell r="J119">
            <v>4.9660546881232781E-2</v>
          </cell>
          <cell r="K119">
            <v>1.3099223823358166</v>
          </cell>
          <cell r="L119">
            <v>2.5121778465252539E-2</v>
          </cell>
          <cell r="M119">
            <v>4.9002225806959454E-2</v>
          </cell>
        </row>
        <row r="120">
          <cell r="A120">
            <v>116</v>
          </cell>
          <cell r="B120">
            <v>0.77173599999999998</v>
          </cell>
          <cell r="C120">
            <v>0</v>
          </cell>
          <cell r="D120">
            <v>0.78</v>
          </cell>
          <cell r="E120">
            <v>0.77173599999999998</v>
          </cell>
          <cell r="F120">
            <v>0</v>
          </cell>
          <cell r="G120">
            <v>0.78</v>
          </cell>
          <cell r="H120">
            <v>1.4772524251339429</v>
          </cell>
          <cell r="I120">
            <v>2.8330845141600162E-2</v>
          </cell>
          <cell r="J120">
            <v>5.5086311219250339E-2</v>
          </cell>
          <cell r="K120">
            <v>1.4772524251339429</v>
          </cell>
          <cell r="L120">
            <v>2.8330845141600162E-2</v>
          </cell>
          <cell r="M120">
            <v>5.5086311219250339E-2</v>
          </cell>
        </row>
        <row r="121">
          <cell r="A121">
            <v>117</v>
          </cell>
          <cell r="B121">
            <v>0.81032300000000002</v>
          </cell>
          <cell r="C121">
            <v>0</v>
          </cell>
          <cell r="D121">
            <v>0.72</v>
          </cell>
          <cell r="E121">
            <v>0.81032300000000002</v>
          </cell>
          <cell r="F121">
            <v>0</v>
          </cell>
          <cell r="G121">
            <v>0.72</v>
          </cell>
          <cell r="H121">
            <v>1.6624326534614084</v>
          </cell>
          <cell r="I121">
            <v>3.1882243861799178E-2</v>
          </cell>
          <cell r="J121">
            <v>6.1774062760804771E-2</v>
          </cell>
          <cell r="K121">
            <v>1.6624326534614084</v>
          </cell>
          <cell r="L121">
            <v>3.1882243861799178E-2</v>
          </cell>
          <cell r="M121">
            <v>6.1774062760804771E-2</v>
          </cell>
        </row>
        <row r="122">
          <cell r="A122">
            <v>118</v>
          </cell>
          <cell r="B122">
            <v>0.85083900000000001</v>
          </cell>
          <cell r="C122">
            <v>0</v>
          </cell>
          <cell r="D122">
            <v>0.67</v>
          </cell>
          <cell r="E122">
            <v>0.85083900000000001</v>
          </cell>
          <cell r="F122">
            <v>0</v>
          </cell>
          <cell r="G122">
            <v>0.67</v>
          </cell>
          <cell r="H122">
            <v>1.9027290194837461</v>
          </cell>
          <cell r="I122">
            <v>3.6490663532019629E-2</v>
          </cell>
          <cell r="J122">
            <v>7.0381811435372255E-2</v>
          </cell>
          <cell r="K122">
            <v>1.9027290194837461</v>
          </cell>
          <cell r="L122">
            <v>3.6490663532019629E-2</v>
          </cell>
          <cell r="M122">
            <v>7.0381811435372255E-2</v>
          </cell>
        </row>
        <row r="123">
          <cell r="A123">
            <v>119</v>
          </cell>
          <cell r="B123">
            <v>0.89338099999999998</v>
          </cell>
          <cell r="C123">
            <v>0</v>
          </cell>
          <cell r="D123">
            <v>0.61</v>
          </cell>
          <cell r="E123">
            <v>0.89338099999999998</v>
          </cell>
          <cell r="F123">
            <v>0</v>
          </cell>
          <cell r="G123">
            <v>0.61</v>
          </cell>
          <cell r="H123">
            <v>2.2384935467348637</v>
          </cell>
          <cell r="I123">
            <v>4.2929977940138808E-2</v>
          </cell>
          <cell r="J123">
            <v>8.2277256104963281E-2</v>
          </cell>
          <cell r="K123">
            <v>2.2384935467348637</v>
          </cell>
          <cell r="L123">
            <v>4.2929977940138808E-2</v>
          </cell>
          <cell r="M123">
            <v>8.2277256104963281E-2</v>
          </cell>
        </row>
      </sheetData>
      <sheetData sheetId="4"/>
      <sheetData sheetId="5">
        <row r="6">
          <cell r="A6">
            <v>0</v>
          </cell>
        </row>
        <row r="7">
          <cell r="A7">
            <v>1</v>
          </cell>
          <cell r="C7">
            <v>6.5412459982261417E-5</v>
          </cell>
        </row>
        <row r="8">
          <cell r="A8">
            <v>2</v>
          </cell>
          <cell r="C8">
            <v>6.5412459982261417E-5</v>
          </cell>
        </row>
        <row r="9">
          <cell r="A9">
            <v>3</v>
          </cell>
          <cell r="C9">
            <v>6.5412459982261417E-5</v>
          </cell>
        </row>
        <row r="10">
          <cell r="A10">
            <v>4</v>
          </cell>
          <cell r="C10">
            <v>6.5412459982261417E-5</v>
          </cell>
        </row>
        <row r="11">
          <cell r="A11">
            <v>5</v>
          </cell>
          <cell r="C11">
            <v>6.5412459982261417E-5</v>
          </cell>
        </row>
        <row r="12">
          <cell r="A12">
            <v>6</v>
          </cell>
          <cell r="C12">
            <v>6.5412459982261417E-5</v>
          </cell>
        </row>
        <row r="13">
          <cell r="A13">
            <v>7</v>
          </cell>
          <cell r="C13">
            <v>6.5412459982261417E-5</v>
          </cell>
        </row>
        <row r="14">
          <cell r="A14">
            <v>8</v>
          </cell>
          <cell r="C14">
            <v>6.5412459982261417E-5</v>
          </cell>
        </row>
        <row r="15">
          <cell r="A15">
            <v>9</v>
          </cell>
          <cell r="C15">
            <v>6.5412459982261417E-5</v>
          </cell>
        </row>
        <row r="16">
          <cell r="A16">
            <v>10</v>
          </cell>
          <cell r="C16">
            <v>6.5412459982261417E-5</v>
          </cell>
        </row>
        <row r="17">
          <cell r="A17">
            <v>11</v>
          </cell>
          <cell r="C17">
            <v>6.5412459982261417E-5</v>
          </cell>
        </row>
        <row r="18">
          <cell r="A18">
            <v>12</v>
          </cell>
          <cell r="C18">
            <v>6.5412459982261417E-5</v>
          </cell>
        </row>
        <row r="19">
          <cell r="A19">
            <v>13</v>
          </cell>
          <cell r="C19">
            <v>6.5412459982261417E-5</v>
          </cell>
        </row>
        <row r="20">
          <cell r="A20">
            <v>14</v>
          </cell>
          <cell r="C20">
            <v>6.5412459982261417E-5</v>
          </cell>
        </row>
        <row r="21">
          <cell r="A21">
            <v>15</v>
          </cell>
          <cell r="C21">
            <v>6.5412459982261417E-5</v>
          </cell>
        </row>
        <row r="22">
          <cell r="A22">
            <v>16</v>
          </cell>
          <cell r="C22">
            <v>6.5412459982261417E-5</v>
          </cell>
        </row>
        <row r="23">
          <cell r="A23">
            <v>17</v>
          </cell>
          <cell r="C23">
            <v>6.5412459982261417E-5</v>
          </cell>
        </row>
        <row r="24">
          <cell r="A24">
            <v>18</v>
          </cell>
          <cell r="C24">
            <v>6.5412459982261417E-5</v>
          </cell>
        </row>
        <row r="25">
          <cell r="A25">
            <v>19</v>
          </cell>
          <cell r="C25">
            <v>6.5412459982261417E-5</v>
          </cell>
        </row>
        <row r="26">
          <cell r="A26">
            <v>20</v>
          </cell>
          <cell r="C26">
            <v>6.5412459982261417E-5</v>
          </cell>
        </row>
        <row r="27">
          <cell r="A27">
            <v>21</v>
          </cell>
          <cell r="C27">
            <v>6.5412459982261417E-5</v>
          </cell>
        </row>
        <row r="28">
          <cell r="A28">
            <v>22</v>
          </cell>
          <cell r="C28">
            <v>6.5412459982261417E-5</v>
          </cell>
        </row>
        <row r="29">
          <cell r="A29">
            <v>23</v>
          </cell>
          <cell r="C29">
            <v>6.5412459982261417E-5</v>
          </cell>
        </row>
        <row r="30">
          <cell r="A30">
            <v>24</v>
          </cell>
          <cell r="C30">
            <v>6.5412459982261417E-5</v>
          </cell>
        </row>
        <row r="31">
          <cell r="A31">
            <v>25</v>
          </cell>
          <cell r="C31">
            <v>6.5412459982261417E-5</v>
          </cell>
        </row>
        <row r="32">
          <cell r="A32">
            <v>26</v>
          </cell>
          <cell r="C32">
            <v>6.5412459982261417E-5</v>
          </cell>
        </row>
        <row r="33">
          <cell r="A33">
            <v>27</v>
          </cell>
          <cell r="C33">
            <v>6.8101886958604751E-5</v>
          </cell>
        </row>
        <row r="34">
          <cell r="A34">
            <v>28</v>
          </cell>
          <cell r="C34">
            <v>6.8101886958604751E-5</v>
          </cell>
        </row>
        <row r="35">
          <cell r="A35">
            <v>29</v>
          </cell>
          <cell r="C35">
            <v>6.8101886958604751E-5</v>
          </cell>
        </row>
        <row r="36">
          <cell r="A36">
            <v>30</v>
          </cell>
          <cell r="C36">
            <v>6.8101886958604751E-5</v>
          </cell>
        </row>
        <row r="37">
          <cell r="A37">
            <v>31</v>
          </cell>
          <cell r="C37">
            <v>6.8101886958604751E-5</v>
          </cell>
        </row>
        <row r="38">
          <cell r="A38">
            <v>32</v>
          </cell>
          <cell r="C38">
            <v>6.8101886958604751E-5</v>
          </cell>
        </row>
        <row r="39">
          <cell r="A39">
            <v>33</v>
          </cell>
          <cell r="C39">
            <v>6.8101886958604751E-5</v>
          </cell>
        </row>
        <row r="40">
          <cell r="A40">
            <v>34</v>
          </cell>
          <cell r="C40">
            <v>6.8101886958604751E-5</v>
          </cell>
        </row>
        <row r="41">
          <cell r="A41">
            <v>35</v>
          </cell>
          <cell r="C41">
            <v>6.8101886958604751E-5</v>
          </cell>
        </row>
        <row r="42">
          <cell r="A42">
            <v>36</v>
          </cell>
          <cell r="C42">
            <v>6.8101886958604751E-5</v>
          </cell>
        </row>
        <row r="43">
          <cell r="A43">
            <v>37</v>
          </cell>
          <cell r="C43">
            <v>6.8101886958604751E-5</v>
          </cell>
        </row>
        <row r="44">
          <cell r="A44">
            <v>38</v>
          </cell>
          <cell r="C44">
            <v>6.8101886958604751E-5</v>
          </cell>
        </row>
        <row r="45">
          <cell r="A45">
            <v>39</v>
          </cell>
          <cell r="C45">
            <v>6.8101886958604751E-5</v>
          </cell>
        </row>
        <row r="46">
          <cell r="A46">
            <v>40</v>
          </cell>
          <cell r="C46">
            <v>6.8101886958604751E-5</v>
          </cell>
        </row>
        <row r="47">
          <cell r="A47">
            <v>41</v>
          </cell>
          <cell r="C47">
            <v>6.8101886958604751E-5</v>
          </cell>
        </row>
        <row r="48">
          <cell r="A48">
            <v>42</v>
          </cell>
          <cell r="C48">
            <v>6.8101886958604751E-5</v>
          </cell>
        </row>
        <row r="49">
          <cell r="A49">
            <v>43</v>
          </cell>
          <cell r="C49">
            <v>6.8101886958604751E-5</v>
          </cell>
        </row>
        <row r="50">
          <cell r="A50">
            <v>44</v>
          </cell>
          <cell r="C50">
            <v>6.8101886958604751E-5</v>
          </cell>
        </row>
        <row r="51">
          <cell r="A51">
            <v>45</v>
          </cell>
          <cell r="C51">
            <v>6.8101886958604751E-5</v>
          </cell>
        </row>
        <row r="52">
          <cell r="A52">
            <v>46</v>
          </cell>
          <cell r="C52">
            <v>6.8101886958604751E-5</v>
          </cell>
        </row>
        <row r="53">
          <cell r="A53">
            <v>47</v>
          </cell>
          <cell r="C53">
            <v>6.8101886958604751E-5</v>
          </cell>
        </row>
        <row r="54">
          <cell r="A54">
            <v>48</v>
          </cell>
          <cell r="C54">
            <v>6.8101886958604751E-5</v>
          </cell>
        </row>
        <row r="55">
          <cell r="A55">
            <v>49</v>
          </cell>
          <cell r="C55">
            <v>6.8101886958604751E-5</v>
          </cell>
        </row>
        <row r="56">
          <cell r="A56">
            <v>50</v>
          </cell>
          <cell r="C56">
            <v>6.8101886958604751E-5</v>
          </cell>
        </row>
        <row r="57">
          <cell r="A57">
            <v>51</v>
          </cell>
          <cell r="C57">
            <v>6.8101886958604751E-5</v>
          </cell>
        </row>
        <row r="58">
          <cell r="A58">
            <v>52</v>
          </cell>
          <cell r="C58">
            <v>6.8101886958604751E-5</v>
          </cell>
        </row>
        <row r="59">
          <cell r="A59">
            <v>53</v>
          </cell>
          <cell r="C59">
            <v>7.1444713273804972E-5</v>
          </cell>
        </row>
        <row r="60">
          <cell r="A60">
            <v>54</v>
          </cell>
          <cell r="C60">
            <v>7.1444713273804972E-5</v>
          </cell>
        </row>
        <row r="61">
          <cell r="A61">
            <v>55</v>
          </cell>
          <cell r="C61">
            <v>7.1444713273804972E-5</v>
          </cell>
        </row>
        <row r="62">
          <cell r="A62">
            <v>56</v>
          </cell>
          <cell r="C62">
            <v>7.1444713273804972E-5</v>
          </cell>
        </row>
        <row r="63">
          <cell r="A63">
            <v>57</v>
          </cell>
          <cell r="C63">
            <v>7.1444713273804972E-5</v>
          </cell>
        </row>
        <row r="64">
          <cell r="A64">
            <v>58</v>
          </cell>
          <cell r="C64">
            <v>7.1444713273804972E-5</v>
          </cell>
        </row>
        <row r="65">
          <cell r="A65">
            <v>59</v>
          </cell>
          <cell r="C65">
            <v>7.1444713273804972E-5</v>
          </cell>
        </row>
        <row r="66">
          <cell r="A66">
            <v>60</v>
          </cell>
          <cell r="C66">
            <v>7.1444713273804972E-5</v>
          </cell>
        </row>
        <row r="67">
          <cell r="A67">
            <v>61</v>
          </cell>
          <cell r="C67">
            <v>7.1444713273804972E-5</v>
          </cell>
        </row>
        <row r="68">
          <cell r="A68">
            <v>62</v>
          </cell>
          <cell r="C68">
            <v>7.1444713273804972E-5</v>
          </cell>
        </row>
        <row r="69">
          <cell r="A69">
            <v>63</v>
          </cell>
          <cell r="C69">
            <v>7.1444713273804972E-5</v>
          </cell>
        </row>
        <row r="70">
          <cell r="A70">
            <v>64</v>
          </cell>
          <cell r="C70">
            <v>7.1444713273804972E-5</v>
          </cell>
        </row>
        <row r="71">
          <cell r="A71">
            <v>65</v>
          </cell>
          <cell r="C71">
            <v>7.1444713273804972E-5</v>
          </cell>
        </row>
        <row r="72">
          <cell r="A72">
            <v>66</v>
          </cell>
          <cell r="C72">
            <v>7.1444713273804972E-5</v>
          </cell>
        </row>
        <row r="73">
          <cell r="A73">
            <v>67</v>
          </cell>
          <cell r="C73">
            <v>7.1444713273804972E-5</v>
          </cell>
        </row>
        <row r="74">
          <cell r="A74">
            <v>68</v>
          </cell>
          <cell r="C74">
            <v>7.1444713273804972E-5</v>
          </cell>
        </row>
        <row r="75">
          <cell r="A75">
            <v>69</v>
          </cell>
          <cell r="C75">
            <v>7.1444713273804972E-5</v>
          </cell>
        </row>
        <row r="76">
          <cell r="A76">
            <v>70</v>
          </cell>
          <cell r="C76">
            <v>7.1444713273804972E-5</v>
          </cell>
        </row>
        <row r="77">
          <cell r="A77">
            <v>71</v>
          </cell>
          <cell r="C77">
            <v>7.1444713273804972E-5</v>
          </cell>
        </row>
        <row r="78">
          <cell r="A78">
            <v>72</v>
          </cell>
          <cell r="C78">
            <v>7.1444713273804972E-5</v>
          </cell>
        </row>
        <row r="79">
          <cell r="A79">
            <v>73</v>
          </cell>
          <cell r="C79">
            <v>7.1444713273804972E-5</v>
          </cell>
        </row>
        <row r="80">
          <cell r="A80">
            <v>74</v>
          </cell>
          <cell r="C80">
            <v>7.1444713273804972E-5</v>
          </cell>
        </row>
        <row r="81">
          <cell r="A81">
            <v>75</v>
          </cell>
          <cell r="C81">
            <v>7.1444713273804972E-5</v>
          </cell>
        </row>
        <row r="82">
          <cell r="A82">
            <v>76</v>
          </cell>
          <cell r="C82">
            <v>7.1444713273804972E-5</v>
          </cell>
        </row>
        <row r="83">
          <cell r="A83">
            <v>77</v>
          </cell>
          <cell r="C83">
            <v>7.1444713273804972E-5</v>
          </cell>
        </row>
        <row r="84">
          <cell r="A84">
            <v>78</v>
          </cell>
          <cell r="C84">
            <v>7.1444713273804972E-5</v>
          </cell>
        </row>
        <row r="85">
          <cell r="A85">
            <v>79</v>
          </cell>
          <cell r="C85">
            <v>7.5517960799631467E-5</v>
          </cell>
        </row>
        <row r="86">
          <cell r="A86">
            <v>80</v>
          </cell>
          <cell r="C86">
            <v>7.5517960799631467E-5</v>
          </cell>
        </row>
        <row r="87">
          <cell r="A87">
            <v>81</v>
          </cell>
          <cell r="C87">
            <v>7.5517960799631467E-5</v>
          </cell>
        </row>
        <row r="88">
          <cell r="A88">
            <v>82</v>
          </cell>
          <cell r="C88">
            <v>7.5517960799631467E-5</v>
          </cell>
        </row>
        <row r="89">
          <cell r="A89">
            <v>83</v>
          </cell>
          <cell r="C89">
            <v>7.5517960799631467E-5</v>
          </cell>
        </row>
        <row r="90">
          <cell r="A90">
            <v>84</v>
          </cell>
          <cell r="C90">
            <v>7.5517960799631467E-5</v>
          </cell>
        </row>
        <row r="91">
          <cell r="A91">
            <v>85</v>
          </cell>
          <cell r="C91">
            <v>7.5517960799631467E-5</v>
          </cell>
        </row>
        <row r="92">
          <cell r="A92">
            <v>86</v>
          </cell>
          <cell r="C92">
            <v>7.5517960799631467E-5</v>
          </cell>
        </row>
        <row r="93">
          <cell r="A93">
            <v>87</v>
          </cell>
          <cell r="C93">
            <v>7.5517960799631467E-5</v>
          </cell>
        </row>
        <row r="94">
          <cell r="A94">
            <v>88</v>
          </cell>
          <cell r="C94">
            <v>7.5517960799631467E-5</v>
          </cell>
        </row>
        <row r="95">
          <cell r="A95">
            <v>89</v>
          </cell>
          <cell r="C95">
            <v>7.5517960799631467E-5</v>
          </cell>
        </row>
        <row r="96">
          <cell r="A96">
            <v>90</v>
          </cell>
          <cell r="C96">
            <v>7.5517960799631467E-5</v>
          </cell>
        </row>
        <row r="97">
          <cell r="A97">
            <v>91</v>
          </cell>
          <cell r="C97">
            <v>7.5517960799631467E-5</v>
          </cell>
        </row>
        <row r="98">
          <cell r="A98">
            <v>92</v>
          </cell>
          <cell r="C98">
            <v>7.5517960799631467E-5</v>
          </cell>
        </row>
        <row r="99">
          <cell r="A99">
            <v>93</v>
          </cell>
          <cell r="C99">
            <v>7.5517960799631467E-5</v>
          </cell>
        </row>
        <row r="100">
          <cell r="A100">
            <v>94</v>
          </cell>
          <cell r="C100">
            <v>7.5517960799631467E-5</v>
          </cell>
        </row>
        <row r="101">
          <cell r="A101">
            <v>95</v>
          </cell>
          <cell r="C101">
            <v>7.5517960799631467E-5</v>
          </cell>
        </row>
        <row r="102">
          <cell r="A102">
            <v>96</v>
          </cell>
          <cell r="C102">
            <v>7.5517960799631467E-5</v>
          </cell>
        </row>
        <row r="103">
          <cell r="A103">
            <v>97</v>
          </cell>
          <cell r="C103">
            <v>7.5517960799631467E-5</v>
          </cell>
        </row>
        <row r="104">
          <cell r="A104">
            <v>98</v>
          </cell>
          <cell r="C104">
            <v>7.5517960799631467E-5</v>
          </cell>
        </row>
        <row r="105">
          <cell r="A105">
            <v>99</v>
          </cell>
          <cell r="C105">
            <v>7.5517960799631467E-5</v>
          </cell>
        </row>
        <row r="106">
          <cell r="A106">
            <v>100</v>
          </cell>
          <cell r="C106">
            <v>7.5517960799631467E-5</v>
          </cell>
        </row>
        <row r="107">
          <cell r="A107">
            <v>101</v>
          </cell>
          <cell r="C107">
            <v>7.5517960799631467E-5</v>
          </cell>
        </row>
        <row r="108">
          <cell r="A108">
            <v>102</v>
          </cell>
          <cell r="C108">
            <v>7.5517960799631467E-5</v>
          </cell>
        </row>
        <row r="109">
          <cell r="A109">
            <v>103</v>
          </cell>
          <cell r="C109">
            <v>7.5517960799631467E-5</v>
          </cell>
        </row>
        <row r="110">
          <cell r="A110">
            <v>104</v>
          </cell>
          <cell r="C110">
            <v>7.5517960799631467E-5</v>
          </cell>
        </row>
        <row r="111">
          <cell r="A111">
            <v>105</v>
          </cell>
          <cell r="C111">
            <v>8.0321853324738512E-5</v>
          </cell>
        </row>
        <row r="112">
          <cell r="A112">
            <v>106</v>
          </cell>
          <cell r="C112">
            <v>8.0321853324738512E-5</v>
          </cell>
        </row>
        <row r="113">
          <cell r="A113">
            <v>107</v>
          </cell>
          <cell r="C113">
            <v>8.0321853324738512E-5</v>
          </cell>
        </row>
        <row r="114">
          <cell r="A114">
            <v>108</v>
          </cell>
          <cell r="C114">
            <v>8.0321853324738512E-5</v>
          </cell>
        </row>
        <row r="115">
          <cell r="A115">
            <v>109</v>
          </cell>
          <cell r="C115">
            <v>8.0321853324738512E-5</v>
          </cell>
        </row>
        <row r="116">
          <cell r="A116">
            <v>110</v>
          </cell>
          <cell r="C116">
            <v>8.0321853324738512E-5</v>
          </cell>
        </row>
        <row r="117">
          <cell r="A117">
            <v>111</v>
          </cell>
          <cell r="C117">
            <v>8.0321853324738512E-5</v>
          </cell>
        </row>
        <row r="118">
          <cell r="A118">
            <v>112</v>
          </cell>
          <cell r="C118">
            <v>8.0321853324738512E-5</v>
          </cell>
        </row>
        <row r="119">
          <cell r="A119">
            <v>113</v>
          </cell>
          <cell r="C119">
            <v>8.0321853324738512E-5</v>
          </cell>
        </row>
        <row r="120">
          <cell r="A120">
            <v>114</v>
          </cell>
          <cell r="C120">
            <v>8.0321853324738512E-5</v>
          </cell>
        </row>
        <row r="121">
          <cell r="A121">
            <v>115</v>
          </cell>
          <cell r="C121">
            <v>8.0321853324738512E-5</v>
          </cell>
        </row>
        <row r="122">
          <cell r="A122">
            <v>116</v>
          </cell>
          <cell r="C122">
            <v>8.0321853324738512E-5</v>
          </cell>
        </row>
        <row r="123">
          <cell r="A123">
            <v>117</v>
          </cell>
          <cell r="C123">
            <v>8.0321853324738512E-5</v>
          </cell>
        </row>
        <row r="124">
          <cell r="A124">
            <v>118</v>
          </cell>
          <cell r="C124">
            <v>8.0321853324738512E-5</v>
          </cell>
        </row>
        <row r="125">
          <cell r="A125">
            <v>119</v>
          </cell>
          <cell r="C125">
            <v>8.0321853324738512E-5</v>
          </cell>
        </row>
        <row r="126">
          <cell r="A126">
            <v>120</v>
          </cell>
          <cell r="C126">
            <v>8.0321853324738512E-5</v>
          </cell>
        </row>
        <row r="127">
          <cell r="A127">
            <v>121</v>
          </cell>
          <cell r="C127">
            <v>8.0321853324738512E-5</v>
          </cell>
        </row>
        <row r="128">
          <cell r="A128">
            <v>122</v>
          </cell>
          <cell r="C128">
            <v>8.0321853324738512E-5</v>
          </cell>
        </row>
        <row r="129">
          <cell r="A129">
            <v>123</v>
          </cell>
          <cell r="C129">
            <v>8.0321853324738512E-5</v>
          </cell>
        </row>
        <row r="130">
          <cell r="A130">
            <v>124</v>
          </cell>
          <cell r="C130">
            <v>8.0321853324738512E-5</v>
          </cell>
        </row>
        <row r="131">
          <cell r="A131">
            <v>125</v>
          </cell>
          <cell r="C131">
            <v>8.0321853324738512E-5</v>
          </cell>
        </row>
        <row r="132">
          <cell r="A132">
            <v>126</v>
          </cell>
          <cell r="C132">
            <v>8.0321853324738512E-5</v>
          </cell>
        </row>
        <row r="133">
          <cell r="A133">
            <v>127</v>
          </cell>
          <cell r="C133">
            <v>8.0321853324738512E-5</v>
          </cell>
        </row>
        <row r="134">
          <cell r="A134">
            <v>128</v>
          </cell>
          <cell r="C134">
            <v>8.0321853324738512E-5</v>
          </cell>
        </row>
        <row r="135">
          <cell r="A135">
            <v>129</v>
          </cell>
          <cell r="C135">
            <v>8.0321853324738512E-5</v>
          </cell>
        </row>
        <row r="136">
          <cell r="A136">
            <v>130</v>
          </cell>
          <cell r="C136">
            <v>8.0321853324738512E-5</v>
          </cell>
        </row>
        <row r="137">
          <cell r="A137">
            <v>131</v>
          </cell>
          <cell r="C137">
            <v>8.6010410302650442E-5</v>
          </cell>
        </row>
        <row r="138">
          <cell r="A138">
            <v>132</v>
          </cell>
          <cell r="C138">
            <v>8.6010410302650442E-5</v>
          </cell>
        </row>
        <row r="139">
          <cell r="A139">
            <v>133</v>
          </cell>
          <cell r="C139">
            <v>8.6010410302650442E-5</v>
          </cell>
        </row>
        <row r="140">
          <cell r="A140">
            <v>134</v>
          </cell>
          <cell r="C140">
            <v>8.6010410302650442E-5</v>
          </cell>
        </row>
        <row r="141">
          <cell r="A141">
            <v>135</v>
          </cell>
          <cell r="C141">
            <v>8.6010410302650442E-5</v>
          </cell>
        </row>
        <row r="142">
          <cell r="A142">
            <v>136</v>
          </cell>
          <cell r="C142">
            <v>8.6010410302650442E-5</v>
          </cell>
        </row>
        <row r="143">
          <cell r="A143">
            <v>137</v>
          </cell>
          <cell r="C143">
            <v>8.6010410302650442E-5</v>
          </cell>
        </row>
        <row r="144">
          <cell r="A144">
            <v>138</v>
          </cell>
          <cell r="C144">
            <v>8.6010410302650442E-5</v>
          </cell>
        </row>
        <row r="145">
          <cell r="A145">
            <v>139</v>
          </cell>
          <cell r="C145">
            <v>8.6010410302650442E-5</v>
          </cell>
        </row>
        <row r="146">
          <cell r="A146">
            <v>140</v>
          </cell>
          <cell r="C146">
            <v>8.6010410302650442E-5</v>
          </cell>
        </row>
        <row r="147">
          <cell r="A147">
            <v>141</v>
          </cell>
          <cell r="C147">
            <v>8.6010410302650442E-5</v>
          </cell>
        </row>
        <row r="148">
          <cell r="A148">
            <v>142</v>
          </cell>
          <cell r="C148">
            <v>8.6010410302650442E-5</v>
          </cell>
        </row>
        <row r="149">
          <cell r="A149">
            <v>143</v>
          </cell>
          <cell r="C149">
            <v>8.6010410302650442E-5</v>
          </cell>
        </row>
        <row r="150">
          <cell r="A150">
            <v>144</v>
          </cell>
          <cell r="C150">
            <v>8.6010410302650442E-5</v>
          </cell>
        </row>
        <row r="151">
          <cell r="A151">
            <v>145</v>
          </cell>
          <cell r="C151">
            <v>8.6010410302650442E-5</v>
          </cell>
        </row>
        <row r="152">
          <cell r="A152">
            <v>146</v>
          </cell>
          <cell r="C152">
            <v>8.6010410302650442E-5</v>
          </cell>
        </row>
        <row r="153">
          <cell r="A153">
            <v>147</v>
          </cell>
          <cell r="C153">
            <v>8.6010410302650442E-5</v>
          </cell>
        </row>
        <row r="154">
          <cell r="A154">
            <v>148</v>
          </cell>
          <cell r="C154">
            <v>8.6010410302650442E-5</v>
          </cell>
        </row>
        <row r="155">
          <cell r="A155">
            <v>149</v>
          </cell>
          <cell r="C155">
            <v>8.6010410302650442E-5</v>
          </cell>
        </row>
        <row r="156">
          <cell r="A156">
            <v>150</v>
          </cell>
          <cell r="C156">
            <v>8.6010410302650442E-5</v>
          </cell>
        </row>
        <row r="157">
          <cell r="A157">
            <v>151</v>
          </cell>
          <cell r="C157">
            <v>8.6010410302650442E-5</v>
          </cell>
        </row>
        <row r="158">
          <cell r="A158">
            <v>152</v>
          </cell>
          <cell r="C158">
            <v>8.6010410302650442E-5</v>
          </cell>
        </row>
        <row r="159">
          <cell r="A159">
            <v>153</v>
          </cell>
          <cell r="C159">
            <v>8.6010410302650442E-5</v>
          </cell>
        </row>
        <row r="160">
          <cell r="A160">
            <v>154</v>
          </cell>
          <cell r="C160">
            <v>8.6010410302650442E-5</v>
          </cell>
        </row>
        <row r="161">
          <cell r="A161">
            <v>155</v>
          </cell>
          <cell r="C161">
            <v>8.6010410302650442E-5</v>
          </cell>
        </row>
        <row r="162">
          <cell r="A162">
            <v>156</v>
          </cell>
          <cell r="C162">
            <v>8.6010410302650442E-5</v>
          </cell>
        </row>
        <row r="163">
          <cell r="A163">
            <v>157</v>
          </cell>
          <cell r="C163">
            <v>9.285312807338908E-5</v>
          </cell>
        </row>
        <row r="164">
          <cell r="A164">
            <v>158</v>
          </cell>
          <cell r="C164">
            <v>9.285312807338908E-5</v>
          </cell>
        </row>
        <row r="165">
          <cell r="A165">
            <v>159</v>
          </cell>
          <cell r="C165">
            <v>9.285312807338908E-5</v>
          </cell>
        </row>
        <row r="166">
          <cell r="A166">
            <v>160</v>
          </cell>
          <cell r="C166">
            <v>9.285312807338908E-5</v>
          </cell>
        </row>
        <row r="167">
          <cell r="A167">
            <v>161</v>
          </cell>
          <cell r="C167">
            <v>9.285312807338908E-5</v>
          </cell>
        </row>
        <row r="168">
          <cell r="A168">
            <v>162</v>
          </cell>
          <cell r="C168">
            <v>9.285312807338908E-5</v>
          </cell>
        </row>
        <row r="169">
          <cell r="A169">
            <v>163</v>
          </cell>
          <cell r="C169">
            <v>9.285312807338908E-5</v>
          </cell>
        </row>
        <row r="170">
          <cell r="A170">
            <v>164</v>
          </cell>
          <cell r="C170">
            <v>9.285312807338908E-5</v>
          </cell>
        </row>
        <row r="171">
          <cell r="A171">
            <v>165</v>
          </cell>
          <cell r="C171">
            <v>9.285312807338908E-5</v>
          </cell>
        </row>
        <row r="172">
          <cell r="A172">
            <v>166</v>
          </cell>
          <cell r="C172">
            <v>9.285312807338908E-5</v>
          </cell>
        </row>
        <row r="173">
          <cell r="A173">
            <v>167</v>
          </cell>
          <cell r="C173">
            <v>9.285312807338908E-5</v>
          </cell>
        </row>
        <row r="174">
          <cell r="A174">
            <v>168</v>
          </cell>
          <cell r="C174">
            <v>9.285312807338908E-5</v>
          </cell>
        </row>
        <row r="175">
          <cell r="A175">
            <v>169</v>
          </cell>
          <cell r="C175">
            <v>9.285312807338908E-5</v>
          </cell>
        </row>
        <row r="176">
          <cell r="A176">
            <v>170</v>
          </cell>
          <cell r="C176">
            <v>9.285312807338908E-5</v>
          </cell>
        </row>
        <row r="177">
          <cell r="A177">
            <v>171</v>
          </cell>
          <cell r="C177">
            <v>9.285312807338908E-5</v>
          </cell>
        </row>
        <row r="178">
          <cell r="A178">
            <v>172</v>
          </cell>
          <cell r="C178">
            <v>9.285312807338908E-5</v>
          </cell>
        </row>
        <row r="179">
          <cell r="A179">
            <v>173</v>
          </cell>
          <cell r="C179">
            <v>9.285312807338908E-5</v>
          </cell>
        </row>
        <row r="180">
          <cell r="A180">
            <v>174</v>
          </cell>
          <cell r="C180">
            <v>9.285312807338908E-5</v>
          </cell>
        </row>
        <row r="181">
          <cell r="A181">
            <v>175</v>
          </cell>
          <cell r="C181">
            <v>9.285312807338908E-5</v>
          </cell>
        </row>
        <row r="182">
          <cell r="A182">
            <v>176</v>
          </cell>
          <cell r="C182">
            <v>9.285312807338908E-5</v>
          </cell>
        </row>
        <row r="183">
          <cell r="A183">
            <v>177</v>
          </cell>
          <cell r="C183">
            <v>9.285312807338908E-5</v>
          </cell>
        </row>
        <row r="184">
          <cell r="A184">
            <v>178</v>
          </cell>
          <cell r="C184">
            <v>9.285312807338908E-5</v>
          </cell>
        </row>
        <row r="185">
          <cell r="A185">
            <v>179</v>
          </cell>
          <cell r="C185">
            <v>9.285312807338908E-5</v>
          </cell>
        </row>
        <row r="186">
          <cell r="A186">
            <v>180</v>
          </cell>
          <cell r="C186">
            <v>9.285312807338908E-5</v>
          </cell>
        </row>
        <row r="187">
          <cell r="A187">
            <v>181</v>
          </cell>
          <cell r="C187">
            <v>9.285312807338908E-5</v>
          </cell>
        </row>
        <row r="188">
          <cell r="A188">
            <v>182</v>
          </cell>
          <cell r="C188">
            <v>9.285312807338908E-5</v>
          </cell>
        </row>
        <row r="189">
          <cell r="A189">
            <v>183</v>
          </cell>
          <cell r="C189">
            <v>1.0096596056652363E-4</v>
          </cell>
        </row>
        <row r="190">
          <cell r="A190">
            <v>184</v>
          </cell>
          <cell r="C190">
            <v>1.0096596056652363E-4</v>
          </cell>
        </row>
        <row r="191">
          <cell r="A191">
            <v>185</v>
          </cell>
          <cell r="C191">
            <v>1.0096596056652363E-4</v>
          </cell>
        </row>
        <row r="192">
          <cell r="A192">
            <v>186</v>
          </cell>
          <cell r="C192">
            <v>1.0096596056652363E-4</v>
          </cell>
        </row>
        <row r="193">
          <cell r="A193">
            <v>187</v>
          </cell>
          <cell r="C193">
            <v>1.0096596056652363E-4</v>
          </cell>
        </row>
        <row r="194">
          <cell r="A194">
            <v>188</v>
          </cell>
          <cell r="C194">
            <v>1.0096596056652363E-4</v>
          </cell>
        </row>
        <row r="195">
          <cell r="A195">
            <v>189</v>
          </cell>
          <cell r="C195">
            <v>1.0096596056652363E-4</v>
          </cell>
        </row>
        <row r="196">
          <cell r="A196">
            <v>190</v>
          </cell>
          <cell r="C196">
            <v>1.0096596056652363E-4</v>
          </cell>
        </row>
        <row r="197">
          <cell r="A197">
            <v>191</v>
          </cell>
          <cell r="C197">
            <v>1.0096596056652363E-4</v>
          </cell>
        </row>
        <row r="198">
          <cell r="A198">
            <v>192</v>
          </cell>
          <cell r="C198">
            <v>1.0096596056652363E-4</v>
          </cell>
        </row>
        <row r="199">
          <cell r="A199">
            <v>193</v>
          </cell>
          <cell r="C199">
            <v>1.0096596056652363E-4</v>
          </cell>
        </row>
        <row r="200">
          <cell r="A200">
            <v>194</v>
          </cell>
          <cell r="C200">
            <v>1.0096596056652363E-4</v>
          </cell>
        </row>
        <row r="201">
          <cell r="A201">
            <v>195</v>
          </cell>
          <cell r="C201">
            <v>1.0096596056652363E-4</v>
          </cell>
        </row>
        <row r="202">
          <cell r="A202">
            <v>196</v>
          </cell>
          <cell r="C202">
            <v>1.0096596056652363E-4</v>
          </cell>
        </row>
        <row r="203">
          <cell r="A203">
            <v>197</v>
          </cell>
          <cell r="C203">
            <v>1.0096596056652363E-4</v>
          </cell>
        </row>
        <row r="204">
          <cell r="A204">
            <v>198</v>
          </cell>
          <cell r="C204">
            <v>1.0096596056652363E-4</v>
          </cell>
        </row>
        <row r="205">
          <cell r="A205">
            <v>199</v>
          </cell>
          <cell r="C205">
            <v>1.0096596056652363E-4</v>
          </cell>
        </row>
        <row r="206">
          <cell r="A206">
            <v>200</v>
          </cell>
          <cell r="C206">
            <v>1.0096596056652363E-4</v>
          </cell>
        </row>
        <row r="207">
          <cell r="A207">
            <v>201</v>
          </cell>
          <cell r="C207">
            <v>1.0096596056652363E-4</v>
          </cell>
        </row>
        <row r="208">
          <cell r="A208">
            <v>202</v>
          </cell>
          <cell r="C208">
            <v>1.0096596056652363E-4</v>
          </cell>
        </row>
        <row r="209">
          <cell r="A209">
            <v>203</v>
          </cell>
          <cell r="C209">
            <v>1.0096596056652363E-4</v>
          </cell>
        </row>
        <row r="210">
          <cell r="A210">
            <v>204</v>
          </cell>
          <cell r="C210">
            <v>1.0096596056652363E-4</v>
          </cell>
        </row>
        <row r="211">
          <cell r="A211">
            <v>205</v>
          </cell>
          <cell r="C211">
            <v>1.0096596056652363E-4</v>
          </cell>
        </row>
        <row r="212">
          <cell r="A212">
            <v>206</v>
          </cell>
          <cell r="C212">
            <v>1.0096596056652363E-4</v>
          </cell>
        </row>
        <row r="213">
          <cell r="A213">
            <v>207</v>
          </cell>
          <cell r="C213">
            <v>1.0096596056652363E-4</v>
          </cell>
        </row>
        <row r="214">
          <cell r="A214">
            <v>208</v>
          </cell>
          <cell r="C214">
            <v>1.0096596056652363E-4</v>
          </cell>
        </row>
        <row r="215">
          <cell r="A215">
            <v>209</v>
          </cell>
          <cell r="C215">
            <v>1.1034968280976276E-4</v>
          </cell>
        </row>
        <row r="216">
          <cell r="A216">
            <v>210</v>
          </cell>
          <cell r="C216">
            <v>1.1034968280976276E-4</v>
          </cell>
        </row>
        <row r="217">
          <cell r="A217">
            <v>211</v>
          </cell>
          <cell r="C217">
            <v>1.1034968280976276E-4</v>
          </cell>
        </row>
        <row r="218">
          <cell r="A218">
            <v>212</v>
          </cell>
          <cell r="C218">
            <v>1.1034968280976276E-4</v>
          </cell>
        </row>
        <row r="219">
          <cell r="A219">
            <v>213</v>
          </cell>
          <cell r="C219">
            <v>1.1034968280976276E-4</v>
          </cell>
        </row>
        <row r="220">
          <cell r="A220">
            <v>214</v>
          </cell>
          <cell r="C220">
            <v>1.1034968280976276E-4</v>
          </cell>
        </row>
        <row r="221">
          <cell r="A221">
            <v>215</v>
          </cell>
          <cell r="C221">
            <v>1.1034968280976276E-4</v>
          </cell>
        </row>
        <row r="222">
          <cell r="A222">
            <v>216</v>
          </cell>
          <cell r="C222">
            <v>1.1034968280976276E-4</v>
          </cell>
        </row>
        <row r="223">
          <cell r="A223">
            <v>217</v>
          </cell>
          <cell r="C223">
            <v>1.1034968280976276E-4</v>
          </cell>
        </row>
        <row r="224">
          <cell r="A224">
            <v>218</v>
          </cell>
          <cell r="C224">
            <v>1.1034968280976276E-4</v>
          </cell>
        </row>
        <row r="225">
          <cell r="A225">
            <v>219</v>
          </cell>
          <cell r="C225">
            <v>1.1034968280976276E-4</v>
          </cell>
        </row>
        <row r="226">
          <cell r="A226">
            <v>220</v>
          </cell>
          <cell r="C226">
            <v>1.1034968280976276E-4</v>
          </cell>
        </row>
        <row r="227">
          <cell r="A227">
            <v>221</v>
          </cell>
          <cell r="C227">
            <v>1.1034968280976276E-4</v>
          </cell>
        </row>
        <row r="228">
          <cell r="A228">
            <v>222</v>
          </cell>
          <cell r="C228">
            <v>1.1034968280976276E-4</v>
          </cell>
        </row>
        <row r="229">
          <cell r="A229">
            <v>223</v>
          </cell>
          <cell r="C229">
            <v>1.1034968280976276E-4</v>
          </cell>
        </row>
        <row r="230">
          <cell r="A230">
            <v>224</v>
          </cell>
          <cell r="C230">
            <v>1.1034968280976276E-4</v>
          </cell>
        </row>
        <row r="231">
          <cell r="A231">
            <v>225</v>
          </cell>
          <cell r="C231">
            <v>1.1034968280976276E-4</v>
          </cell>
        </row>
        <row r="232">
          <cell r="A232">
            <v>226</v>
          </cell>
          <cell r="C232">
            <v>1.1034968280976276E-4</v>
          </cell>
        </row>
        <row r="233">
          <cell r="A233">
            <v>227</v>
          </cell>
          <cell r="C233">
            <v>1.1034968280976276E-4</v>
          </cell>
        </row>
        <row r="234">
          <cell r="A234">
            <v>228</v>
          </cell>
          <cell r="C234">
            <v>1.1034968280976276E-4</v>
          </cell>
        </row>
        <row r="235">
          <cell r="A235">
            <v>229</v>
          </cell>
          <cell r="C235">
            <v>1.1034968280976276E-4</v>
          </cell>
        </row>
        <row r="236">
          <cell r="A236">
            <v>230</v>
          </cell>
          <cell r="C236">
            <v>1.1034968280976276E-4</v>
          </cell>
        </row>
        <row r="237">
          <cell r="A237">
            <v>231</v>
          </cell>
          <cell r="C237">
            <v>1.1034968280976276E-4</v>
          </cell>
        </row>
        <row r="238">
          <cell r="A238">
            <v>232</v>
          </cell>
          <cell r="C238">
            <v>1.1034968280976276E-4</v>
          </cell>
        </row>
        <row r="239">
          <cell r="A239">
            <v>233</v>
          </cell>
          <cell r="C239">
            <v>1.1034968280976276E-4</v>
          </cell>
        </row>
        <row r="240">
          <cell r="A240">
            <v>234</v>
          </cell>
          <cell r="C240">
            <v>1.1034968280976276E-4</v>
          </cell>
        </row>
        <row r="241">
          <cell r="A241">
            <v>235</v>
          </cell>
          <cell r="C241">
            <v>1.2085130128736132E-4</v>
          </cell>
        </row>
        <row r="242">
          <cell r="A242">
            <v>236</v>
          </cell>
          <cell r="C242">
            <v>1.2085130128736132E-4</v>
          </cell>
        </row>
        <row r="243">
          <cell r="A243">
            <v>237</v>
          </cell>
          <cell r="C243">
            <v>1.2085130128736132E-4</v>
          </cell>
        </row>
        <row r="244">
          <cell r="A244">
            <v>238</v>
          </cell>
          <cell r="C244">
            <v>1.2085130128736132E-4</v>
          </cell>
        </row>
        <row r="245">
          <cell r="A245">
            <v>239</v>
          </cell>
          <cell r="C245">
            <v>1.2085130128736132E-4</v>
          </cell>
        </row>
        <row r="246">
          <cell r="A246">
            <v>240</v>
          </cell>
          <cell r="C246">
            <v>1.2085130128736132E-4</v>
          </cell>
        </row>
        <row r="247">
          <cell r="A247">
            <v>241</v>
          </cell>
          <cell r="C247">
            <v>1.2085130128736132E-4</v>
          </cell>
        </row>
        <row r="248">
          <cell r="A248">
            <v>242</v>
          </cell>
          <cell r="C248">
            <v>1.2085130128736132E-4</v>
          </cell>
        </row>
        <row r="249">
          <cell r="A249">
            <v>243</v>
          </cell>
          <cell r="C249">
            <v>1.2085130128736132E-4</v>
          </cell>
        </row>
        <row r="250">
          <cell r="A250">
            <v>244</v>
          </cell>
          <cell r="C250">
            <v>1.2085130128736132E-4</v>
          </cell>
        </row>
        <row r="251">
          <cell r="A251">
            <v>245</v>
          </cell>
          <cell r="C251">
            <v>1.2085130128736132E-4</v>
          </cell>
        </row>
        <row r="252">
          <cell r="A252">
            <v>246</v>
          </cell>
          <cell r="C252">
            <v>1.2085130128736132E-4</v>
          </cell>
        </row>
        <row r="253">
          <cell r="A253">
            <v>247</v>
          </cell>
          <cell r="C253">
            <v>1.2085130128736132E-4</v>
          </cell>
        </row>
        <row r="254">
          <cell r="A254">
            <v>248</v>
          </cell>
          <cell r="C254">
            <v>1.2085130128736132E-4</v>
          </cell>
        </row>
        <row r="255">
          <cell r="A255">
            <v>249</v>
          </cell>
          <cell r="C255">
            <v>1.2085130128736132E-4</v>
          </cell>
        </row>
        <row r="256">
          <cell r="A256">
            <v>250</v>
          </cell>
          <cell r="C256">
            <v>1.2085130128736132E-4</v>
          </cell>
        </row>
        <row r="257">
          <cell r="A257">
            <v>251</v>
          </cell>
          <cell r="C257">
            <v>1.2085130128736132E-4</v>
          </cell>
        </row>
        <row r="258">
          <cell r="A258">
            <v>252</v>
          </cell>
          <cell r="C258">
            <v>1.2085130128736132E-4</v>
          </cell>
        </row>
        <row r="259">
          <cell r="A259">
            <v>253</v>
          </cell>
          <cell r="C259">
            <v>1.2085130128736132E-4</v>
          </cell>
        </row>
        <row r="260">
          <cell r="A260">
            <v>254</v>
          </cell>
          <cell r="C260">
            <v>1.2085130128736132E-4</v>
          </cell>
        </row>
        <row r="261">
          <cell r="A261">
            <v>255</v>
          </cell>
          <cell r="C261">
            <v>1.2085130128736132E-4</v>
          </cell>
        </row>
        <row r="262">
          <cell r="A262">
            <v>256</v>
          </cell>
          <cell r="C262">
            <v>1.2085130128736132E-4</v>
          </cell>
        </row>
        <row r="263">
          <cell r="A263">
            <v>257</v>
          </cell>
          <cell r="C263">
            <v>1.2085130128736132E-4</v>
          </cell>
        </row>
        <row r="264">
          <cell r="A264">
            <v>258</v>
          </cell>
          <cell r="C264">
            <v>1.2085130128736132E-4</v>
          </cell>
        </row>
        <row r="265">
          <cell r="A265">
            <v>259</v>
          </cell>
          <cell r="C265">
            <v>1.2085130128736132E-4</v>
          </cell>
        </row>
        <row r="266">
          <cell r="A266">
            <v>260</v>
          </cell>
          <cell r="C266">
            <v>1.2085130128736132E-4</v>
          </cell>
        </row>
        <row r="267">
          <cell r="A267">
            <v>261</v>
          </cell>
          <cell r="C267">
            <v>1.3243321503420002E-4</v>
          </cell>
        </row>
        <row r="268">
          <cell r="A268">
            <v>262</v>
          </cell>
          <cell r="C268">
            <v>1.3243321503420002E-4</v>
          </cell>
        </row>
        <row r="269">
          <cell r="A269">
            <v>263</v>
          </cell>
          <cell r="C269">
            <v>1.3243321503420002E-4</v>
          </cell>
        </row>
        <row r="270">
          <cell r="A270">
            <v>264</v>
          </cell>
          <cell r="C270">
            <v>1.3243321503420002E-4</v>
          </cell>
        </row>
        <row r="271">
          <cell r="A271">
            <v>265</v>
          </cell>
          <cell r="C271">
            <v>1.3243321503420002E-4</v>
          </cell>
        </row>
        <row r="272">
          <cell r="A272">
            <v>266</v>
          </cell>
          <cell r="C272">
            <v>1.3243321503420002E-4</v>
          </cell>
        </row>
        <row r="273">
          <cell r="A273">
            <v>267</v>
          </cell>
          <cell r="C273">
            <v>1.3243321503420002E-4</v>
          </cell>
        </row>
        <row r="274">
          <cell r="A274">
            <v>268</v>
          </cell>
          <cell r="C274">
            <v>1.3243321503420002E-4</v>
          </cell>
        </row>
        <row r="275">
          <cell r="A275">
            <v>269</v>
          </cell>
          <cell r="C275">
            <v>1.3243321503420002E-4</v>
          </cell>
        </row>
        <row r="276">
          <cell r="A276">
            <v>270</v>
          </cell>
          <cell r="C276">
            <v>1.3243321503420002E-4</v>
          </cell>
        </row>
        <row r="277">
          <cell r="A277">
            <v>271</v>
          </cell>
          <cell r="C277">
            <v>1.3243321503420002E-4</v>
          </cell>
        </row>
        <row r="278">
          <cell r="A278">
            <v>272</v>
          </cell>
          <cell r="C278">
            <v>1.3243321503420002E-4</v>
          </cell>
        </row>
        <row r="279">
          <cell r="A279">
            <v>273</v>
          </cell>
          <cell r="C279">
            <v>1.3243321503420002E-4</v>
          </cell>
        </row>
        <row r="280">
          <cell r="A280">
            <v>274</v>
          </cell>
          <cell r="C280">
            <v>1.3243321503420002E-4</v>
          </cell>
        </row>
        <row r="281">
          <cell r="A281">
            <v>275</v>
          </cell>
          <cell r="C281">
            <v>1.3243321503420002E-4</v>
          </cell>
        </row>
        <row r="282">
          <cell r="A282">
            <v>276</v>
          </cell>
          <cell r="C282">
            <v>1.3243321503420002E-4</v>
          </cell>
        </row>
        <row r="283">
          <cell r="A283">
            <v>277</v>
          </cell>
          <cell r="C283">
            <v>1.3243321503420002E-4</v>
          </cell>
        </row>
        <row r="284">
          <cell r="A284">
            <v>278</v>
          </cell>
          <cell r="C284">
            <v>1.3243321503420002E-4</v>
          </cell>
        </row>
        <row r="285">
          <cell r="A285">
            <v>279</v>
          </cell>
          <cell r="C285">
            <v>1.3243321503420002E-4</v>
          </cell>
        </row>
        <row r="286">
          <cell r="A286">
            <v>280</v>
          </cell>
          <cell r="C286">
            <v>1.3243321503420002E-4</v>
          </cell>
        </row>
        <row r="287">
          <cell r="A287">
            <v>281</v>
          </cell>
          <cell r="C287">
            <v>1.3243321503420002E-4</v>
          </cell>
        </row>
        <row r="288">
          <cell r="A288">
            <v>282</v>
          </cell>
          <cell r="C288">
            <v>1.3243321503420002E-4</v>
          </cell>
        </row>
        <row r="289">
          <cell r="A289">
            <v>283</v>
          </cell>
          <cell r="C289">
            <v>1.3243321503420002E-4</v>
          </cell>
        </row>
        <row r="290">
          <cell r="A290">
            <v>284</v>
          </cell>
          <cell r="C290">
            <v>1.3243321503420002E-4</v>
          </cell>
        </row>
        <row r="291">
          <cell r="A291">
            <v>285</v>
          </cell>
          <cell r="C291">
            <v>1.3243321503420002E-4</v>
          </cell>
        </row>
        <row r="292">
          <cell r="A292">
            <v>286</v>
          </cell>
          <cell r="C292">
            <v>1.3243321503420002E-4</v>
          </cell>
        </row>
        <row r="293">
          <cell r="A293">
            <v>287</v>
          </cell>
          <cell r="C293">
            <v>1.4551982218569126E-4</v>
          </cell>
        </row>
        <row r="294">
          <cell r="A294">
            <v>288</v>
          </cell>
          <cell r="C294">
            <v>1.4551982218569126E-4</v>
          </cell>
        </row>
        <row r="295">
          <cell r="A295">
            <v>289</v>
          </cell>
          <cell r="C295">
            <v>1.4551982218569126E-4</v>
          </cell>
        </row>
        <row r="296">
          <cell r="A296">
            <v>290</v>
          </cell>
          <cell r="C296">
            <v>1.4551982218569126E-4</v>
          </cell>
        </row>
        <row r="297">
          <cell r="A297">
            <v>291</v>
          </cell>
          <cell r="C297">
            <v>1.4551982218569126E-4</v>
          </cell>
        </row>
        <row r="298">
          <cell r="A298">
            <v>292</v>
          </cell>
          <cell r="C298">
            <v>1.4551982218569126E-4</v>
          </cell>
        </row>
        <row r="299">
          <cell r="A299">
            <v>293</v>
          </cell>
          <cell r="C299">
            <v>1.4551982218569126E-4</v>
          </cell>
        </row>
        <row r="300">
          <cell r="A300">
            <v>294</v>
          </cell>
          <cell r="C300">
            <v>1.4551982218569126E-4</v>
          </cell>
        </row>
        <row r="301">
          <cell r="A301">
            <v>295</v>
          </cell>
          <cell r="C301">
            <v>1.4551982218569126E-4</v>
          </cell>
        </row>
        <row r="302">
          <cell r="A302">
            <v>296</v>
          </cell>
          <cell r="C302">
            <v>1.4551982218569126E-4</v>
          </cell>
        </row>
        <row r="303">
          <cell r="A303">
            <v>297</v>
          </cell>
          <cell r="C303">
            <v>1.4551982218569126E-4</v>
          </cell>
        </row>
        <row r="304">
          <cell r="A304">
            <v>298</v>
          </cell>
          <cell r="C304">
            <v>1.4551982218569126E-4</v>
          </cell>
        </row>
        <row r="305">
          <cell r="A305">
            <v>299</v>
          </cell>
          <cell r="C305">
            <v>1.4551982218569126E-4</v>
          </cell>
        </row>
        <row r="306">
          <cell r="A306">
            <v>300</v>
          </cell>
          <cell r="C306">
            <v>1.4551982218569126E-4</v>
          </cell>
        </row>
        <row r="307">
          <cell r="A307">
            <v>301</v>
          </cell>
          <cell r="C307">
            <v>1.4551982218569126E-4</v>
          </cell>
        </row>
        <row r="308">
          <cell r="A308">
            <v>302</v>
          </cell>
          <cell r="C308">
            <v>1.4551982218569126E-4</v>
          </cell>
        </row>
        <row r="309">
          <cell r="A309">
            <v>303</v>
          </cell>
          <cell r="C309">
            <v>1.4551982218569126E-4</v>
          </cell>
        </row>
        <row r="310">
          <cell r="A310">
            <v>304</v>
          </cell>
          <cell r="C310">
            <v>1.4551982218569126E-4</v>
          </cell>
        </row>
        <row r="311">
          <cell r="A311">
            <v>305</v>
          </cell>
          <cell r="C311">
            <v>1.4551982218569126E-4</v>
          </cell>
        </row>
        <row r="312">
          <cell r="A312">
            <v>306</v>
          </cell>
          <cell r="C312">
            <v>1.4551982218569126E-4</v>
          </cell>
        </row>
        <row r="313">
          <cell r="A313">
            <v>307</v>
          </cell>
          <cell r="C313">
            <v>1.4551982218569126E-4</v>
          </cell>
        </row>
        <row r="314">
          <cell r="A314">
            <v>308</v>
          </cell>
          <cell r="C314">
            <v>1.4551982218569126E-4</v>
          </cell>
        </row>
        <row r="315">
          <cell r="A315">
            <v>309</v>
          </cell>
          <cell r="C315">
            <v>1.4551982218569126E-4</v>
          </cell>
        </row>
        <row r="316">
          <cell r="A316">
            <v>310</v>
          </cell>
          <cell r="C316">
            <v>1.4551982218569126E-4</v>
          </cell>
        </row>
        <row r="317">
          <cell r="A317">
            <v>311</v>
          </cell>
          <cell r="C317">
            <v>1.4551982218569126E-4</v>
          </cell>
        </row>
        <row r="318">
          <cell r="A318">
            <v>312</v>
          </cell>
          <cell r="C318">
            <v>1.4551982218569126E-4</v>
          </cell>
        </row>
        <row r="319">
          <cell r="A319">
            <v>313</v>
          </cell>
          <cell r="C319">
            <v>1.6015111386780134E-4</v>
          </cell>
        </row>
        <row r="320">
          <cell r="A320">
            <v>314</v>
          </cell>
          <cell r="C320">
            <v>1.6015111386780134E-4</v>
          </cell>
        </row>
        <row r="321">
          <cell r="A321">
            <v>315</v>
          </cell>
          <cell r="C321">
            <v>1.6015111386780134E-4</v>
          </cell>
        </row>
        <row r="322">
          <cell r="A322">
            <v>316</v>
          </cell>
          <cell r="C322">
            <v>1.6015111386780134E-4</v>
          </cell>
        </row>
        <row r="323">
          <cell r="A323">
            <v>317</v>
          </cell>
          <cell r="C323">
            <v>1.6015111386780134E-4</v>
          </cell>
        </row>
        <row r="324">
          <cell r="A324">
            <v>318</v>
          </cell>
          <cell r="C324">
            <v>1.6015111386780134E-4</v>
          </cell>
        </row>
        <row r="325">
          <cell r="A325">
            <v>319</v>
          </cell>
          <cell r="C325">
            <v>1.6015111386780134E-4</v>
          </cell>
        </row>
        <row r="326">
          <cell r="A326">
            <v>320</v>
          </cell>
          <cell r="C326">
            <v>1.6015111386780134E-4</v>
          </cell>
        </row>
        <row r="327">
          <cell r="A327">
            <v>321</v>
          </cell>
          <cell r="C327">
            <v>1.6015111386780134E-4</v>
          </cell>
        </row>
        <row r="328">
          <cell r="A328">
            <v>322</v>
          </cell>
          <cell r="C328">
            <v>1.6015111386780134E-4</v>
          </cell>
        </row>
        <row r="329">
          <cell r="A329">
            <v>323</v>
          </cell>
          <cell r="C329">
            <v>1.6015111386780134E-4</v>
          </cell>
        </row>
        <row r="330">
          <cell r="A330">
            <v>324</v>
          </cell>
          <cell r="C330">
            <v>1.6015111386780134E-4</v>
          </cell>
        </row>
        <row r="331">
          <cell r="A331">
            <v>325</v>
          </cell>
          <cell r="C331">
            <v>1.6015111386780134E-4</v>
          </cell>
        </row>
        <row r="332">
          <cell r="A332">
            <v>326</v>
          </cell>
          <cell r="C332">
            <v>1.6015111386780134E-4</v>
          </cell>
        </row>
        <row r="333">
          <cell r="A333">
            <v>327</v>
          </cell>
          <cell r="C333">
            <v>1.6015111386780134E-4</v>
          </cell>
        </row>
        <row r="334">
          <cell r="A334">
            <v>328</v>
          </cell>
          <cell r="C334">
            <v>1.6015111386780134E-4</v>
          </cell>
        </row>
        <row r="335">
          <cell r="A335">
            <v>329</v>
          </cell>
          <cell r="C335">
            <v>1.6015111386780134E-4</v>
          </cell>
        </row>
        <row r="336">
          <cell r="A336">
            <v>330</v>
          </cell>
          <cell r="C336">
            <v>1.6015111386780134E-4</v>
          </cell>
        </row>
        <row r="337">
          <cell r="A337">
            <v>331</v>
          </cell>
          <cell r="C337">
            <v>1.6015111386780134E-4</v>
          </cell>
        </row>
        <row r="338">
          <cell r="A338">
            <v>332</v>
          </cell>
          <cell r="C338">
            <v>1.6015111386780134E-4</v>
          </cell>
        </row>
        <row r="339">
          <cell r="A339">
            <v>333</v>
          </cell>
          <cell r="C339">
            <v>1.6015111386780134E-4</v>
          </cell>
        </row>
        <row r="340">
          <cell r="A340">
            <v>334</v>
          </cell>
          <cell r="C340">
            <v>1.6015111386780134E-4</v>
          </cell>
        </row>
        <row r="341">
          <cell r="A341">
            <v>335</v>
          </cell>
          <cell r="C341">
            <v>1.6015111386780134E-4</v>
          </cell>
        </row>
        <row r="342">
          <cell r="A342">
            <v>336</v>
          </cell>
          <cell r="C342">
            <v>1.6015111386780134E-4</v>
          </cell>
        </row>
        <row r="343">
          <cell r="A343">
            <v>337</v>
          </cell>
          <cell r="C343">
            <v>1.6015111386780134E-4</v>
          </cell>
        </row>
        <row r="344">
          <cell r="A344">
            <v>338</v>
          </cell>
          <cell r="C344">
            <v>1.6015111386780134E-4</v>
          </cell>
        </row>
        <row r="345">
          <cell r="A345">
            <v>339</v>
          </cell>
          <cell r="C345">
            <v>1.7629026324772479E-4</v>
          </cell>
        </row>
        <row r="346">
          <cell r="A346">
            <v>340</v>
          </cell>
          <cell r="C346">
            <v>1.7629026324772479E-4</v>
          </cell>
        </row>
        <row r="347">
          <cell r="A347">
            <v>341</v>
          </cell>
          <cell r="C347">
            <v>1.7629026324772479E-4</v>
          </cell>
        </row>
        <row r="348">
          <cell r="A348">
            <v>342</v>
          </cell>
          <cell r="C348">
            <v>1.7629026324772479E-4</v>
          </cell>
        </row>
        <row r="349">
          <cell r="A349">
            <v>343</v>
          </cell>
          <cell r="C349">
            <v>1.7629026324772479E-4</v>
          </cell>
        </row>
        <row r="350">
          <cell r="A350">
            <v>344</v>
          </cell>
          <cell r="C350">
            <v>1.7629026324772479E-4</v>
          </cell>
        </row>
        <row r="351">
          <cell r="A351">
            <v>345</v>
          </cell>
          <cell r="C351">
            <v>1.7629026324772479E-4</v>
          </cell>
        </row>
        <row r="352">
          <cell r="A352">
            <v>346</v>
          </cell>
          <cell r="C352">
            <v>1.7629026324772479E-4</v>
          </cell>
        </row>
        <row r="353">
          <cell r="A353">
            <v>347</v>
          </cell>
          <cell r="C353">
            <v>1.7629026324772479E-4</v>
          </cell>
        </row>
        <row r="354">
          <cell r="A354">
            <v>348</v>
          </cell>
          <cell r="C354">
            <v>1.7629026324772479E-4</v>
          </cell>
        </row>
        <row r="355">
          <cell r="A355">
            <v>349</v>
          </cell>
          <cell r="C355">
            <v>1.7629026324772479E-4</v>
          </cell>
        </row>
        <row r="356">
          <cell r="A356">
            <v>350</v>
          </cell>
          <cell r="C356">
            <v>1.7629026324772479E-4</v>
          </cell>
        </row>
        <row r="357">
          <cell r="A357">
            <v>351</v>
          </cell>
          <cell r="C357">
            <v>1.7629026324772479E-4</v>
          </cell>
        </row>
        <row r="358">
          <cell r="A358">
            <v>352</v>
          </cell>
          <cell r="C358">
            <v>1.7629026324772479E-4</v>
          </cell>
        </row>
        <row r="359">
          <cell r="A359">
            <v>353</v>
          </cell>
          <cell r="C359">
            <v>1.7629026324772479E-4</v>
          </cell>
        </row>
        <row r="360">
          <cell r="A360">
            <v>354</v>
          </cell>
          <cell r="C360">
            <v>1.7629026324772479E-4</v>
          </cell>
        </row>
        <row r="361">
          <cell r="A361">
            <v>355</v>
          </cell>
          <cell r="C361">
            <v>1.7629026324772479E-4</v>
          </cell>
        </row>
        <row r="362">
          <cell r="A362">
            <v>356</v>
          </cell>
          <cell r="C362">
            <v>1.7629026324772479E-4</v>
          </cell>
        </row>
        <row r="363">
          <cell r="A363">
            <v>357</v>
          </cell>
          <cell r="C363">
            <v>1.7629026324772479E-4</v>
          </cell>
        </row>
        <row r="364">
          <cell r="A364">
            <v>358</v>
          </cell>
          <cell r="C364">
            <v>1.7629026324772479E-4</v>
          </cell>
        </row>
        <row r="365">
          <cell r="A365">
            <v>359</v>
          </cell>
          <cell r="C365">
            <v>1.7629026324772479E-4</v>
          </cell>
        </row>
        <row r="366">
          <cell r="A366">
            <v>360</v>
          </cell>
          <cell r="C366">
            <v>1.7629026324772479E-4</v>
          </cell>
        </row>
        <row r="367">
          <cell r="A367">
            <v>361</v>
          </cell>
          <cell r="C367">
            <v>1.7629026324772479E-4</v>
          </cell>
        </row>
        <row r="368">
          <cell r="A368">
            <v>362</v>
          </cell>
          <cell r="C368">
            <v>1.7629026324772479E-4</v>
          </cell>
        </row>
        <row r="369">
          <cell r="A369">
            <v>363</v>
          </cell>
          <cell r="C369">
            <v>1.7629026324772479E-4</v>
          </cell>
        </row>
        <row r="370">
          <cell r="A370">
            <v>364</v>
          </cell>
          <cell r="C370">
            <v>1.7629026324772479E-4</v>
          </cell>
        </row>
        <row r="371">
          <cell r="A371">
            <v>365</v>
          </cell>
          <cell r="C371">
            <v>1.7629026324772479E-4</v>
          </cell>
        </row>
        <row r="372">
          <cell r="A372">
            <v>366</v>
          </cell>
          <cell r="C372">
            <v>1.9370784166106159E-4</v>
          </cell>
        </row>
        <row r="373">
          <cell r="A373">
            <v>367</v>
          </cell>
          <cell r="C373">
            <v>1.9370784166106159E-4</v>
          </cell>
        </row>
        <row r="374">
          <cell r="A374">
            <v>368</v>
          </cell>
          <cell r="C374">
            <v>1.9370784166106159E-4</v>
          </cell>
        </row>
        <row r="375">
          <cell r="A375">
            <v>369</v>
          </cell>
          <cell r="C375">
            <v>1.9370784166106159E-4</v>
          </cell>
        </row>
        <row r="376">
          <cell r="A376">
            <v>370</v>
          </cell>
          <cell r="C376">
            <v>1.9370784166106159E-4</v>
          </cell>
        </row>
        <row r="377">
          <cell r="A377">
            <v>371</v>
          </cell>
          <cell r="C377">
            <v>1.9370784166106159E-4</v>
          </cell>
        </row>
        <row r="378">
          <cell r="A378">
            <v>372</v>
          </cell>
          <cell r="C378">
            <v>1.9370784166106159E-4</v>
          </cell>
        </row>
        <row r="379">
          <cell r="A379">
            <v>373</v>
          </cell>
          <cell r="C379">
            <v>1.9370784166106159E-4</v>
          </cell>
        </row>
        <row r="380">
          <cell r="A380">
            <v>374</v>
          </cell>
          <cell r="C380">
            <v>1.9370784166106159E-4</v>
          </cell>
        </row>
        <row r="381">
          <cell r="A381">
            <v>375</v>
          </cell>
          <cell r="C381">
            <v>1.9370784166106159E-4</v>
          </cell>
        </row>
        <row r="382">
          <cell r="A382">
            <v>376</v>
          </cell>
          <cell r="C382">
            <v>1.9370784166106159E-4</v>
          </cell>
        </row>
        <row r="383">
          <cell r="A383">
            <v>377</v>
          </cell>
          <cell r="C383">
            <v>1.9370784166106159E-4</v>
          </cell>
        </row>
        <row r="384">
          <cell r="A384">
            <v>378</v>
          </cell>
          <cell r="C384">
            <v>1.9370784166106159E-4</v>
          </cell>
        </row>
        <row r="385">
          <cell r="A385">
            <v>379</v>
          </cell>
          <cell r="C385">
            <v>1.9370784166106159E-4</v>
          </cell>
        </row>
        <row r="386">
          <cell r="A386">
            <v>380</v>
          </cell>
          <cell r="C386">
            <v>1.9370784166106159E-4</v>
          </cell>
        </row>
        <row r="387">
          <cell r="A387">
            <v>381</v>
          </cell>
          <cell r="C387">
            <v>1.9370784166106159E-4</v>
          </cell>
        </row>
        <row r="388">
          <cell r="A388">
            <v>382</v>
          </cell>
          <cell r="C388">
            <v>1.9370784166106159E-4</v>
          </cell>
        </row>
        <row r="389">
          <cell r="A389">
            <v>383</v>
          </cell>
          <cell r="C389">
            <v>1.9370784166106159E-4</v>
          </cell>
        </row>
        <row r="390">
          <cell r="A390">
            <v>384</v>
          </cell>
          <cell r="C390">
            <v>1.9370784166106159E-4</v>
          </cell>
        </row>
        <row r="391">
          <cell r="A391">
            <v>385</v>
          </cell>
          <cell r="C391">
            <v>1.9370784166106159E-4</v>
          </cell>
        </row>
        <row r="392">
          <cell r="A392">
            <v>386</v>
          </cell>
          <cell r="C392">
            <v>1.9370784166106159E-4</v>
          </cell>
        </row>
        <row r="393">
          <cell r="A393">
            <v>387</v>
          </cell>
          <cell r="C393">
            <v>1.9370784166106159E-4</v>
          </cell>
        </row>
        <row r="394">
          <cell r="A394">
            <v>388</v>
          </cell>
          <cell r="C394">
            <v>1.9370784166106159E-4</v>
          </cell>
        </row>
        <row r="395">
          <cell r="A395">
            <v>389</v>
          </cell>
          <cell r="C395">
            <v>1.9370784166106159E-4</v>
          </cell>
        </row>
        <row r="396">
          <cell r="A396">
            <v>390</v>
          </cell>
          <cell r="C396">
            <v>1.9370784166106159E-4</v>
          </cell>
        </row>
        <row r="397">
          <cell r="A397">
            <v>391</v>
          </cell>
          <cell r="C397">
            <v>1.9370784166106159E-4</v>
          </cell>
        </row>
        <row r="398">
          <cell r="A398">
            <v>392</v>
          </cell>
          <cell r="C398">
            <v>2.1228983945331681E-4</v>
          </cell>
        </row>
        <row r="399">
          <cell r="A399">
            <v>393</v>
          </cell>
          <cell r="C399">
            <v>2.1228983945331681E-4</v>
          </cell>
        </row>
        <row r="400">
          <cell r="A400">
            <v>394</v>
          </cell>
          <cell r="C400">
            <v>2.1228983945331681E-4</v>
          </cell>
        </row>
        <row r="401">
          <cell r="A401">
            <v>395</v>
          </cell>
          <cell r="C401">
            <v>2.1228983945331681E-4</v>
          </cell>
        </row>
        <row r="402">
          <cell r="A402">
            <v>396</v>
          </cell>
          <cell r="C402">
            <v>2.1228983945331681E-4</v>
          </cell>
        </row>
        <row r="403">
          <cell r="A403">
            <v>397</v>
          </cell>
          <cell r="C403">
            <v>2.1228983945331681E-4</v>
          </cell>
        </row>
        <row r="404">
          <cell r="A404">
            <v>398</v>
          </cell>
          <cell r="C404">
            <v>2.1228983945331681E-4</v>
          </cell>
        </row>
        <row r="405">
          <cell r="A405">
            <v>399</v>
          </cell>
          <cell r="C405">
            <v>2.1228983945331681E-4</v>
          </cell>
        </row>
        <row r="406">
          <cell r="A406">
            <v>400</v>
          </cell>
          <cell r="C406">
            <v>2.1228983945331681E-4</v>
          </cell>
        </row>
        <row r="407">
          <cell r="A407">
            <v>401</v>
          </cell>
          <cell r="C407">
            <v>2.1228983945331681E-4</v>
          </cell>
        </row>
        <row r="408">
          <cell r="A408">
            <v>402</v>
          </cell>
          <cell r="C408">
            <v>2.1228983945331681E-4</v>
          </cell>
        </row>
        <row r="409">
          <cell r="A409">
            <v>403</v>
          </cell>
          <cell r="C409">
            <v>2.1228983945331681E-4</v>
          </cell>
        </row>
        <row r="410">
          <cell r="A410">
            <v>404</v>
          </cell>
          <cell r="C410">
            <v>2.1228983945331681E-4</v>
          </cell>
        </row>
        <row r="411">
          <cell r="A411">
            <v>405</v>
          </cell>
          <cell r="C411">
            <v>2.1228983945331681E-4</v>
          </cell>
        </row>
        <row r="412">
          <cell r="A412">
            <v>406</v>
          </cell>
          <cell r="C412">
            <v>2.1228983945331681E-4</v>
          </cell>
        </row>
        <row r="413">
          <cell r="A413">
            <v>407</v>
          </cell>
          <cell r="C413">
            <v>2.1228983945331681E-4</v>
          </cell>
        </row>
        <row r="414">
          <cell r="A414">
            <v>408</v>
          </cell>
          <cell r="C414">
            <v>2.1228983945331681E-4</v>
          </cell>
        </row>
        <row r="415">
          <cell r="A415">
            <v>409</v>
          </cell>
          <cell r="C415">
            <v>2.1228983945331681E-4</v>
          </cell>
        </row>
        <row r="416">
          <cell r="A416">
            <v>410</v>
          </cell>
          <cell r="C416">
            <v>2.1228983945331681E-4</v>
          </cell>
        </row>
        <row r="417">
          <cell r="A417">
            <v>411</v>
          </cell>
          <cell r="C417">
            <v>2.1228983945331681E-4</v>
          </cell>
        </row>
        <row r="418">
          <cell r="A418">
            <v>412</v>
          </cell>
          <cell r="C418">
            <v>2.1228983945331681E-4</v>
          </cell>
        </row>
        <row r="419">
          <cell r="A419">
            <v>413</v>
          </cell>
          <cell r="C419">
            <v>2.1228983945331681E-4</v>
          </cell>
        </row>
        <row r="420">
          <cell r="A420">
            <v>414</v>
          </cell>
          <cell r="C420">
            <v>2.1228983945331681E-4</v>
          </cell>
        </row>
        <row r="421">
          <cell r="A421">
            <v>415</v>
          </cell>
          <cell r="C421">
            <v>2.1228983945331681E-4</v>
          </cell>
        </row>
        <row r="422">
          <cell r="A422">
            <v>416</v>
          </cell>
          <cell r="C422">
            <v>2.1228983945331681E-4</v>
          </cell>
        </row>
        <row r="423">
          <cell r="A423">
            <v>417</v>
          </cell>
          <cell r="C423">
            <v>2.1228983945331681E-4</v>
          </cell>
        </row>
        <row r="424">
          <cell r="A424">
            <v>418</v>
          </cell>
          <cell r="C424">
            <v>2.3219220175896282E-4</v>
          </cell>
        </row>
        <row r="425">
          <cell r="A425">
            <v>419</v>
          </cell>
          <cell r="C425">
            <v>2.3219220175896282E-4</v>
          </cell>
        </row>
        <row r="426">
          <cell r="A426">
            <v>420</v>
          </cell>
          <cell r="C426">
            <v>2.3219220175896282E-4</v>
          </cell>
        </row>
        <row r="427">
          <cell r="A427">
            <v>421</v>
          </cell>
          <cell r="C427">
            <v>2.3219220175896282E-4</v>
          </cell>
        </row>
        <row r="428">
          <cell r="A428">
            <v>422</v>
          </cell>
          <cell r="C428">
            <v>2.3219220175896282E-4</v>
          </cell>
        </row>
        <row r="429">
          <cell r="A429">
            <v>423</v>
          </cell>
          <cell r="C429">
            <v>2.3219220175896282E-4</v>
          </cell>
        </row>
        <row r="430">
          <cell r="A430">
            <v>424</v>
          </cell>
          <cell r="C430">
            <v>2.3219220175896282E-4</v>
          </cell>
        </row>
        <row r="431">
          <cell r="A431">
            <v>425</v>
          </cell>
          <cell r="C431">
            <v>2.3219220175896282E-4</v>
          </cell>
        </row>
        <row r="432">
          <cell r="A432">
            <v>426</v>
          </cell>
          <cell r="C432">
            <v>2.3219220175896282E-4</v>
          </cell>
        </row>
        <row r="433">
          <cell r="A433">
            <v>427</v>
          </cell>
          <cell r="C433">
            <v>2.3219220175896282E-4</v>
          </cell>
        </row>
        <row r="434">
          <cell r="A434">
            <v>428</v>
          </cell>
          <cell r="C434">
            <v>2.3219220175896282E-4</v>
          </cell>
        </row>
        <row r="435">
          <cell r="A435">
            <v>429</v>
          </cell>
          <cell r="C435">
            <v>2.3219220175896282E-4</v>
          </cell>
        </row>
        <row r="436">
          <cell r="A436">
            <v>430</v>
          </cell>
          <cell r="C436">
            <v>2.3219220175896282E-4</v>
          </cell>
        </row>
        <row r="437">
          <cell r="A437">
            <v>431</v>
          </cell>
          <cell r="C437">
            <v>2.3219220175896282E-4</v>
          </cell>
        </row>
        <row r="438">
          <cell r="A438">
            <v>432</v>
          </cell>
          <cell r="C438">
            <v>2.3219220175896282E-4</v>
          </cell>
        </row>
        <row r="439">
          <cell r="A439">
            <v>433</v>
          </cell>
          <cell r="C439">
            <v>2.3219220175896282E-4</v>
          </cell>
        </row>
        <row r="440">
          <cell r="A440">
            <v>434</v>
          </cell>
          <cell r="C440">
            <v>2.3219220175896282E-4</v>
          </cell>
        </row>
        <row r="441">
          <cell r="A441">
            <v>435</v>
          </cell>
          <cell r="C441">
            <v>2.3219220175896282E-4</v>
          </cell>
        </row>
        <row r="442">
          <cell r="A442">
            <v>436</v>
          </cell>
          <cell r="C442">
            <v>2.3219220175896282E-4</v>
          </cell>
        </row>
        <row r="443">
          <cell r="A443">
            <v>437</v>
          </cell>
          <cell r="C443">
            <v>2.3219220175896282E-4</v>
          </cell>
        </row>
        <row r="444">
          <cell r="A444">
            <v>438</v>
          </cell>
          <cell r="C444">
            <v>2.3219220175896282E-4</v>
          </cell>
        </row>
        <row r="445">
          <cell r="A445">
            <v>439</v>
          </cell>
          <cell r="C445">
            <v>2.3219220175896282E-4</v>
          </cell>
        </row>
        <row r="446">
          <cell r="A446">
            <v>440</v>
          </cell>
          <cell r="C446">
            <v>2.3219220175896282E-4</v>
          </cell>
        </row>
        <row r="447">
          <cell r="A447">
            <v>441</v>
          </cell>
          <cell r="C447">
            <v>2.3219220175896282E-4</v>
          </cell>
        </row>
        <row r="448">
          <cell r="A448">
            <v>442</v>
          </cell>
          <cell r="C448">
            <v>2.3219220175896282E-4</v>
          </cell>
        </row>
        <row r="449">
          <cell r="A449">
            <v>443</v>
          </cell>
          <cell r="C449">
            <v>2.3219220175896282E-4</v>
          </cell>
        </row>
        <row r="450">
          <cell r="A450">
            <v>444</v>
          </cell>
          <cell r="C450">
            <v>2.5345550293476293E-4</v>
          </cell>
        </row>
        <row r="451">
          <cell r="A451">
            <v>445</v>
          </cell>
          <cell r="C451">
            <v>2.5345550293476293E-4</v>
          </cell>
        </row>
        <row r="452">
          <cell r="A452">
            <v>446</v>
          </cell>
          <cell r="C452">
            <v>2.5345550293476293E-4</v>
          </cell>
        </row>
        <row r="453">
          <cell r="A453">
            <v>447</v>
          </cell>
          <cell r="C453">
            <v>2.5345550293476293E-4</v>
          </cell>
        </row>
        <row r="454">
          <cell r="A454">
            <v>448</v>
          </cell>
          <cell r="C454">
            <v>2.5345550293476293E-4</v>
          </cell>
        </row>
        <row r="455">
          <cell r="A455">
            <v>449</v>
          </cell>
          <cell r="C455">
            <v>2.5345550293476293E-4</v>
          </cell>
        </row>
        <row r="456">
          <cell r="A456">
            <v>450</v>
          </cell>
          <cell r="C456">
            <v>2.5345550293476293E-4</v>
          </cell>
        </row>
        <row r="457">
          <cell r="A457">
            <v>451</v>
          </cell>
          <cell r="C457">
            <v>2.5345550293476293E-4</v>
          </cell>
        </row>
        <row r="458">
          <cell r="A458">
            <v>452</v>
          </cell>
          <cell r="C458">
            <v>2.5345550293476293E-4</v>
          </cell>
        </row>
        <row r="459">
          <cell r="A459">
            <v>453</v>
          </cell>
          <cell r="C459">
            <v>2.5345550293476293E-4</v>
          </cell>
        </row>
        <row r="460">
          <cell r="A460">
            <v>454</v>
          </cell>
          <cell r="C460">
            <v>2.5345550293476293E-4</v>
          </cell>
        </row>
        <row r="461">
          <cell r="A461">
            <v>455</v>
          </cell>
          <cell r="C461">
            <v>2.5345550293476293E-4</v>
          </cell>
        </row>
        <row r="462">
          <cell r="A462">
            <v>456</v>
          </cell>
          <cell r="C462">
            <v>2.5345550293476293E-4</v>
          </cell>
        </row>
        <row r="463">
          <cell r="A463">
            <v>457</v>
          </cell>
          <cell r="C463">
            <v>2.5345550293476293E-4</v>
          </cell>
        </row>
        <row r="464">
          <cell r="A464">
            <v>458</v>
          </cell>
          <cell r="C464">
            <v>2.5345550293476293E-4</v>
          </cell>
        </row>
        <row r="465">
          <cell r="A465">
            <v>459</v>
          </cell>
          <cell r="C465">
            <v>2.5345550293476293E-4</v>
          </cell>
        </row>
        <row r="466">
          <cell r="A466">
            <v>460</v>
          </cell>
          <cell r="C466">
            <v>2.5345550293476293E-4</v>
          </cell>
        </row>
        <row r="467">
          <cell r="A467">
            <v>461</v>
          </cell>
          <cell r="C467">
            <v>2.5345550293476293E-4</v>
          </cell>
        </row>
        <row r="468">
          <cell r="A468">
            <v>462</v>
          </cell>
          <cell r="C468">
            <v>2.5345550293476293E-4</v>
          </cell>
        </row>
        <row r="469">
          <cell r="A469">
            <v>463</v>
          </cell>
          <cell r="C469">
            <v>2.5345550293476293E-4</v>
          </cell>
        </row>
        <row r="470">
          <cell r="A470">
            <v>464</v>
          </cell>
          <cell r="C470">
            <v>2.5345550293476293E-4</v>
          </cell>
        </row>
        <row r="471">
          <cell r="A471">
            <v>465</v>
          </cell>
          <cell r="C471">
            <v>2.5345550293476293E-4</v>
          </cell>
        </row>
        <row r="472">
          <cell r="A472">
            <v>466</v>
          </cell>
          <cell r="C472">
            <v>2.5345550293476293E-4</v>
          </cell>
        </row>
        <row r="473">
          <cell r="A473">
            <v>467</v>
          </cell>
          <cell r="C473">
            <v>2.5345550293476293E-4</v>
          </cell>
        </row>
        <row r="474">
          <cell r="A474">
            <v>468</v>
          </cell>
          <cell r="C474">
            <v>2.5345550293476293E-4</v>
          </cell>
        </row>
        <row r="475">
          <cell r="A475">
            <v>469</v>
          </cell>
          <cell r="C475">
            <v>2.5345550293476293E-4</v>
          </cell>
        </row>
        <row r="476">
          <cell r="A476">
            <v>470</v>
          </cell>
          <cell r="C476">
            <v>2.7596604845614436E-4</v>
          </cell>
        </row>
        <row r="477">
          <cell r="A477">
            <v>471</v>
          </cell>
          <cell r="C477">
            <v>2.7596604845614436E-4</v>
          </cell>
        </row>
        <row r="478">
          <cell r="A478">
            <v>472</v>
          </cell>
          <cell r="C478">
            <v>2.7596604845614436E-4</v>
          </cell>
        </row>
        <row r="479">
          <cell r="A479">
            <v>473</v>
          </cell>
          <cell r="C479">
            <v>2.7596604845614436E-4</v>
          </cell>
        </row>
        <row r="480">
          <cell r="A480">
            <v>474</v>
          </cell>
          <cell r="C480">
            <v>2.7596604845614436E-4</v>
          </cell>
        </row>
        <row r="481">
          <cell r="A481">
            <v>475</v>
          </cell>
          <cell r="C481">
            <v>2.7596604845614436E-4</v>
          </cell>
        </row>
        <row r="482">
          <cell r="A482">
            <v>476</v>
          </cell>
          <cell r="C482">
            <v>2.7596604845614436E-4</v>
          </cell>
        </row>
        <row r="483">
          <cell r="A483">
            <v>477</v>
          </cell>
          <cell r="C483">
            <v>2.7596604845614436E-4</v>
          </cell>
        </row>
        <row r="484">
          <cell r="A484">
            <v>478</v>
          </cell>
          <cell r="C484">
            <v>2.7596604845614436E-4</v>
          </cell>
        </row>
        <row r="485">
          <cell r="A485">
            <v>479</v>
          </cell>
          <cell r="C485">
            <v>2.7596604845614436E-4</v>
          </cell>
        </row>
        <row r="486">
          <cell r="A486">
            <v>480</v>
          </cell>
          <cell r="C486">
            <v>2.7596604845614436E-4</v>
          </cell>
        </row>
        <row r="487">
          <cell r="A487">
            <v>481</v>
          </cell>
          <cell r="C487">
            <v>2.7596604845614436E-4</v>
          </cell>
        </row>
        <row r="488">
          <cell r="A488">
            <v>482</v>
          </cell>
          <cell r="C488">
            <v>2.7596604845614436E-4</v>
          </cell>
        </row>
        <row r="489">
          <cell r="A489">
            <v>483</v>
          </cell>
          <cell r="C489">
            <v>2.7596604845614436E-4</v>
          </cell>
        </row>
        <row r="490">
          <cell r="A490">
            <v>484</v>
          </cell>
          <cell r="C490">
            <v>2.7596604845614436E-4</v>
          </cell>
        </row>
        <row r="491">
          <cell r="A491">
            <v>485</v>
          </cell>
          <cell r="C491">
            <v>2.7596604845614436E-4</v>
          </cell>
        </row>
        <row r="492">
          <cell r="A492">
            <v>486</v>
          </cell>
          <cell r="C492">
            <v>2.7596604845614436E-4</v>
          </cell>
        </row>
        <row r="493">
          <cell r="A493">
            <v>487</v>
          </cell>
          <cell r="C493">
            <v>2.7596604845614436E-4</v>
          </cell>
        </row>
        <row r="494">
          <cell r="A494">
            <v>488</v>
          </cell>
          <cell r="C494">
            <v>2.7596604845614436E-4</v>
          </cell>
        </row>
        <row r="495">
          <cell r="A495">
            <v>489</v>
          </cell>
          <cell r="C495">
            <v>2.7596604845614436E-4</v>
          </cell>
        </row>
        <row r="496">
          <cell r="A496">
            <v>490</v>
          </cell>
          <cell r="C496">
            <v>2.7596604845614436E-4</v>
          </cell>
        </row>
        <row r="497">
          <cell r="A497">
            <v>491</v>
          </cell>
          <cell r="C497">
            <v>2.7596604845614436E-4</v>
          </cell>
        </row>
        <row r="498">
          <cell r="A498">
            <v>492</v>
          </cell>
          <cell r="C498">
            <v>2.7596604845614436E-4</v>
          </cell>
        </row>
        <row r="499">
          <cell r="A499">
            <v>493</v>
          </cell>
          <cell r="C499">
            <v>2.7596604845614436E-4</v>
          </cell>
        </row>
        <row r="500">
          <cell r="A500">
            <v>494</v>
          </cell>
          <cell r="C500">
            <v>2.7596604845614436E-4</v>
          </cell>
        </row>
        <row r="501">
          <cell r="A501">
            <v>495</v>
          </cell>
          <cell r="C501">
            <v>2.7596604845614436E-4</v>
          </cell>
        </row>
        <row r="502">
          <cell r="A502">
            <v>496</v>
          </cell>
          <cell r="C502">
            <v>3.0034427820335718E-4</v>
          </cell>
        </row>
        <row r="503">
          <cell r="A503">
            <v>497</v>
          </cell>
          <cell r="C503">
            <v>3.0034427820335718E-4</v>
          </cell>
        </row>
        <row r="504">
          <cell r="A504">
            <v>498</v>
          </cell>
          <cell r="C504">
            <v>3.0034427820335718E-4</v>
          </cell>
        </row>
        <row r="505">
          <cell r="A505">
            <v>499</v>
          </cell>
          <cell r="C505">
            <v>3.0034427820335718E-4</v>
          </cell>
        </row>
        <row r="506">
          <cell r="A506">
            <v>500</v>
          </cell>
          <cell r="C506">
            <v>3.0034427820335718E-4</v>
          </cell>
        </row>
        <row r="507">
          <cell r="A507">
            <v>501</v>
          </cell>
          <cell r="C507">
            <v>3.0034427820335718E-4</v>
          </cell>
        </row>
        <row r="508">
          <cell r="A508">
            <v>502</v>
          </cell>
          <cell r="C508">
            <v>3.0034427820335718E-4</v>
          </cell>
        </row>
        <row r="509">
          <cell r="A509">
            <v>503</v>
          </cell>
          <cell r="C509">
            <v>3.0034427820335718E-4</v>
          </cell>
        </row>
        <row r="510">
          <cell r="A510">
            <v>504</v>
          </cell>
          <cell r="C510">
            <v>3.0034427820335718E-4</v>
          </cell>
        </row>
        <row r="511">
          <cell r="A511">
            <v>505</v>
          </cell>
          <cell r="C511">
            <v>3.0034427820335718E-4</v>
          </cell>
        </row>
        <row r="512">
          <cell r="A512">
            <v>506</v>
          </cell>
          <cell r="C512">
            <v>3.0034427820335718E-4</v>
          </cell>
        </row>
        <row r="513">
          <cell r="A513">
            <v>507</v>
          </cell>
          <cell r="C513">
            <v>3.0034427820335718E-4</v>
          </cell>
        </row>
        <row r="514">
          <cell r="A514">
            <v>508</v>
          </cell>
          <cell r="C514">
            <v>3.0034427820335718E-4</v>
          </cell>
        </row>
        <row r="515">
          <cell r="A515">
            <v>509</v>
          </cell>
          <cell r="C515">
            <v>3.0034427820335718E-4</v>
          </cell>
        </row>
        <row r="516">
          <cell r="A516">
            <v>510</v>
          </cell>
          <cell r="C516">
            <v>3.0034427820335718E-4</v>
          </cell>
        </row>
        <row r="517">
          <cell r="A517">
            <v>511</v>
          </cell>
          <cell r="C517">
            <v>3.0034427820335718E-4</v>
          </cell>
        </row>
        <row r="518">
          <cell r="A518">
            <v>512</v>
          </cell>
          <cell r="C518">
            <v>3.0034427820335718E-4</v>
          </cell>
        </row>
        <row r="519">
          <cell r="A519">
            <v>513</v>
          </cell>
          <cell r="C519">
            <v>3.0034427820335718E-4</v>
          </cell>
        </row>
        <row r="520">
          <cell r="A520">
            <v>514</v>
          </cell>
          <cell r="C520">
            <v>3.0034427820335718E-4</v>
          </cell>
        </row>
        <row r="521">
          <cell r="A521">
            <v>515</v>
          </cell>
          <cell r="C521">
            <v>3.0034427820335718E-4</v>
          </cell>
        </row>
        <row r="522">
          <cell r="A522">
            <v>516</v>
          </cell>
          <cell r="C522">
            <v>3.0034427820335718E-4</v>
          </cell>
        </row>
        <row r="523">
          <cell r="A523">
            <v>517</v>
          </cell>
          <cell r="C523">
            <v>3.0034427820335718E-4</v>
          </cell>
        </row>
        <row r="524">
          <cell r="A524">
            <v>518</v>
          </cell>
          <cell r="C524">
            <v>3.0034427820335718E-4</v>
          </cell>
        </row>
        <row r="525">
          <cell r="A525">
            <v>519</v>
          </cell>
          <cell r="C525">
            <v>3.0034427820335718E-4</v>
          </cell>
        </row>
        <row r="526">
          <cell r="A526">
            <v>520</v>
          </cell>
          <cell r="C526">
            <v>3.0034427820335718E-4</v>
          </cell>
        </row>
        <row r="527">
          <cell r="A527">
            <v>521</v>
          </cell>
          <cell r="C527">
            <v>3.0034427820335718E-4</v>
          </cell>
        </row>
        <row r="528">
          <cell r="A528">
            <v>522</v>
          </cell>
          <cell r="C528">
            <v>3.2605221431214471E-4</v>
          </cell>
        </row>
        <row r="529">
          <cell r="A529">
            <v>523</v>
          </cell>
          <cell r="C529">
            <v>3.2605221431214471E-4</v>
          </cell>
        </row>
        <row r="530">
          <cell r="A530">
            <v>524</v>
          </cell>
          <cell r="C530">
            <v>3.2605221431214471E-4</v>
          </cell>
        </row>
        <row r="531">
          <cell r="A531">
            <v>525</v>
          </cell>
          <cell r="C531">
            <v>3.2605221431214471E-4</v>
          </cell>
        </row>
        <row r="532">
          <cell r="A532">
            <v>526</v>
          </cell>
          <cell r="C532">
            <v>3.2605221431214471E-4</v>
          </cell>
        </row>
        <row r="533">
          <cell r="A533">
            <v>527</v>
          </cell>
          <cell r="C533">
            <v>3.2605221431214471E-4</v>
          </cell>
        </row>
        <row r="534">
          <cell r="A534">
            <v>528</v>
          </cell>
          <cell r="C534">
            <v>3.2605221431214471E-4</v>
          </cell>
        </row>
        <row r="535">
          <cell r="A535">
            <v>529</v>
          </cell>
          <cell r="C535">
            <v>3.2605221431214471E-4</v>
          </cell>
        </row>
        <row r="536">
          <cell r="A536">
            <v>530</v>
          </cell>
          <cell r="C536">
            <v>3.2605221431214471E-4</v>
          </cell>
        </row>
        <row r="537">
          <cell r="A537">
            <v>531</v>
          </cell>
          <cell r="C537">
            <v>3.2605221431214471E-4</v>
          </cell>
        </row>
        <row r="538">
          <cell r="A538">
            <v>532</v>
          </cell>
          <cell r="C538">
            <v>3.2605221431214471E-4</v>
          </cell>
        </row>
        <row r="539">
          <cell r="A539">
            <v>533</v>
          </cell>
          <cell r="C539">
            <v>3.2605221431214471E-4</v>
          </cell>
        </row>
        <row r="540">
          <cell r="A540">
            <v>534</v>
          </cell>
          <cell r="C540">
            <v>3.2605221431214471E-4</v>
          </cell>
        </row>
        <row r="541">
          <cell r="A541">
            <v>535</v>
          </cell>
          <cell r="C541">
            <v>3.2605221431214471E-4</v>
          </cell>
        </row>
        <row r="542">
          <cell r="A542">
            <v>536</v>
          </cell>
          <cell r="C542">
            <v>3.2605221431214471E-4</v>
          </cell>
        </row>
        <row r="543">
          <cell r="A543">
            <v>537</v>
          </cell>
          <cell r="C543">
            <v>3.2605221431214471E-4</v>
          </cell>
        </row>
        <row r="544">
          <cell r="A544">
            <v>538</v>
          </cell>
          <cell r="C544">
            <v>3.2605221431214471E-4</v>
          </cell>
        </row>
        <row r="545">
          <cell r="A545">
            <v>539</v>
          </cell>
          <cell r="C545">
            <v>3.2605221431214471E-4</v>
          </cell>
        </row>
        <row r="546">
          <cell r="A546">
            <v>540</v>
          </cell>
          <cell r="C546">
            <v>3.2605221431214471E-4</v>
          </cell>
        </row>
        <row r="547">
          <cell r="A547">
            <v>541</v>
          </cell>
          <cell r="C547">
            <v>3.2605221431214471E-4</v>
          </cell>
        </row>
        <row r="548">
          <cell r="A548">
            <v>542</v>
          </cell>
          <cell r="C548">
            <v>3.2605221431214471E-4</v>
          </cell>
        </row>
        <row r="549">
          <cell r="A549">
            <v>543</v>
          </cell>
          <cell r="C549">
            <v>3.2605221431214471E-4</v>
          </cell>
        </row>
        <row r="550">
          <cell r="A550">
            <v>544</v>
          </cell>
          <cell r="C550">
            <v>3.2605221431214471E-4</v>
          </cell>
        </row>
        <row r="551">
          <cell r="A551">
            <v>545</v>
          </cell>
          <cell r="C551">
            <v>3.2605221431214471E-4</v>
          </cell>
        </row>
        <row r="552">
          <cell r="A552">
            <v>546</v>
          </cell>
          <cell r="C552">
            <v>3.2605221431214471E-4</v>
          </cell>
        </row>
        <row r="553">
          <cell r="A553">
            <v>547</v>
          </cell>
          <cell r="C553">
            <v>3.2605221431214471E-4</v>
          </cell>
        </row>
        <row r="554">
          <cell r="A554">
            <v>548</v>
          </cell>
          <cell r="C554">
            <v>3.518541282111487E-4</v>
          </cell>
        </row>
        <row r="555">
          <cell r="A555">
            <v>549</v>
          </cell>
          <cell r="C555">
            <v>3.518541282111487E-4</v>
          </cell>
        </row>
        <row r="556">
          <cell r="A556">
            <v>550</v>
          </cell>
          <cell r="C556">
            <v>3.518541282111487E-4</v>
          </cell>
        </row>
        <row r="557">
          <cell r="A557">
            <v>551</v>
          </cell>
          <cell r="C557">
            <v>3.518541282111487E-4</v>
          </cell>
        </row>
        <row r="558">
          <cell r="A558">
            <v>552</v>
          </cell>
          <cell r="C558">
            <v>3.518541282111487E-4</v>
          </cell>
        </row>
        <row r="559">
          <cell r="A559">
            <v>553</v>
          </cell>
          <cell r="C559">
            <v>3.518541282111487E-4</v>
          </cell>
        </row>
        <row r="560">
          <cell r="A560">
            <v>554</v>
          </cell>
          <cell r="C560">
            <v>3.518541282111487E-4</v>
          </cell>
        </row>
        <row r="561">
          <cell r="A561">
            <v>555</v>
          </cell>
          <cell r="C561">
            <v>3.518541282111487E-4</v>
          </cell>
        </row>
        <row r="562">
          <cell r="A562">
            <v>556</v>
          </cell>
          <cell r="C562">
            <v>3.518541282111487E-4</v>
          </cell>
        </row>
        <row r="563">
          <cell r="A563">
            <v>557</v>
          </cell>
          <cell r="C563">
            <v>3.518541282111487E-4</v>
          </cell>
        </row>
        <row r="564">
          <cell r="A564">
            <v>558</v>
          </cell>
          <cell r="C564">
            <v>3.518541282111487E-4</v>
          </cell>
        </row>
        <row r="565">
          <cell r="A565">
            <v>559</v>
          </cell>
          <cell r="C565">
            <v>3.518541282111487E-4</v>
          </cell>
        </row>
        <row r="566">
          <cell r="A566">
            <v>560</v>
          </cell>
          <cell r="C566">
            <v>3.518541282111487E-4</v>
          </cell>
        </row>
        <row r="567">
          <cell r="A567">
            <v>561</v>
          </cell>
          <cell r="C567">
            <v>3.518541282111487E-4</v>
          </cell>
        </row>
        <row r="568">
          <cell r="A568">
            <v>562</v>
          </cell>
          <cell r="C568">
            <v>3.518541282111487E-4</v>
          </cell>
        </row>
        <row r="569">
          <cell r="A569">
            <v>563</v>
          </cell>
          <cell r="C569">
            <v>3.518541282111487E-4</v>
          </cell>
        </row>
        <row r="570">
          <cell r="A570">
            <v>564</v>
          </cell>
          <cell r="C570">
            <v>3.518541282111487E-4</v>
          </cell>
        </row>
        <row r="571">
          <cell r="A571">
            <v>565</v>
          </cell>
          <cell r="C571">
            <v>3.518541282111487E-4</v>
          </cell>
        </row>
        <row r="572">
          <cell r="A572">
            <v>566</v>
          </cell>
          <cell r="C572">
            <v>3.518541282111487E-4</v>
          </cell>
        </row>
        <row r="573">
          <cell r="A573">
            <v>567</v>
          </cell>
          <cell r="C573">
            <v>3.518541282111487E-4</v>
          </cell>
        </row>
        <row r="574">
          <cell r="A574">
            <v>568</v>
          </cell>
          <cell r="C574">
            <v>3.518541282111487E-4</v>
          </cell>
        </row>
        <row r="575">
          <cell r="A575">
            <v>569</v>
          </cell>
          <cell r="C575">
            <v>3.518541282111487E-4</v>
          </cell>
        </row>
        <row r="576">
          <cell r="A576">
            <v>570</v>
          </cell>
          <cell r="C576">
            <v>3.518541282111487E-4</v>
          </cell>
        </row>
        <row r="577">
          <cell r="A577">
            <v>571</v>
          </cell>
          <cell r="C577">
            <v>3.518541282111487E-4</v>
          </cell>
        </row>
        <row r="578">
          <cell r="A578">
            <v>572</v>
          </cell>
          <cell r="C578">
            <v>3.518541282111487E-4</v>
          </cell>
        </row>
        <row r="579">
          <cell r="A579">
            <v>573</v>
          </cell>
          <cell r="C579">
            <v>3.518541282111487E-4</v>
          </cell>
        </row>
        <row r="580">
          <cell r="A580">
            <v>574</v>
          </cell>
          <cell r="C580">
            <v>3.7736298212742714E-4</v>
          </cell>
        </row>
        <row r="581">
          <cell r="A581">
            <v>575</v>
          </cell>
          <cell r="C581">
            <v>3.7736298212742714E-4</v>
          </cell>
        </row>
        <row r="582">
          <cell r="A582">
            <v>576</v>
          </cell>
          <cell r="C582">
            <v>3.7736298212742714E-4</v>
          </cell>
        </row>
        <row r="583">
          <cell r="A583">
            <v>577</v>
          </cell>
          <cell r="C583">
            <v>3.7736298212742714E-4</v>
          </cell>
        </row>
        <row r="584">
          <cell r="A584">
            <v>578</v>
          </cell>
          <cell r="C584">
            <v>3.7736298212742714E-4</v>
          </cell>
        </row>
        <row r="585">
          <cell r="A585">
            <v>579</v>
          </cell>
          <cell r="C585">
            <v>3.7736298212742714E-4</v>
          </cell>
        </row>
        <row r="586">
          <cell r="A586">
            <v>580</v>
          </cell>
          <cell r="C586">
            <v>3.7736298212742714E-4</v>
          </cell>
        </row>
        <row r="587">
          <cell r="A587">
            <v>581</v>
          </cell>
          <cell r="C587">
            <v>3.7736298212742714E-4</v>
          </cell>
        </row>
        <row r="588">
          <cell r="A588">
            <v>582</v>
          </cell>
          <cell r="C588">
            <v>3.7736298212742714E-4</v>
          </cell>
        </row>
        <row r="589">
          <cell r="A589">
            <v>583</v>
          </cell>
          <cell r="C589">
            <v>3.7736298212742714E-4</v>
          </cell>
        </row>
        <row r="590">
          <cell r="A590">
            <v>584</v>
          </cell>
          <cell r="C590">
            <v>3.7736298212742714E-4</v>
          </cell>
        </row>
        <row r="591">
          <cell r="A591">
            <v>585</v>
          </cell>
          <cell r="C591">
            <v>3.7736298212742714E-4</v>
          </cell>
        </row>
        <row r="592">
          <cell r="A592">
            <v>586</v>
          </cell>
          <cell r="C592">
            <v>3.7736298212742714E-4</v>
          </cell>
        </row>
        <row r="593">
          <cell r="A593">
            <v>587</v>
          </cell>
          <cell r="C593">
            <v>3.7736298212742714E-4</v>
          </cell>
        </row>
        <row r="594">
          <cell r="A594">
            <v>588</v>
          </cell>
          <cell r="C594">
            <v>3.7736298212742714E-4</v>
          </cell>
        </row>
        <row r="595">
          <cell r="A595">
            <v>589</v>
          </cell>
          <cell r="C595">
            <v>3.7736298212742714E-4</v>
          </cell>
        </row>
        <row r="596">
          <cell r="A596">
            <v>590</v>
          </cell>
          <cell r="C596">
            <v>3.7736298212742714E-4</v>
          </cell>
        </row>
        <row r="597">
          <cell r="A597">
            <v>591</v>
          </cell>
          <cell r="C597">
            <v>3.7736298212742714E-4</v>
          </cell>
        </row>
        <row r="598">
          <cell r="A598">
            <v>592</v>
          </cell>
          <cell r="C598">
            <v>3.7736298212742714E-4</v>
          </cell>
        </row>
        <row r="599">
          <cell r="A599">
            <v>593</v>
          </cell>
          <cell r="C599">
            <v>3.7736298212742714E-4</v>
          </cell>
        </row>
        <row r="600">
          <cell r="A600">
            <v>594</v>
          </cell>
          <cell r="C600">
            <v>3.7736298212742714E-4</v>
          </cell>
        </row>
        <row r="601">
          <cell r="A601">
            <v>595</v>
          </cell>
          <cell r="C601">
            <v>3.7736298212742714E-4</v>
          </cell>
        </row>
        <row r="602">
          <cell r="A602">
            <v>596</v>
          </cell>
          <cell r="C602">
            <v>3.7736298212742714E-4</v>
          </cell>
        </row>
        <row r="603">
          <cell r="A603">
            <v>597</v>
          </cell>
          <cell r="C603">
            <v>3.7736298212742714E-4</v>
          </cell>
        </row>
        <row r="604">
          <cell r="A604">
            <v>598</v>
          </cell>
          <cell r="C604">
            <v>3.7736298212742714E-4</v>
          </cell>
        </row>
        <row r="605">
          <cell r="A605">
            <v>599</v>
          </cell>
          <cell r="C605">
            <v>3.7736298212742714E-4</v>
          </cell>
        </row>
        <row r="606">
          <cell r="A606">
            <v>600</v>
          </cell>
          <cell r="C606">
            <v>4.0331437067231413E-4</v>
          </cell>
        </row>
        <row r="607">
          <cell r="A607">
            <v>601</v>
          </cell>
          <cell r="C607">
            <v>4.0331437067231413E-4</v>
          </cell>
        </row>
        <row r="608">
          <cell r="A608">
            <v>602</v>
          </cell>
          <cell r="C608">
            <v>4.0331437067231413E-4</v>
          </cell>
        </row>
        <row r="609">
          <cell r="A609">
            <v>603</v>
          </cell>
          <cell r="C609">
            <v>4.0331437067231413E-4</v>
          </cell>
        </row>
        <row r="610">
          <cell r="A610">
            <v>604</v>
          </cell>
          <cell r="C610">
            <v>4.0331437067231413E-4</v>
          </cell>
        </row>
        <row r="611">
          <cell r="A611">
            <v>605</v>
          </cell>
          <cell r="C611">
            <v>4.0331437067231413E-4</v>
          </cell>
        </row>
        <row r="612">
          <cell r="A612">
            <v>606</v>
          </cell>
          <cell r="C612">
            <v>4.0331437067231413E-4</v>
          </cell>
        </row>
        <row r="613">
          <cell r="A613">
            <v>607</v>
          </cell>
          <cell r="C613">
            <v>4.0331437067231413E-4</v>
          </cell>
        </row>
        <row r="614">
          <cell r="A614">
            <v>608</v>
          </cell>
          <cell r="C614">
            <v>4.0331437067231413E-4</v>
          </cell>
        </row>
        <row r="615">
          <cell r="A615">
            <v>609</v>
          </cell>
          <cell r="C615">
            <v>4.0331437067231413E-4</v>
          </cell>
        </row>
        <row r="616">
          <cell r="A616">
            <v>610</v>
          </cell>
          <cell r="C616">
            <v>4.0331437067231413E-4</v>
          </cell>
        </row>
        <row r="617">
          <cell r="A617">
            <v>611</v>
          </cell>
          <cell r="C617">
            <v>4.0331437067231413E-4</v>
          </cell>
        </row>
        <row r="618">
          <cell r="A618">
            <v>612</v>
          </cell>
          <cell r="C618">
            <v>4.0331437067231413E-4</v>
          </cell>
        </row>
        <row r="619">
          <cell r="A619">
            <v>613</v>
          </cell>
          <cell r="C619">
            <v>4.0331437067231413E-4</v>
          </cell>
        </row>
        <row r="620">
          <cell r="A620">
            <v>614</v>
          </cell>
          <cell r="C620">
            <v>4.0331437067231413E-4</v>
          </cell>
        </row>
        <row r="621">
          <cell r="A621">
            <v>615</v>
          </cell>
          <cell r="C621">
            <v>4.0331437067231413E-4</v>
          </cell>
        </row>
        <row r="622">
          <cell r="A622">
            <v>616</v>
          </cell>
          <cell r="C622">
            <v>4.0331437067231413E-4</v>
          </cell>
        </row>
        <row r="623">
          <cell r="A623">
            <v>617</v>
          </cell>
          <cell r="C623">
            <v>4.0331437067231413E-4</v>
          </cell>
        </row>
        <row r="624">
          <cell r="A624">
            <v>618</v>
          </cell>
          <cell r="C624">
            <v>4.0331437067231413E-4</v>
          </cell>
        </row>
        <row r="625">
          <cell r="A625">
            <v>619</v>
          </cell>
          <cell r="C625">
            <v>4.0331437067231413E-4</v>
          </cell>
        </row>
        <row r="626">
          <cell r="A626">
            <v>620</v>
          </cell>
          <cell r="C626">
            <v>4.0331437067231413E-4</v>
          </cell>
        </row>
        <row r="627">
          <cell r="A627">
            <v>621</v>
          </cell>
          <cell r="C627">
            <v>4.0331437067231413E-4</v>
          </cell>
        </row>
        <row r="628">
          <cell r="A628">
            <v>622</v>
          </cell>
          <cell r="C628">
            <v>4.0331437067231413E-4</v>
          </cell>
        </row>
        <row r="629">
          <cell r="A629">
            <v>623</v>
          </cell>
          <cell r="C629">
            <v>4.0331437067231413E-4</v>
          </cell>
        </row>
        <row r="630">
          <cell r="A630">
            <v>624</v>
          </cell>
          <cell r="C630">
            <v>4.0331437067231413E-4</v>
          </cell>
        </row>
        <row r="631">
          <cell r="A631">
            <v>625</v>
          </cell>
          <cell r="C631">
            <v>4.0331437067231413E-4</v>
          </cell>
        </row>
        <row r="632">
          <cell r="A632">
            <v>626</v>
          </cell>
          <cell r="C632">
            <v>4.3180287415445218E-4</v>
          </cell>
        </row>
        <row r="633">
          <cell r="A633">
            <v>627</v>
          </cell>
          <cell r="C633">
            <v>4.3180287415445218E-4</v>
          </cell>
        </row>
        <row r="634">
          <cell r="A634">
            <v>628</v>
          </cell>
          <cell r="C634">
            <v>4.3180287415445218E-4</v>
          </cell>
        </row>
        <row r="635">
          <cell r="A635">
            <v>629</v>
          </cell>
          <cell r="C635">
            <v>4.3180287415445218E-4</v>
          </cell>
        </row>
        <row r="636">
          <cell r="A636">
            <v>630</v>
          </cell>
          <cell r="C636">
            <v>4.3180287415445218E-4</v>
          </cell>
        </row>
        <row r="637">
          <cell r="A637">
            <v>631</v>
          </cell>
          <cell r="C637">
            <v>4.3180287415445218E-4</v>
          </cell>
        </row>
        <row r="638">
          <cell r="A638">
            <v>632</v>
          </cell>
          <cell r="C638">
            <v>4.3180287415445218E-4</v>
          </cell>
        </row>
        <row r="639">
          <cell r="A639">
            <v>633</v>
          </cell>
          <cell r="C639">
            <v>4.3180287415445218E-4</v>
          </cell>
        </row>
        <row r="640">
          <cell r="A640">
            <v>634</v>
          </cell>
          <cell r="C640">
            <v>4.3180287415445218E-4</v>
          </cell>
        </row>
        <row r="641">
          <cell r="A641">
            <v>635</v>
          </cell>
          <cell r="C641">
            <v>4.3180287415445218E-4</v>
          </cell>
        </row>
        <row r="642">
          <cell r="A642">
            <v>636</v>
          </cell>
          <cell r="C642">
            <v>4.3180287415445218E-4</v>
          </cell>
        </row>
        <row r="643">
          <cell r="A643">
            <v>637</v>
          </cell>
          <cell r="C643">
            <v>4.3180287415445218E-4</v>
          </cell>
        </row>
        <row r="644">
          <cell r="A644">
            <v>638</v>
          </cell>
          <cell r="C644">
            <v>4.3180287415445218E-4</v>
          </cell>
        </row>
        <row r="645">
          <cell r="A645">
            <v>639</v>
          </cell>
          <cell r="C645">
            <v>4.3180287415445218E-4</v>
          </cell>
        </row>
        <row r="646">
          <cell r="A646">
            <v>640</v>
          </cell>
          <cell r="C646">
            <v>4.3180287415445218E-4</v>
          </cell>
        </row>
        <row r="647">
          <cell r="A647">
            <v>641</v>
          </cell>
          <cell r="C647">
            <v>4.3180287415445218E-4</v>
          </cell>
        </row>
        <row r="648">
          <cell r="A648">
            <v>642</v>
          </cell>
          <cell r="C648">
            <v>4.3180287415445218E-4</v>
          </cell>
        </row>
        <row r="649">
          <cell r="A649">
            <v>643</v>
          </cell>
          <cell r="C649">
            <v>4.3180287415445218E-4</v>
          </cell>
        </row>
        <row r="650">
          <cell r="A650">
            <v>644</v>
          </cell>
          <cell r="C650">
            <v>4.3180287415445218E-4</v>
          </cell>
        </row>
        <row r="651">
          <cell r="A651">
            <v>645</v>
          </cell>
          <cell r="C651">
            <v>4.3180287415445218E-4</v>
          </cell>
        </row>
        <row r="652">
          <cell r="A652">
            <v>646</v>
          </cell>
          <cell r="C652">
            <v>4.3180287415445218E-4</v>
          </cell>
        </row>
        <row r="653">
          <cell r="A653">
            <v>647</v>
          </cell>
          <cell r="C653">
            <v>4.3180287415445218E-4</v>
          </cell>
        </row>
        <row r="654">
          <cell r="A654">
            <v>648</v>
          </cell>
          <cell r="C654">
            <v>4.3180287415445218E-4</v>
          </cell>
        </row>
        <row r="655">
          <cell r="A655">
            <v>649</v>
          </cell>
          <cell r="C655">
            <v>4.3180287415445218E-4</v>
          </cell>
        </row>
        <row r="656">
          <cell r="A656">
            <v>650</v>
          </cell>
          <cell r="C656">
            <v>4.3180287415445218E-4</v>
          </cell>
        </row>
        <row r="657">
          <cell r="A657">
            <v>651</v>
          </cell>
          <cell r="C657">
            <v>4.3180287415445218E-4</v>
          </cell>
        </row>
        <row r="658">
          <cell r="A658">
            <v>652</v>
          </cell>
          <cell r="C658">
            <v>4.6329957291590951E-4</v>
          </cell>
        </row>
        <row r="659">
          <cell r="A659">
            <v>653</v>
          </cell>
          <cell r="C659">
            <v>4.6329957291590951E-4</v>
          </cell>
        </row>
        <row r="660">
          <cell r="A660">
            <v>654</v>
          </cell>
          <cell r="C660">
            <v>4.6329957291590951E-4</v>
          </cell>
        </row>
        <row r="661">
          <cell r="A661">
            <v>655</v>
          </cell>
          <cell r="C661">
            <v>4.6329957291590951E-4</v>
          </cell>
        </row>
        <row r="662">
          <cell r="A662">
            <v>656</v>
          </cell>
          <cell r="C662">
            <v>4.6329957291590951E-4</v>
          </cell>
        </row>
        <row r="663">
          <cell r="A663">
            <v>657</v>
          </cell>
          <cell r="C663">
            <v>4.6329957291590951E-4</v>
          </cell>
        </row>
        <row r="664">
          <cell r="A664">
            <v>658</v>
          </cell>
          <cell r="C664">
            <v>4.6329957291590951E-4</v>
          </cell>
        </row>
        <row r="665">
          <cell r="A665">
            <v>659</v>
          </cell>
          <cell r="C665">
            <v>4.6329957291590951E-4</v>
          </cell>
        </row>
        <row r="666">
          <cell r="A666">
            <v>660</v>
          </cell>
          <cell r="C666">
            <v>4.6329957291590951E-4</v>
          </cell>
        </row>
        <row r="667">
          <cell r="A667">
            <v>661</v>
          </cell>
          <cell r="C667">
            <v>4.6329957291590951E-4</v>
          </cell>
        </row>
        <row r="668">
          <cell r="A668">
            <v>662</v>
          </cell>
          <cell r="C668">
            <v>4.6329957291590951E-4</v>
          </cell>
        </row>
        <row r="669">
          <cell r="A669">
            <v>663</v>
          </cell>
          <cell r="C669">
            <v>4.6329957291590951E-4</v>
          </cell>
        </row>
        <row r="670">
          <cell r="A670">
            <v>664</v>
          </cell>
          <cell r="C670">
            <v>4.6329957291590951E-4</v>
          </cell>
        </row>
        <row r="671">
          <cell r="A671">
            <v>665</v>
          </cell>
          <cell r="C671">
            <v>4.6329957291590951E-4</v>
          </cell>
        </row>
        <row r="672">
          <cell r="A672">
            <v>666</v>
          </cell>
          <cell r="C672">
            <v>4.6329957291590951E-4</v>
          </cell>
        </row>
        <row r="673">
          <cell r="A673">
            <v>667</v>
          </cell>
          <cell r="C673">
            <v>4.6329957291590951E-4</v>
          </cell>
        </row>
        <row r="674">
          <cell r="A674">
            <v>668</v>
          </cell>
          <cell r="C674">
            <v>4.6329957291590951E-4</v>
          </cell>
        </row>
        <row r="675">
          <cell r="A675">
            <v>669</v>
          </cell>
          <cell r="C675">
            <v>4.6329957291590951E-4</v>
          </cell>
        </row>
        <row r="676">
          <cell r="A676">
            <v>670</v>
          </cell>
          <cell r="C676">
            <v>4.6329957291590951E-4</v>
          </cell>
        </row>
        <row r="677">
          <cell r="A677">
            <v>671</v>
          </cell>
          <cell r="C677">
            <v>4.6329957291590951E-4</v>
          </cell>
        </row>
        <row r="678">
          <cell r="A678">
            <v>672</v>
          </cell>
          <cell r="C678">
            <v>4.6329957291590951E-4</v>
          </cell>
        </row>
        <row r="679">
          <cell r="A679">
            <v>673</v>
          </cell>
          <cell r="C679">
            <v>4.6329957291590951E-4</v>
          </cell>
        </row>
        <row r="680">
          <cell r="A680">
            <v>674</v>
          </cell>
          <cell r="C680">
            <v>4.6329957291590951E-4</v>
          </cell>
        </row>
        <row r="681">
          <cell r="A681">
            <v>675</v>
          </cell>
          <cell r="C681">
            <v>4.6329957291590951E-4</v>
          </cell>
        </row>
        <row r="682">
          <cell r="A682">
            <v>676</v>
          </cell>
          <cell r="C682">
            <v>4.6329957291590951E-4</v>
          </cell>
        </row>
        <row r="683">
          <cell r="A683">
            <v>677</v>
          </cell>
          <cell r="C683">
            <v>4.6329957291590951E-4</v>
          </cell>
        </row>
        <row r="684">
          <cell r="A684">
            <v>678</v>
          </cell>
          <cell r="C684">
            <v>4.9660762749414999E-4</v>
          </cell>
        </row>
        <row r="685">
          <cell r="A685">
            <v>679</v>
          </cell>
          <cell r="C685">
            <v>4.9660762749414999E-4</v>
          </cell>
        </row>
        <row r="686">
          <cell r="A686">
            <v>680</v>
          </cell>
          <cell r="C686">
            <v>4.9660762749414999E-4</v>
          </cell>
        </row>
        <row r="687">
          <cell r="A687">
            <v>681</v>
          </cell>
          <cell r="C687">
            <v>4.9660762749414999E-4</v>
          </cell>
        </row>
        <row r="688">
          <cell r="A688">
            <v>682</v>
          </cell>
          <cell r="C688">
            <v>4.9660762749414999E-4</v>
          </cell>
        </row>
        <row r="689">
          <cell r="A689">
            <v>683</v>
          </cell>
          <cell r="C689">
            <v>4.9660762749414999E-4</v>
          </cell>
        </row>
        <row r="690">
          <cell r="A690">
            <v>684</v>
          </cell>
          <cell r="C690">
            <v>4.9660762749414999E-4</v>
          </cell>
        </row>
        <row r="691">
          <cell r="A691">
            <v>685</v>
          </cell>
          <cell r="C691">
            <v>4.9660762749414999E-4</v>
          </cell>
        </row>
        <row r="692">
          <cell r="A692">
            <v>686</v>
          </cell>
          <cell r="C692">
            <v>4.9660762749414999E-4</v>
          </cell>
        </row>
        <row r="693">
          <cell r="A693">
            <v>687</v>
          </cell>
          <cell r="C693">
            <v>4.9660762749414999E-4</v>
          </cell>
        </row>
        <row r="694">
          <cell r="A694">
            <v>688</v>
          </cell>
          <cell r="C694">
            <v>4.9660762749414999E-4</v>
          </cell>
        </row>
        <row r="695">
          <cell r="A695">
            <v>689</v>
          </cell>
          <cell r="C695">
            <v>4.9660762749414999E-4</v>
          </cell>
        </row>
        <row r="696">
          <cell r="A696">
            <v>690</v>
          </cell>
          <cell r="C696">
            <v>4.9660762749414999E-4</v>
          </cell>
        </row>
        <row r="697">
          <cell r="A697">
            <v>691</v>
          </cell>
          <cell r="C697">
            <v>4.9660762749414999E-4</v>
          </cell>
        </row>
        <row r="698">
          <cell r="A698">
            <v>692</v>
          </cell>
          <cell r="C698">
            <v>4.9660762749414999E-4</v>
          </cell>
        </row>
        <row r="699">
          <cell r="A699">
            <v>693</v>
          </cell>
          <cell r="C699">
            <v>4.9660762749414999E-4</v>
          </cell>
        </row>
        <row r="700">
          <cell r="A700">
            <v>694</v>
          </cell>
          <cell r="C700">
            <v>4.9660762749414999E-4</v>
          </cell>
        </row>
        <row r="701">
          <cell r="A701">
            <v>695</v>
          </cell>
          <cell r="C701">
            <v>4.9660762749414999E-4</v>
          </cell>
        </row>
        <row r="702">
          <cell r="A702">
            <v>696</v>
          </cell>
          <cell r="C702">
            <v>4.9660762749414999E-4</v>
          </cell>
        </row>
        <row r="703">
          <cell r="A703">
            <v>697</v>
          </cell>
          <cell r="C703">
            <v>4.9660762749414999E-4</v>
          </cell>
        </row>
        <row r="704">
          <cell r="A704">
            <v>698</v>
          </cell>
          <cell r="C704">
            <v>4.9660762749414999E-4</v>
          </cell>
        </row>
        <row r="705">
          <cell r="A705">
            <v>699</v>
          </cell>
          <cell r="C705">
            <v>4.9660762749414999E-4</v>
          </cell>
        </row>
        <row r="706">
          <cell r="A706">
            <v>700</v>
          </cell>
          <cell r="C706">
            <v>4.9660762749414999E-4</v>
          </cell>
        </row>
        <row r="707">
          <cell r="A707">
            <v>701</v>
          </cell>
          <cell r="C707">
            <v>4.9660762749414999E-4</v>
          </cell>
        </row>
        <row r="708">
          <cell r="A708">
            <v>702</v>
          </cell>
          <cell r="C708">
            <v>4.9660762749414999E-4</v>
          </cell>
        </row>
        <row r="709">
          <cell r="A709">
            <v>703</v>
          </cell>
          <cell r="C709">
            <v>4.9660762749414999E-4</v>
          </cell>
        </row>
        <row r="710">
          <cell r="A710">
            <v>704</v>
          </cell>
          <cell r="C710">
            <v>5.3177043245611344E-4</v>
          </cell>
        </row>
        <row r="711">
          <cell r="A711">
            <v>705</v>
          </cell>
          <cell r="C711">
            <v>5.3177043245611344E-4</v>
          </cell>
        </row>
        <row r="712">
          <cell r="A712">
            <v>706</v>
          </cell>
          <cell r="C712">
            <v>5.3177043245611344E-4</v>
          </cell>
        </row>
        <row r="713">
          <cell r="A713">
            <v>707</v>
          </cell>
          <cell r="C713">
            <v>5.3177043245611344E-4</v>
          </cell>
        </row>
        <row r="714">
          <cell r="A714">
            <v>708</v>
          </cell>
          <cell r="C714">
            <v>5.3177043245611344E-4</v>
          </cell>
        </row>
        <row r="715">
          <cell r="A715">
            <v>709</v>
          </cell>
          <cell r="C715">
            <v>5.3177043245611344E-4</v>
          </cell>
        </row>
        <row r="716">
          <cell r="A716">
            <v>710</v>
          </cell>
          <cell r="C716">
            <v>5.3177043245611344E-4</v>
          </cell>
        </row>
        <row r="717">
          <cell r="A717">
            <v>711</v>
          </cell>
          <cell r="C717">
            <v>5.3177043245611344E-4</v>
          </cell>
        </row>
        <row r="718">
          <cell r="A718">
            <v>712</v>
          </cell>
          <cell r="C718">
            <v>5.3177043245611344E-4</v>
          </cell>
        </row>
        <row r="719">
          <cell r="A719">
            <v>713</v>
          </cell>
          <cell r="C719">
            <v>5.3177043245611344E-4</v>
          </cell>
        </row>
        <row r="720">
          <cell r="A720">
            <v>714</v>
          </cell>
          <cell r="C720">
            <v>5.3177043245611344E-4</v>
          </cell>
        </row>
        <row r="721">
          <cell r="A721">
            <v>715</v>
          </cell>
          <cell r="C721">
            <v>5.3177043245611344E-4</v>
          </cell>
        </row>
        <row r="722">
          <cell r="A722">
            <v>716</v>
          </cell>
          <cell r="C722">
            <v>5.3177043245611344E-4</v>
          </cell>
        </row>
        <row r="723">
          <cell r="A723">
            <v>717</v>
          </cell>
          <cell r="C723">
            <v>5.3177043245611344E-4</v>
          </cell>
        </row>
        <row r="724">
          <cell r="A724">
            <v>718</v>
          </cell>
          <cell r="C724">
            <v>5.3177043245611344E-4</v>
          </cell>
        </row>
        <row r="725">
          <cell r="A725">
            <v>719</v>
          </cell>
          <cell r="C725">
            <v>5.3177043245611344E-4</v>
          </cell>
        </row>
        <row r="726">
          <cell r="A726">
            <v>720</v>
          </cell>
          <cell r="C726">
            <v>5.3177043245611344E-4</v>
          </cell>
        </row>
        <row r="727">
          <cell r="A727">
            <v>721</v>
          </cell>
          <cell r="C727">
            <v>5.3177043245611344E-4</v>
          </cell>
        </row>
        <row r="728">
          <cell r="A728">
            <v>722</v>
          </cell>
          <cell r="C728">
            <v>5.3177043245611344E-4</v>
          </cell>
        </row>
        <row r="729">
          <cell r="A729">
            <v>723</v>
          </cell>
          <cell r="C729">
            <v>5.3177043245611344E-4</v>
          </cell>
        </row>
        <row r="730">
          <cell r="A730">
            <v>724</v>
          </cell>
          <cell r="C730">
            <v>5.3177043245611344E-4</v>
          </cell>
        </row>
        <row r="731">
          <cell r="A731">
            <v>725</v>
          </cell>
          <cell r="C731">
            <v>5.3177043245611344E-4</v>
          </cell>
        </row>
        <row r="732">
          <cell r="A732">
            <v>726</v>
          </cell>
          <cell r="C732">
            <v>5.3177043245611344E-4</v>
          </cell>
        </row>
        <row r="733">
          <cell r="A733">
            <v>727</v>
          </cell>
          <cell r="C733">
            <v>5.3177043245611344E-4</v>
          </cell>
        </row>
        <row r="734">
          <cell r="A734">
            <v>728</v>
          </cell>
          <cell r="C734">
            <v>5.3177043245611344E-4</v>
          </cell>
        </row>
        <row r="735">
          <cell r="A735">
            <v>729</v>
          </cell>
          <cell r="C735">
            <v>5.3177043245611344E-4</v>
          </cell>
        </row>
        <row r="736">
          <cell r="A736">
            <v>730</v>
          </cell>
          <cell r="C736">
            <v>5.3177043245611344E-4</v>
          </cell>
        </row>
        <row r="737">
          <cell r="A737">
            <v>731</v>
          </cell>
          <cell r="C737">
            <v>5.6976556749510632E-4</v>
          </cell>
        </row>
        <row r="738">
          <cell r="A738">
            <v>732</v>
          </cell>
          <cell r="C738">
            <v>5.6976556749510632E-4</v>
          </cell>
        </row>
        <row r="739">
          <cell r="A739">
            <v>733</v>
          </cell>
          <cell r="C739">
            <v>5.6976556749510632E-4</v>
          </cell>
        </row>
        <row r="740">
          <cell r="A740">
            <v>734</v>
          </cell>
          <cell r="C740">
            <v>5.6976556749510632E-4</v>
          </cell>
        </row>
        <row r="741">
          <cell r="A741">
            <v>735</v>
          </cell>
          <cell r="C741">
            <v>5.6976556749510632E-4</v>
          </cell>
        </row>
        <row r="742">
          <cell r="A742">
            <v>736</v>
          </cell>
          <cell r="C742">
            <v>5.6976556749510632E-4</v>
          </cell>
        </row>
        <row r="743">
          <cell r="A743">
            <v>737</v>
          </cell>
          <cell r="C743">
            <v>5.6976556749510632E-4</v>
          </cell>
        </row>
        <row r="744">
          <cell r="A744">
            <v>738</v>
          </cell>
          <cell r="C744">
            <v>5.6976556749510632E-4</v>
          </cell>
        </row>
        <row r="745">
          <cell r="A745">
            <v>739</v>
          </cell>
          <cell r="C745">
            <v>5.6976556749510632E-4</v>
          </cell>
        </row>
        <row r="746">
          <cell r="A746">
            <v>740</v>
          </cell>
          <cell r="C746">
            <v>5.6976556749510632E-4</v>
          </cell>
        </row>
        <row r="747">
          <cell r="A747">
            <v>741</v>
          </cell>
          <cell r="C747">
            <v>5.6976556749510632E-4</v>
          </cell>
        </row>
        <row r="748">
          <cell r="A748">
            <v>742</v>
          </cell>
          <cell r="C748">
            <v>5.6976556749510632E-4</v>
          </cell>
        </row>
        <row r="749">
          <cell r="A749">
            <v>743</v>
          </cell>
          <cell r="C749">
            <v>5.6976556749510632E-4</v>
          </cell>
        </row>
        <row r="750">
          <cell r="A750">
            <v>744</v>
          </cell>
          <cell r="C750">
            <v>5.6976556749510632E-4</v>
          </cell>
        </row>
        <row r="751">
          <cell r="A751">
            <v>745</v>
          </cell>
          <cell r="C751">
            <v>5.6976556749510632E-4</v>
          </cell>
        </row>
        <row r="752">
          <cell r="A752">
            <v>746</v>
          </cell>
          <cell r="C752">
            <v>5.6976556749510632E-4</v>
          </cell>
        </row>
        <row r="753">
          <cell r="A753">
            <v>747</v>
          </cell>
          <cell r="C753">
            <v>5.6976556749510632E-4</v>
          </cell>
        </row>
        <row r="754">
          <cell r="A754">
            <v>748</v>
          </cell>
          <cell r="C754">
            <v>5.6976556749510632E-4</v>
          </cell>
        </row>
        <row r="755">
          <cell r="A755">
            <v>749</v>
          </cell>
          <cell r="C755">
            <v>5.6976556749510632E-4</v>
          </cell>
        </row>
        <row r="756">
          <cell r="A756">
            <v>750</v>
          </cell>
          <cell r="C756">
            <v>5.6976556749510632E-4</v>
          </cell>
        </row>
        <row r="757">
          <cell r="A757">
            <v>751</v>
          </cell>
          <cell r="C757">
            <v>5.6976556749510632E-4</v>
          </cell>
        </row>
        <row r="758">
          <cell r="A758">
            <v>752</v>
          </cell>
          <cell r="C758">
            <v>5.6976556749510632E-4</v>
          </cell>
        </row>
        <row r="759">
          <cell r="A759">
            <v>753</v>
          </cell>
          <cell r="C759">
            <v>5.6976556749510632E-4</v>
          </cell>
        </row>
        <row r="760">
          <cell r="A760">
            <v>754</v>
          </cell>
          <cell r="C760">
            <v>5.6976556749510632E-4</v>
          </cell>
        </row>
        <row r="761">
          <cell r="A761">
            <v>755</v>
          </cell>
          <cell r="C761">
            <v>5.6976556749510632E-4</v>
          </cell>
        </row>
        <row r="762">
          <cell r="A762">
            <v>756</v>
          </cell>
          <cell r="C762">
            <v>5.6976556749510632E-4</v>
          </cell>
        </row>
        <row r="763">
          <cell r="A763">
            <v>757</v>
          </cell>
          <cell r="C763">
            <v>6.1270435815030666E-4</v>
          </cell>
        </row>
        <row r="764">
          <cell r="A764">
            <v>758</v>
          </cell>
          <cell r="C764">
            <v>6.1270435815030666E-4</v>
          </cell>
        </row>
        <row r="765">
          <cell r="A765">
            <v>759</v>
          </cell>
          <cell r="C765">
            <v>6.1270435815030666E-4</v>
          </cell>
        </row>
        <row r="766">
          <cell r="A766">
            <v>760</v>
          </cell>
          <cell r="C766">
            <v>6.1270435815030666E-4</v>
          </cell>
        </row>
        <row r="767">
          <cell r="A767">
            <v>761</v>
          </cell>
          <cell r="C767">
            <v>6.1270435815030666E-4</v>
          </cell>
        </row>
        <row r="768">
          <cell r="A768">
            <v>762</v>
          </cell>
          <cell r="C768">
            <v>6.1270435815030666E-4</v>
          </cell>
        </row>
        <row r="769">
          <cell r="A769">
            <v>763</v>
          </cell>
          <cell r="C769">
            <v>6.1270435815030666E-4</v>
          </cell>
        </row>
        <row r="770">
          <cell r="A770">
            <v>764</v>
          </cell>
          <cell r="C770">
            <v>6.1270435815030666E-4</v>
          </cell>
        </row>
        <row r="771">
          <cell r="A771">
            <v>765</v>
          </cell>
          <cell r="C771">
            <v>6.1270435815030666E-4</v>
          </cell>
        </row>
        <row r="772">
          <cell r="A772">
            <v>766</v>
          </cell>
          <cell r="C772">
            <v>6.1270435815030666E-4</v>
          </cell>
        </row>
        <row r="773">
          <cell r="A773">
            <v>767</v>
          </cell>
          <cell r="C773">
            <v>6.1270435815030666E-4</v>
          </cell>
        </row>
        <row r="774">
          <cell r="A774">
            <v>768</v>
          </cell>
          <cell r="C774">
            <v>6.1270435815030666E-4</v>
          </cell>
        </row>
        <row r="775">
          <cell r="A775">
            <v>769</v>
          </cell>
          <cell r="C775">
            <v>6.1270435815030666E-4</v>
          </cell>
        </row>
        <row r="776">
          <cell r="A776">
            <v>770</v>
          </cell>
          <cell r="C776">
            <v>6.1270435815030666E-4</v>
          </cell>
        </row>
        <row r="777">
          <cell r="A777">
            <v>771</v>
          </cell>
          <cell r="C777">
            <v>6.1270435815030666E-4</v>
          </cell>
        </row>
        <row r="778">
          <cell r="A778">
            <v>772</v>
          </cell>
          <cell r="C778">
            <v>6.1270435815030666E-4</v>
          </cell>
        </row>
        <row r="779">
          <cell r="A779">
            <v>773</v>
          </cell>
          <cell r="C779">
            <v>6.1270435815030666E-4</v>
          </cell>
        </row>
        <row r="780">
          <cell r="A780">
            <v>774</v>
          </cell>
          <cell r="C780">
            <v>6.1270435815030666E-4</v>
          </cell>
        </row>
        <row r="781">
          <cell r="A781">
            <v>775</v>
          </cell>
          <cell r="C781">
            <v>6.1270435815030666E-4</v>
          </cell>
        </row>
        <row r="782">
          <cell r="A782">
            <v>776</v>
          </cell>
          <cell r="C782">
            <v>6.1270435815030666E-4</v>
          </cell>
        </row>
        <row r="783">
          <cell r="A783">
            <v>777</v>
          </cell>
          <cell r="C783">
            <v>6.1270435815030666E-4</v>
          </cell>
        </row>
        <row r="784">
          <cell r="A784">
            <v>778</v>
          </cell>
          <cell r="C784">
            <v>6.1270435815030666E-4</v>
          </cell>
        </row>
        <row r="785">
          <cell r="A785">
            <v>779</v>
          </cell>
          <cell r="C785">
            <v>6.1270435815030666E-4</v>
          </cell>
        </row>
        <row r="786">
          <cell r="A786">
            <v>780</v>
          </cell>
          <cell r="C786">
            <v>6.1270435815030666E-4</v>
          </cell>
        </row>
        <row r="787">
          <cell r="A787">
            <v>781</v>
          </cell>
          <cell r="C787">
            <v>6.1270435815030666E-4</v>
          </cell>
        </row>
        <row r="788">
          <cell r="A788">
            <v>782</v>
          </cell>
          <cell r="C788">
            <v>6.1270435815030666E-4</v>
          </cell>
        </row>
        <row r="789">
          <cell r="A789">
            <v>783</v>
          </cell>
          <cell r="C789">
            <v>6.6122671421597889E-4</v>
          </cell>
        </row>
        <row r="790">
          <cell r="A790">
            <v>784</v>
          </cell>
          <cell r="C790">
            <v>6.6122671421597889E-4</v>
          </cell>
        </row>
        <row r="791">
          <cell r="A791">
            <v>785</v>
          </cell>
          <cell r="C791">
            <v>6.6122671421597889E-4</v>
          </cell>
        </row>
        <row r="792">
          <cell r="A792">
            <v>786</v>
          </cell>
          <cell r="C792">
            <v>6.6122671421597889E-4</v>
          </cell>
        </row>
        <row r="793">
          <cell r="A793">
            <v>787</v>
          </cell>
          <cell r="C793">
            <v>6.6122671421597889E-4</v>
          </cell>
        </row>
        <row r="794">
          <cell r="A794">
            <v>788</v>
          </cell>
          <cell r="C794">
            <v>6.6122671421597889E-4</v>
          </cell>
        </row>
        <row r="795">
          <cell r="A795">
            <v>789</v>
          </cell>
          <cell r="C795">
            <v>6.6122671421597889E-4</v>
          </cell>
        </row>
        <row r="796">
          <cell r="A796">
            <v>790</v>
          </cell>
          <cell r="C796">
            <v>6.6122671421597889E-4</v>
          </cell>
        </row>
        <row r="797">
          <cell r="A797">
            <v>791</v>
          </cell>
          <cell r="C797">
            <v>6.6122671421597889E-4</v>
          </cell>
        </row>
        <row r="798">
          <cell r="A798">
            <v>792</v>
          </cell>
          <cell r="C798">
            <v>6.6122671421597889E-4</v>
          </cell>
        </row>
        <row r="799">
          <cell r="A799">
            <v>793</v>
          </cell>
          <cell r="C799">
            <v>6.6122671421597889E-4</v>
          </cell>
        </row>
        <row r="800">
          <cell r="A800">
            <v>794</v>
          </cell>
          <cell r="C800">
            <v>6.6122671421597889E-4</v>
          </cell>
        </row>
        <row r="801">
          <cell r="A801">
            <v>795</v>
          </cell>
          <cell r="C801">
            <v>6.6122671421597889E-4</v>
          </cell>
        </row>
        <row r="802">
          <cell r="A802">
            <v>796</v>
          </cell>
          <cell r="C802">
            <v>6.6122671421597889E-4</v>
          </cell>
        </row>
        <row r="803">
          <cell r="A803">
            <v>797</v>
          </cell>
          <cell r="C803">
            <v>6.6122671421597889E-4</v>
          </cell>
        </row>
        <row r="804">
          <cell r="A804">
            <v>798</v>
          </cell>
          <cell r="C804">
            <v>6.6122671421597889E-4</v>
          </cell>
        </row>
        <row r="805">
          <cell r="A805">
            <v>799</v>
          </cell>
          <cell r="C805">
            <v>6.6122671421597889E-4</v>
          </cell>
        </row>
        <row r="806">
          <cell r="A806">
            <v>800</v>
          </cell>
          <cell r="C806">
            <v>6.6122671421597889E-4</v>
          </cell>
        </row>
        <row r="807">
          <cell r="A807">
            <v>801</v>
          </cell>
          <cell r="C807">
            <v>6.6122671421597889E-4</v>
          </cell>
        </row>
        <row r="808">
          <cell r="A808">
            <v>802</v>
          </cell>
          <cell r="C808">
            <v>6.6122671421597889E-4</v>
          </cell>
        </row>
        <row r="809">
          <cell r="A809">
            <v>803</v>
          </cell>
          <cell r="C809">
            <v>6.6122671421597889E-4</v>
          </cell>
        </row>
        <row r="810">
          <cell r="A810">
            <v>804</v>
          </cell>
          <cell r="C810">
            <v>6.6122671421597889E-4</v>
          </cell>
        </row>
        <row r="811">
          <cell r="A811">
            <v>805</v>
          </cell>
          <cell r="C811">
            <v>6.6122671421597889E-4</v>
          </cell>
        </row>
        <row r="812">
          <cell r="A812">
            <v>806</v>
          </cell>
          <cell r="C812">
            <v>6.6122671421597889E-4</v>
          </cell>
        </row>
        <row r="813">
          <cell r="A813">
            <v>807</v>
          </cell>
          <cell r="C813">
            <v>6.6122671421597889E-4</v>
          </cell>
        </row>
        <row r="814">
          <cell r="A814">
            <v>808</v>
          </cell>
          <cell r="C814">
            <v>6.6122671421597889E-4</v>
          </cell>
        </row>
        <row r="815">
          <cell r="A815">
            <v>809</v>
          </cell>
          <cell r="C815">
            <v>7.1453294378398535E-4</v>
          </cell>
        </row>
        <row r="816">
          <cell r="A816">
            <v>810</v>
          </cell>
          <cell r="C816">
            <v>7.1453294378398535E-4</v>
          </cell>
        </row>
        <row r="817">
          <cell r="A817">
            <v>811</v>
          </cell>
          <cell r="C817">
            <v>7.1453294378398535E-4</v>
          </cell>
        </row>
        <row r="818">
          <cell r="A818">
            <v>812</v>
          </cell>
          <cell r="C818">
            <v>7.1453294378398535E-4</v>
          </cell>
        </row>
        <row r="819">
          <cell r="A819">
            <v>813</v>
          </cell>
          <cell r="C819">
            <v>7.1453294378398535E-4</v>
          </cell>
        </row>
        <row r="820">
          <cell r="A820">
            <v>814</v>
          </cell>
          <cell r="C820">
            <v>7.1453294378398535E-4</v>
          </cell>
        </row>
        <row r="821">
          <cell r="A821">
            <v>815</v>
          </cell>
          <cell r="C821">
            <v>7.1453294378398535E-4</v>
          </cell>
        </row>
        <row r="822">
          <cell r="A822">
            <v>816</v>
          </cell>
          <cell r="C822">
            <v>7.1453294378398535E-4</v>
          </cell>
        </row>
        <row r="823">
          <cell r="A823">
            <v>817</v>
          </cell>
          <cell r="C823">
            <v>7.1453294378398535E-4</v>
          </cell>
        </row>
        <row r="824">
          <cell r="A824">
            <v>818</v>
          </cell>
          <cell r="C824">
            <v>7.1453294378398535E-4</v>
          </cell>
        </row>
        <row r="825">
          <cell r="A825">
            <v>819</v>
          </cell>
          <cell r="C825">
            <v>7.1453294378398535E-4</v>
          </cell>
        </row>
        <row r="826">
          <cell r="A826">
            <v>820</v>
          </cell>
          <cell r="C826">
            <v>7.1453294378398535E-4</v>
          </cell>
        </row>
        <row r="827">
          <cell r="A827">
            <v>821</v>
          </cell>
          <cell r="C827">
            <v>7.1453294378398535E-4</v>
          </cell>
        </row>
        <row r="828">
          <cell r="A828">
            <v>822</v>
          </cell>
          <cell r="C828">
            <v>7.1453294378398535E-4</v>
          </cell>
        </row>
        <row r="829">
          <cell r="A829">
            <v>823</v>
          </cell>
          <cell r="C829">
            <v>7.1453294378398535E-4</v>
          </cell>
        </row>
        <row r="830">
          <cell r="A830">
            <v>824</v>
          </cell>
          <cell r="C830">
            <v>7.1453294378398535E-4</v>
          </cell>
        </row>
        <row r="831">
          <cell r="A831">
            <v>825</v>
          </cell>
          <cell r="C831">
            <v>7.1453294378398535E-4</v>
          </cell>
        </row>
        <row r="832">
          <cell r="A832">
            <v>826</v>
          </cell>
          <cell r="C832">
            <v>7.1453294378398535E-4</v>
          </cell>
        </row>
        <row r="833">
          <cell r="A833">
            <v>827</v>
          </cell>
          <cell r="C833">
            <v>7.1453294378398535E-4</v>
          </cell>
        </row>
        <row r="834">
          <cell r="A834">
            <v>828</v>
          </cell>
          <cell r="C834">
            <v>7.1453294378398535E-4</v>
          </cell>
        </row>
        <row r="835">
          <cell r="A835">
            <v>829</v>
          </cell>
          <cell r="C835">
            <v>7.1453294378398535E-4</v>
          </cell>
        </row>
        <row r="836">
          <cell r="A836">
            <v>830</v>
          </cell>
          <cell r="C836">
            <v>7.1453294378398535E-4</v>
          </cell>
        </row>
        <row r="837">
          <cell r="A837">
            <v>831</v>
          </cell>
          <cell r="C837">
            <v>7.1453294378398535E-4</v>
          </cell>
        </row>
        <row r="838">
          <cell r="A838">
            <v>832</v>
          </cell>
          <cell r="C838">
            <v>7.1453294378398535E-4</v>
          </cell>
        </row>
        <row r="839">
          <cell r="A839">
            <v>833</v>
          </cell>
          <cell r="C839">
            <v>7.1453294378398535E-4</v>
          </cell>
        </row>
        <row r="840">
          <cell r="A840">
            <v>834</v>
          </cell>
          <cell r="C840">
            <v>7.1453294378398535E-4</v>
          </cell>
        </row>
        <row r="841">
          <cell r="A841">
            <v>835</v>
          </cell>
          <cell r="C841">
            <v>7.7299415014675521E-4</v>
          </cell>
        </row>
        <row r="842">
          <cell r="A842">
            <v>836</v>
          </cell>
          <cell r="C842">
            <v>7.7299415014675521E-4</v>
          </cell>
        </row>
        <row r="843">
          <cell r="A843">
            <v>837</v>
          </cell>
          <cell r="C843">
            <v>7.7299415014675521E-4</v>
          </cell>
        </row>
        <row r="844">
          <cell r="A844">
            <v>838</v>
          </cell>
          <cell r="C844">
            <v>7.7299415014675521E-4</v>
          </cell>
        </row>
        <row r="845">
          <cell r="A845">
            <v>839</v>
          </cell>
          <cell r="C845">
            <v>7.7299415014675521E-4</v>
          </cell>
        </row>
        <row r="846">
          <cell r="A846">
            <v>840</v>
          </cell>
          <cell r="C846">
            <v>7.7299415014675521E-4</v>
          </cell>
        </row>
        <row r="847">
          <cell r="A847">
            <v>841</v>
          </cell>
          <cell r="C847">
            <v>7.7299415014675521E-4</v>
          </cell>
        </row>
        <row r="848">
          <cell r="A848">
            <v>842</v>
          </cell>
          <cell r="C848">
            <v>7.7299415014675521E-4</v>
          </cell>
        </row>
        <row r="849">
          <cell r="A849">
            <v>843</v>
          </cell>
          <cell r="C849">
            <v>7.7299415014675521E-4</v>
          </cell>
        </row>
        <row r="850">
          <cell r="A850">
            <v>844</v>
          </cell>
          <cell r="C850">
            <v>7.7299415014675521E-4</v>
          </cell>
        </row>
        <row r="851">
          <cell r="A851">
            <v>845</v>
          </cell>
          <cell r="C851">
            <v>7.7299415014675521E-4</v>
          </cell>
        </row>
        <row r="852">
          <cell r="A852">
            <v>846</v>
          </cell>
          <cell r="C852">
            <v>7.7299415014675521E-4</v>
          </cell>
        </row>
        <row r="853">
          <cell r="A853">
            <v>847</v>
          </cell>
          <cell r="C853">
            <v>7.7299415014675521E-4</v>
          </cell>
        </row>
        <row r="854">
          <cell r="A854">
            <v>848</v>
          </cell>
          <cell r="C854">
            <v>7.7299415014675521E-4</v>
          </cell>
        </row>
        <row r="855">
          <cell r="A855">
            <v>849</v>
          </cell>
          <cell r="C855">
            <v>7.7299415014675521E-4</v>
          </cell>
        </row>
        <row r="856">
          <cell r="A856">
            <v>850</v>
          </cell>
          <cell r="C856">
            <v>7.7299415014675521E-4</v>
          </cell>
        </row>
        <row r="857">
          <cell r="A857">
            <v>851</v>
          </cell>
          <cell r="C857">
            <v>7.7299415014675521E-4</v>
          </cell>
        </row>
        <row r="858">
          <cell r="A858">
            <v>852</v>
          </cell>
          <cell r="C858">
            <v>7.7299415014675521E-4</v>
          </cell>
        </row>
        <row r="859">
          <cell r="A859">
            <v>853</v>
          </cell>
          <cell r="C859">
            <v>7.7299415014675521E-4</v>
          </cell>
        </row>
        <row r="860">
          <cell r="A860">
            <v>854</v>
          </cell>
          <cell r="C860">
            <v>7.7299415014675521E-4</v>
          </cell>
        </row>
        <row r="861">
          <cell r="A861">
            <v>855</v>
          </cell>
          <cell r="C861">
            <v>7.7299415014675521E-4</v>
          </cell>
        </row>
        <row r="862">
          <cell r="A862">
            <v>856</v>
          </cell>
          <cell r="C862">
            <v>7.7299415014675521E-4</v>
          </cell>
        </row>
        <row r="863">
          <cell r="A863">
            <v>857</v>
          </cell>
          <cell r="C863">
            <v>7.7299415014675521E-4</v>
          </cell>
        </row>
        <row r="864">
          <cell r="A864">
            <v>858</v>
          </cell>
          <cell r="C864">
            <v>7.7299415014675521E-4</v>
          </cell>
        </row>
        <row r="865">
          <cell r="A865">
            <v>859</v>
          </cell>
          <cell r="C865">
            <v>7.7299415014675521E-4</v>
          </cell>
        </row>
        <row r="866">
          <cell r="A866">
            <v>860</v>
          </cell>
          <cell r="C866">
            <v>7.7299415014675521E-4</v>
          </cell>
        </row>
        <row r="867">
          <cell r="A867">
            <v>861</v>
          </cell>
          <cell r="C867">
            <v>8.3784722123148025E-4</v>
          </cell>
        </row>
        <row r="868">
          <cell r="A868">
            <v>862</v>
          </cell>
          <cell r="C868">
            <v>8.3784722123148025E-4</v>
          </cell>
        </row>
        <row r="869">
          <cell r="A869">
            <v>863</v>
          </cell>
          <cell r="C869">
            <v>8.3784722123148025E-4</v>
          </cell>
        </row>
        <row r="870">
          <cell r="A870">
            <v>864</v>
          </cell>
          <cell r="C870">
            <v>8.3784722123148025E-4</v>
          </cell>
        </row>
        <row r="871">
          <cell r="A871">
            <v>865</v>
          </cell>
          <cell r="C871">
            <v>8.3784722123148025E-4</v>
          </cell>
        </row>
        <row r="872">
          <cell r="A872">
            <v>866</v>
          </cell>
          <cell r="C872">
            <v>8.3784722123148025E-4</v>
          </cell>
        </row>
        <row r="873">
          <cell r="A873">
            <v>867</v>
          </cell>
          <cell r="C873">
            <v>8.3784722123148025E-4</v>
          </cell>
        </row>
        <row r="874">
          <cell r="A874">
            <v>868</v>
          </cell>
          <cell r="C874">
            <v>8.3784722123148025E-4</v>
          </cell>
        </row>
        <row r="875">
          <cell r="A875">
            <v>869</v>
          </cell>
          <cell r="C875">
            <v>8.3784722123148025E-4</v>
          </cell>
        </row>
        <row r="876">
          <cell r="A876">
            <v>870</v>
          </cell>
          <cell r="C876">
            <v>8.3784722123148025E-4</v>
          </cell>
        </row>
        <row r="877">
          <cell r="A877">
            <v>871</v>
          </cell>
          <cell r="C877">
            <v>8.3784722123148025E-4</v>
          </cell>
        </row>
        <row r="878">
          <cell r="A878">
            <v>872</v>
          </cell>
          <cell r="C878">
            <v>8.3784722123148025E-4</v>
          </cell>
        </row>
        <row r="879">
          <cell r="A879">
            <v>873</v>
          </cell>
          <cell r="C879">
            <v>8.3784722123148025E-4</v>
          </cell>
        </row>
        <row r="880">
          <cell r="A880">
            <v>874</v>
          </cell>
          <cell r="C880">
            <v>8.3784722123148025E-4</v>
          </cell>
        </row>
        <row r="881">
          <cell r="A881">
            <v>875</v>
          </cell>
          <cell r="C881">
            <v>8.3784722123148025E-4</v>
          </cell>
        </row>
        <row r="882">
          <cell r="A882">
            <v>876</v>
          </cell>
          <cell r="C882">
            <v>8.3784722123148025E-4</v>
          </cell>
        </row>
        <row r="883">
          <cell r="A883">
            <v>877</v>
          </cell>
          <cell r="C883">
            <v>8.3784722123148025E-4</v>
          </cell>
        </row>
        <row r="884">
          <cell r="A884">
            <v>878</v>
          </cell>
          <cell r="C884">
            <v>8.3784722123148025E-4</v>
          </cell>
        </row>
        <row r="885">
          <cell r="A885">
            <v>879</v>
          </cell>
          <cell r="C885">
            <v>8.3784722123148025E-4</v>
          </cell>
        </row>
        <row r="886">
          <cell r="A886">
            <v>880</v>
          </cell>
          <cell r="C886">
            <v>8.3784722123148025E-4</v>
          </cell>
        </row>
        <row r="887">
          <cell r="A887">
            <v>881</v>
          </cell>
          <cell r="C887">
            <v>8.3784722123148025E-4</v>
          </cell>
        </row>
        <row r="888">
          <cell r="A888">
            <v>882</v>
          </cell>
          <cell r="C888">
            <v>8.3784722123148025E-4</v>
          </cell>
        </row>
        <row r="889">
          <cell r="A889">
            <v>883</v>
          </cell>
          <cell r="C889">
            <v>8.3784722123148025E-4</v>
          </cell>
        </row>
        <row r="890">
          <cell r="A890">
            <v>884</v>
          </cell>
          <cell r="C890">
            <v>8.3784722123148025E-4</v>
          </cell>
        </row>
        <row r="891">
          <cell r="A891">
            <v>885</v>
          </cell>
          <cell r="C891">
            <v>8.3784722123148025E-4</v>
          </cell>
        </row>
        <row r="892">
          <cell r="A892">
            <v>886</v>
          </cell>
          <cell r="C892">
            <v>8.3784722123148025E-4</v>
          </cell>
        </row>
        <row r="893">
          <cell r="A893">
            <v>887</v>
          </cell>
          <cell r="C893">
            <v>9.128120834711595E-4</v>
          </cell>
        </row>
        <row r="894">
          <cell r="A894">
            <v>888</v>
          </cell>
          <cell r="C894">
            <v>9.128120834711595E-4</v>
          </cell>
        </row>
        <row r="895">
          <cell r="A895">
            <v>889</v>
          </cell>
          <cell r="C895">
            <v>9.128120834711595E-4</v>
          </cell>
        </row>
        <row r="896">
          <cell r="A896">
            <v>890</v>
          </cell>
          <cell r="C896">
            <v>9.128120834711595E-4</v>
          </cell>
        </row>
        <row r="897">
          <cell r="A897">
            <v>891</v>
          </cell>
          <cell r="C897">
            <v>9.128120834711595E-4</v>
          </cell>
        </row>
        <row r="898">
          <cell r="A898">
            <v>892</v>
          </cell>
          <cell r="C898">
            <v>9.128120834711595E-4</v>
          </cell>
        </row>
        <row r="899">
          <cell r="A899">
            <v>893</v>
          </cell>
          <cell r="C899">
            <v>9.128120834711595E-4</v>
          </cell>
        </row>
        <row r="900">
          <cell r="A900">
            <v>894</v>
          </cell>
          <cell r="C900">
            <v>9.128120834711595E-4</v>
          </cell>
        </row>
        <row r="901">
          <cell r="A901">
            <v>895</v>
          </cell>
          <cell r="C901">
            <v>9.128120834711595E-4</v>
          </cell>
        </row>
        <row r="902">
          <cell r="A902">
            <v>896</v>
          </cell>
          <cell r="C902">
            <v>9.128120834711595E-4</v>
          </cell>
        </row>
        <row r="903">
          <cell r="A903">
            <v>897</v>
          </cell>
          <cell r="C903">
            <v>9.128120834711595E-4</v>
          </cell>
        </row>
        <row r="904">
          <cell r="A904">
            <v>898</v>
          </cell>
          <cell r="C904">
            <v>9.128120834711595E-4</v>
          </cell>
        </row>
        <row r="905">
          <cell r="A905">
            <v>899</v>
          </cell>
          <cell r="C905">
            <v>9.128120834711595E-4</v>
          </cell>
        </row>
        <row r="906">
          <cell r="A906">
            <v>900</v>
          </cell>
          <cell r="C906">
            <v>9.128120834711595E-4</v>
          </cell>
        </row>
        <row r="907">
          <cell r="A907">
            <v>901</v>
          </cell>
          <cell r="C907">
            <v>9.128120834711595E-4</v>
          </cell>
        </row>
        <row r="908">
          <cell r="A908">
            <v>902</v>
          </cell>
          <cell r="C908">
            <v>9.128120834711595E-4</v>
          </cell>
        </row>
        <row r="909">
          <cell r="A909">
            <v>903</v>
          </cell>
          <cell r="C909">
            <v>9.128120834711595E-4</v>
          </cell>
        </row>
        <row r="910">
          <cell r="A910">
            <v>904</v>
          </cell>
          <cell r="C910">
            <v>9.128120834711595E-4</v>
          </cell>
        </row>
        <row r="911">
          <cell r="A911">
            <v>905</v>
          </cell>
          <cell r="C911">
            <v>9.128120834711595E-4</v>
          </cell>
        </row>
        <row r="912">
          <cell r="A912">
            <v>906</v>
          </cell>
          <cell r="C912">
            <v>9.128120834711595E-4</v>
          </cell>
        </row>
        <row r="913">
          <cell r="A913">
            <v>907</v>
          </cell>
          <cell r="C913">
            <v>9.128120834711595E-4</v>
          </cell>
        </row>
        <row r="914">
          <cell r="A914">
            <v>908</v>
          </cell>
          <cell r="C914">
            <v>9.128120834711595E-4</v>
          </cell>
        </row>
        <row r="915">
          <cell r="A915">
            <v>909</v>
          </cell>
          <cell r="C915">
            <v>9.128120834711595E-4</v>
          </cell>
        </row>
        <row r="916">
          <cell r="A916">
            <v>910</v>
          </cell>
          <cell r="C916">
            <v>9.128120834711595E-4</v>
          </cell>
        </row>
        <row r="917">
          <cell r="A917">
            <v>911</v>
          </cell>
          <cell r="C917">
            <v>9.128120834711595E-4</v>
          </cell>
        </row>
        <row r="918">
          <cell r="A918">
            <v>912</v>
          </cell>
          <cell r="C918">
            <v>9.128120834711595E-4</v>
          </cell>
        </row>
        <row r="919">
          <cell r="A919">
            <v>913</v>
          </cell>
          <cell r="C919">
            <v>9.9786705819526755E-4</v>
          </cell>
        </row>
        <row r="920">
          <cell r="A920">
            <v>914</v>
          </cell>
          <cell r="C920">
            <v>9.9786705819526755E-4</v>
          </cell>
        </row>
        <row r="921">
          <cell r="A921">
            <v>915</v>
          </cell>
          <cell r="C921">
            <v>9.9786705819526755E-4</v>
          </cell>
        </row>
        <row r="922">
          <cell r="A922">
            <v>916</v>
          </cell>
          <cell r="C922">
            <v>9.9786705819526755E-4</v>
          </cell>
        </row>
        <row r="923">
          <cell r="A923">
            <v>917</v>
          </cell>
          <cell r="C923">
            <v>9.9786705819526755E-4</v>
          </cell>
        </row>
        <row r="924">
          <cell r="A924">
            <v>918</v>
          </cell>
          <cell r="C924">
            <v>9.9786705819526755E-4</v>
          </cell>
        </row>
        <row r="925">
          <cell r="A925">
            <v>919</v>
          </cell>
          <cell r="C925">
            <v>9.9786705819526755E-4</v>
          </cell>
        </row>
        <row r="926">
          <cell r="A926">
            <v>920</v>
          </cell>
          <cell r="C926">
            <v>9.9786705819526755E-4</v>
          </cell>
        </row>
        <row r="927">
          <cell r="A927">
            <v>921</v>
          </cell>
          <cell r="C927">
            <v>9.9786705819526755E-4</v>
          </cell>
        </row>
        <row r="928">
          <cell r="A928">
            <v>922</v>
          </cell>
          <cell r="C928">
            <v>9.9786705819526755E-4</v>
          </cell>
        </row>
        <row r="929">
          <cell r="A929">
            <v>923</v>
          </cell>
          <cell r="C929">
            <v>9.9786705819526755E-4</v>
          </cell>
        </row>
        <row r="930">
          <cell r="A930">
            <v>924</v>
          </cell>
          <cell r="C930">
            <v>9.9786705819526755E-4</v>
          </cell>
        </row>
        <row r="931">
          <cell r="A931">
            <v>925</v>
          </cell>
          <cell r="C931">
            <v>9.9786705819526755E-4</v>
          </cell>
        </row>
        <row r="932">
          <cell r="A932">
            <v>926</v>
          </cell>
          <cell r="C932">
            <v>9.9786705819526755E-4</v>
          </cell>
        </row>
        <row r="933">
          <cell r="A933">
            <v>927</v>
          </cell>
          <cell r="C933">
            <v>9.9786705819526755E-4</v>
          </cell>
        </row>
        <row r="934">
          <cell r="A934">
            <v>928</v>
          </cell>
          <cell r="C934">
            <v>9.9786705819526755E-4</v>
          </cell>
        </row>
        <row r="935">
          <cell r="A935">
            <v>929</v>
          </cell>
          <cell r="C935">
            <v>9.9786705819526755E-4</v>
          </cell>
        </row>
        <row r="936">
          <cell r="A936">
            <v>930</v>
          </cell>
          <cell r="C936">
            <v>9.9786705819526755E-4</v>
          </cell>
        </row>
        <row r="937">
          <cell r="A937">
            <v>931</v>
          </cell>
          <cell r="C937">
            <v>9.9786705819526755E-4</v>
          </cell>
        </row>
        <row r="938">
          <cell r="A938">
            <v>932</v>
          </cell>
          <cell r="C938">
            <v>9.9786705819526755E-4</v>
          </cell>
        </row>
        <row r="939">
          <cell r="A939">
            <v>933</v>
          </cell>
          <cell r="C939">
            <v>9.9786705819526755E-4</v>
          </cell>
        </row>
        <row r="940">
          <cell r="A940">
            <v>934</v>
          </cell>
          <cell r="C940">
            <v>9.9786705819526755E-4</v>
          </cell>
        </row>
        <row r="941">
          <cell r="A941">
            <v>935</v>
          </cell>
          <cell r="C941">
            <v>9.9786705819526755E-4</v>
          </cell>
        </row>
        <row r="942">
          <cell r="A942">
            <v>936</v>
          </cell>
          <cell r="C942">
            <v>9.9786705819526755E-4</v>
          </cell>
        </row>
        <row r="943">
          <cell r="A943">
            <v>937</v>
          </cell>
          <cell r="C943">
            <v>9.9786705819526755E-4</v>
          </cell>
        </row>
        <row r="944">
          <cell r="A944">
            <v>938</v>
          </cell>
          <cell r="C944">
            <v>9.9786705819526755E-4</v>
          </cell>
        </row>
        <row r="945">
          <cell r="A945">
            <v>939</v>
          </cell>
          <cell r="C945">
            <v>1.0903171265725931E-3</v>
          </cell>
        </row>
        <row r="946">
          <cell r="A946">
            <v>940</v>
          </cell>
          <cell r="C946">
            <v>1.0903171265725931E-3</v>
          </cell>
        </row>
        <row r="947">
          <cell r="A947">
            <v>941</v>
          </cell>
          <cell r="C947">
            <v>1.0903171265725931E-3</v>
          </cell>
        </row>
        <row r="948">
          <cell r="A948">
            <v>942</v>
          </cell>
          <cell r="C948">
            <v>1.0903171265725931E-3</v>
          </cell>
        </row>
        <row r="949">
          <cell r="A949">
            <v>943</v>
          </cell>
          <cell r="C949">
            <v>1.0903171265725931E-3</v>
          </cell>
        </row>
        <row r="950">
          <cell r="A950">
            <v>944</v>
          </cell>
          <cell r="C950">
            <v>1.0903171265725931E-3</v>
          </cell>
        </row>
        <row r="951">
          <cell r="A951">
            <v>945</v>
          </cell>
          <cell r="C951">
            <v>1.0903171265725931E-3</v>
          </cell>
        </row>
        <row r="952">
          <cell r="A952">
            <v>946</v>
          </cell>
          <cell r="C952">
            <v>1.0903171265725931E-3</v>
          </cell>
        </row>
        <row r="953">
          <cell r="A953">
            <v>947</v>
          </cell>
          <cell r="C953">
            <v>1.0903171265725931E-3</v>
          </cell>
        </row>
        <row r="954">
          <cell r="A954">
            <v>948</v>
          </cell>
          <cell r="C954">
            <v>1.0903171265725931E-3</v>
          </cell>
        </row>
        <row r="955">
          <cell r="A955">
            <v>949</v>
          </cell>
          <cell r="C955">
            <v>1.0903171265725931E-3</v>
          </cell>
        </row>
        <row r="956">
          <cell r="A956">
            <v>950</v>
          </cell>
          <cell r="C956">
            <v>1.0903171265725931E-3</v>
          </cell>
        </row>
        <row r="957">
          <cell r="A957">
            <v>951</v>
          </cell>
          <cell r="C957">
            <v>1.0903171265725931E-3</v>
          </cell>
        </row>
        <row r="958">
          <cell r="A958">
            <v>952</v>
          </cell>
          <cell r="C958">
            <v>1.0903171265725931E-3</v>
          </cell>
        </row>
        <row r="959">
          <cell r="A959">
            <v>953</v>
          </cell>
          <cell r="C959">
            <v>1.0903171265725931E-3</v>
          </cell>
        </row>
        <row r="960">
          <cell r="A960">
            <v>954</v>
          </cell>
          <cell r="C960">
            <v>1.0903171265725931E-3</v>
          </cell>
        </row>
        <row r="961">
          <cell r="A961">
            <v>955</v>
          </cell>
          <cell r="C961">
            <v>1.0903171265725931E-3</v>
          </cell>
        </row>
        <row r="962">
          <cell r="A962">
            <v>956</v>
          </cell>
          <cell r="C962">
            <v>1.0903171265725931E-3</v>
          </cell>
        </row>
        <row r="963">
          <cell r="A963">
            <v>957</v>
          </cell>
          <cell r="C963">
            <v>1.0903171265725931E-3</v>
          </cell>
        </row>
        <row r="964">
          <cell r="A964">
            <v>958</v>
          </cell>
          <cell r="C964">
            <v>1.0903171265725931E-3</v>
          </cell>
        </row>
        <row r="965">
          <cell r="A965">
            <v>959</v>
          </cell>
          <cell r="C965">
            <v>1.0903171265725931E-3</v>
          </cell>
        </row>
        <row r="966">
          <cell r="A966">
            <v>960</v>
          </cell>
          <cell r="C966">
            <v>1.0903171265725931E-3</v>
          </cell>
        </row>
        <row r="967">
          <cell r="A967">
            <v>961</v>
          </cell>
          <cell r="C967">
            <v>1.0903171265725931E-3</v>
          </cell>
        </row>
        <row r="968">
          <cell r="A968">
            <v>962</v>
          </cell>
          <cell r="C968">
            <v>1.0903171265725931E-3</v>
          </cell>
        </row>
        <row r="969">
          <cell r="A969">
            <v>963</v>
          </cell>
          <cell r="C969">
            <v>1.0903171265725931E-3</v>
          </cell>
        </row>
        <row r="970">
          <cell r="A970">
            <v>964</v>
          </cell>
          <cell r="C970">
            <v>1.0903171265725931E-3</v>
          </cell>
        </row>
        <row r="971">
          <cell r="A971">
            <v>965</v>
          </cell>
          <cell r="C971">
            <v>1.1900158768971547E-3</v>
          </cell>
        </row>
        <row r="972">
          <cell r="A972">
            <v>966</v>
          </cell>
          <cell r="C972">
            <v>1.1900158768971547E-3</v>
          </cell>
        </row>
        <row r="973">
          <cell r="A973">
            <v>967</v>
          </cell>
          <cell r="C973">
            <v>1.1900158768971547E-3</v>
          </cell>
        </row>
        <row r="974">
          <cell r="A974">
            <v>968</v>
          </cell>
          <cell r="C974">
            <v>1.1900158768971547E-3</v>
          </cell>
        </row>
        <row r="975">
          <cell r="A975">
            <v>969</v>
          </cell>
          <cell r="C975">
            <v>1.1900158768971547E-3</v>
          </cell>
        </row>
        <row r="976">
          <cell r="A976">
            <v>970</v>
          </cell>
          <cell r="C976">
            <v>1.1900158768971547E-3</v>
          </cell>
        </row>
        <row r="977">
          <cell r="A977">
            <v>971</v>
          </cell>
          <cell r="C977">
            <v>1.1900158768971547E-3</v>
          </cell>
        </row>
        <row r="978">
          <cell r="A978">
            <v>972</v>
          </cell>
          <cell r="C978">
            <v>1.1900158768971547E-3</v>
          </cell>
        </row>
        <row r="979">
          <cell r="A979">
            <v>973</v>
          </cell>
          <cell r="C979">
            <v>1.1900158768971547E-3</v>
          </cell>
        </row>
        <row r="980">
          <cell r="A980">
            <v>974</v>
          </cell>
          <cell r="C980">
            <v>1.1900158768971547E-3</v>
          </cell>
        </row>
        <row r="981">
          <cell r="A981">
            <v>975</v>
          </cell>
          <cell r="C981">
            <v>1.1900158768971547E-3</v>
          </cell>
        </row>
        <row r="982">
          <cell r="A982">
            <v>976</v>
          </cell>
          <cell r="C982">
            <v>1.1900158768971547E-3</v>
          </cell>
        </row>
        <row r="983">
          <cell r="A983">
            <v>977</v>
          </cell>
          <cell r="C983">
            <v>1.1900158768971547E-3</v>
          </cell>
        </row>
        <row r="984">
          <cell r="A984">
            <v>978</v>
          </cell>
          <cell r="C984">
            <v>1.1900158768971547E-3</v>
          </cell>
        </row>
        <row r="985">
          <cell r="A985">
            <v>979</v>
          </cell>
          <cell r="C985">
            <v>1.1900158768971547E-3</v>
          </cell>
        </row>
        <row r="986">
          <cell r="A986">
            <v>980</v>
          </cell>
          <cell r="C986">
            <v>1.1900158768971547E-3</v>
          </cell>
        </row>
        <row r="987">
          <cell r="A987">
            <v>981</v>
          </cell>
          <cell r="C987">
            <v>1.1900158768971547E-3</v>
          </cell>
        </row>
        <row r="988">
          <cell r="A988">
            <v>982</v>
          </cell>
          <cell r="C988">
            <v>1.1900158768971547E-3</v>
          </cell>
        </row>
        <row r="989">
          <cell r="A989">
            <v>983</v>
          </cell>
          <cell r="C989">
            <v>1.1900158768971547E-3</v>
          </cell>
        </row>
        <row r="990">
          <cell r="A990">
            <v>984</v>
          </cell>
          <cell r="C990">
            <v>1.1900158768971547E-3</v>
          </cell>
        </row>
        <row r="991">
          <cell r="A991">
            <v>985</v>
          </cell>
          <cell r="C991">
            <v>1.1900158768971547E-3</v>
          </cell>
        </row>
        <row r="992">
          <cell r="A992">
            <v>986</v>
          </cell>
          <cell r="C992">
            <v>1.1900158768971547E-3</v>
          </cell>
        </row>
        <row r="993">
          <cell r="A993">
            <v>987</v>
          </cell>
          <cell r="C993">
            <v>1.1900158768971547E-3</v>
          </cell>
        </row>
        <row r="994">
          <cell r="A994">
            <v>988</v>
          </cell>
          <cell r="C994">
            <v>1.1900158768971547E-3</v>
          </cell>
        </row>
        <row r="995">
          <cell r="A995">
            <v>989</v>
          </cell>
          <cell r="C995">
            <v>1.1900158768971547E-3</v>
          </cell>
        </row>
        <row r="996">
          <cell r="A996">
            <v>990</v>
          </cell>
          <cell r="C996">
            <v>1.1900158768971547E-3</v>
          </cell>
        </row>
        <row r="997">
          <cell r="A997">
            <v>991</v>
          </cell>
          <cell r="C997">
            <v>1.3000289296523082E-3</v>
          </cell>
        </row>
        <row r="998">
          <cell r="A998">
            <v>992</v>
          </cell>
          <cell r="C998">
            <v>1.3000289296523082E-3</v>
          </cell>
        </row>
        <row r="999">
          <cell r="A999">
            <v>993</v>
          </cell>
          <cell r="C999">
            <v>1.3000289296523082E-3</v>
          </cell>
        </row>
        <row r="1000">
          <cell r="A1000">
            <v>994</v>
          </cell>
          <cell r="C1000">
            <v>1.3000289296523082E-3</v>
          </cell>
        </row>
        <row r="1001">
          <cell r="A1001">
            <v>995</v>
          </cell>
          <cell r="C1001">
            <v>1.3000289296523082E-3</v>
          </cell>
        </row>
        <row r="1002">
          <cell r="A1002">
            <v>996</v>
          </cell>
          <cell r="C1002">
            <v>1.3000289296523082E-3</v>
          </cell>
        </row>
        <row r="1003">
          <cell r="A1003">
            <v>997</v>
          </cell>
          <cell r="C1003">
            <v>1.3000289296523082E-3</v>
          </cell>
        </row>
        <row r="1004">
          <cell r="A1004">
            <v>998</v>
          </cell>
          <cell r="C1004">
            <v>1.3000289296523082E-3</v>
          </cell>
        </row>
        <row r="1005">
          <cell r="A1005">
            <v>999</v>
          </cell>
          <cell r="C1005">
            <v>1.3000289296523082E-3</v>
          </cell>
        </row>
        <row r="1006">
          <cell r="A1006">
            <v>1000</v>
          </cell>
          <cell r="C1006">
            <v>1.3000289296523082E-3</v>
          </cell>
        </row>
        <row r="1007">
          <cell r="A1007">
            <v>1001</v>
          </cell>
          <cell r="C1007">
            <v>1.3000289296523082E-3</v>
          </cell>
        </row>
        <row r="1008">
          <cell r="A1008">
            <v>1002</v>
          </cell>
          <cell r="C1008">
            <v>1.3000289296523082E-3</v>
          </cell>
        </row>
        <row r="1009">
          <cell r="A1009">
            <v>1003</v>
          </cell>
          <cell r="C1009">
            <v>1.3000289296523082E-3</v>
          </cell>
        </row>
        <row r="1010">
          <cell r="A1010">
            <v>1004</v>
          </cell>
          <cell r="C1010">
            <v>1.3000289296523082E-3</v>
          </cell>
        </row>
        <row r="1011">
          <cell r="A1011">
            <v>1005</v>
          </cell>
          <cell r="C1011">
            <v>1.3000289296523082E-3</v>
          </cell>
        </row>
        <row r="1012">
          <cell r="A1012">
            <v>1006</v>
          </cell>
          <cell r="C1012">
            <v>1.3000289296523082E-3</v>
          </cell>
        </row>
        <row r="1013">
          <cell r="A1013">
            <v>1007</v>
          </cell>
          <cell r="C1013">
            <v>1.3000289296523082E-3</v>
          </cell>
        </row>
        <row r="1014">
          <cell r="A1014">
            <v>1008</v>
          </cell>
          <cell r="C1014">
            <v>1.3000289296523082E-3</v>
          </cell>
        </row>
        <row r="1015">
          <cell r="A1015">
            <v>1009</v>
          </cell>
          <cell r="C1015">
            <v>1.3000289296523082E-3</v>
          </cell>
        </row>
        <row r="1016">
          <cell r="A1016">
            <v>1010</v>
          </cell>
          <cell r="C1016">
            <v>1.3000289296523082E-3</v>
          </cell>
        </row>
        <row r="1017">
          <cell r="A1017">
            <v>1011</v>
          </cell>
          <cell r="C1017">
            <v>1.3000289296523082E-3</v>
          </cell>
        </row>
        <row r="1018">
          <cell r="A1018">
            <v>1012</v>
          </cell>
          <cell r="C1018">
            <v>1.3000289296523082E-3</v>
          </cell>
        </row>
        <row r="1019">
          <cell r="A1019">
            <v>1013</v>
          </cell>
          <cell r="C1019">
            <v>1.3000289296523082E-3</v>
          </cell>
        </row>
        <row r="1020">
          <cell r="A1020">
            <v>1014</v>
          </cell>
          <cell r="C1020">
            <v>1.3000289296523082E-3</v>
          </cell>
        </row>
        <row r="1021">
          <cell r="A1021">
            <v>1015</v>
          </cell>
          <cell r="C1021">
            <v>1.3000289296523082E-3</v>
          </cell>
        </row>
        <row r="1022">
          <cell r="A1022">
            <v>1016</v>
          </cell>
          <cell r="C1022">
            <v>1.3000289296523082E-3</v>
          </cell>
        </row>
        <row r="1023">
          <cell r="A1023">
            <v>1017</v>
          </cell>
          <cell r="C1023">
            <v>1.4280338316089436E-3</v>
          </cell>
        </row>
        <row r="1024">
          <cell r="A1024">
            <v>1018</v>
          </cell>
          <cell r="C1024">
            <v>1.4280338316089436E-3</v>
          </cell>
        </row>
        <row r="1025">
          <cell r="A1025">
            <v>1019</v>
          </cell>
          <cell r="C1025">
            <v>1.4280338316089436E-3</v>
          </cell>
        </row>
        <row r="1026">
          <cell r="A1026">
            <v>1020</v>
          </cell>
          <cell r="C1026">
            <v>1.4280338316089436E-3</v>
          </cell>
        </row>
        <row r="1027">
          <cell r="A1027">
            <v>1021</v>
          </cell>
          <cell r="C1027">
            <v>1.4280338316089436E-3</v>
          </cell>
        </row>
        <row r="1028">
          <cell r="A1028">
            <v>1022</v>
          </cell>
          <cell r="C1028">
            <v>1.4280338316089436E-3</v>
          </cell>
        </row>
        <row r="1029">
          <cell r="A1029">
            <v>1023</v>
          </cell>
          <cell r="C1029">
            <v>1.4280338316089436E-3</v>
          </cell>
        </row>
        <row r="1030">
          <cell r="A1030">
            <v>1024</v>
          </cell>
          <cell r="C1030">
            <v>1.4280338316089436E-3</v>
          </cell>
        </row>
        <row r="1031">
          <cell r="A1031">
            <v>1025</v>
          </cell>
          <cell r="C1031">
            <v>1.4280338316089436E-3</v>
          </cell>
        </row>
        <row r="1032">
          <cell r="A1032">
            <v>1026</v>
          </cell>
          <cell r="C1032">
            <v>1.4280338316089436E-3</v>
          </cell>
        </row>
        <row r="1033">
          <cell r="A1033">
            <v>1027</v>
          </cell>
          <cell r="C1033">
            <v>1.4280338316089436E-3</v>
          </cell>
        </row>
        <row r="1034">
          <cell r="A1034">
            <v>1028</v>
          </cell>
          <cell r="C1034">
            <v>1.4280338316089436E-3</v>
          </cell>
        </row>
        <row r="1035">
          <cell r="A1035">
            <v>1029</v>
          </cell>
          <cell r="C1035">
            <v>1.4280338316089436E-3</v>
          </cell>
        </row>
        <row r="1036">
          <cell r="A1036">
            <v>1030</v>
          </cell>
          <cell r="C1036">
            <v>1.4280338316089436E-3</v>
          </cell>
        </row>
        <row r="1037">
          <cell r="A1037">
            <v>1031</v>
          </cell>
          <cell r="C1037">
            <v>1.4280338316089436E-3</v>
          </cell>
        </row>
        <row r="1038">
          <cell r="A1038">
            <v>1032</v>
          </cell>
          <cell r="C1038">
            <v>1.4280338316089436E-3</v>
          </cell>
        </row>
        <row r="1039">
          <cell r="A1039">
            <v>1033</v>
          </cell>
          <cell r="C1039">
            <v>1.4280338316089436E-3</v>
          </cell>
        </row>
        <row r="1040">
          <cell r="A1040">
            <v>1034</v>
          </cell>
          <cell r="C1040">
            <v>1.4280338316089436E-3</v>
          </cell>
        </row>
        <row r="1041">
          <cell r="A1041">
            <v>1035</v>
          </cell>
          <cell r="C1041">
            <v>1.4280338316089436E-3</v>
          </cell>
        </row>
        <row r="1042">
          <cell r="A1042">
            <v>1036</v>
          </cell>
          <cell r="C1042">
            <v>1.4280338316089436E-3</v>
          </cell>
        </row>
        <row r="1043">
          <cell r="A1043">
            <v>1037</v>
          </cell>
          <cell r="C1043">
            <v>1.4280338316089436E-3</v>
          </cell>
        </row>
        <row r="1044">
          <cell r="A1044">
            <v>1038</v>
          </cell>
          <cell r="C1044">
            <v>1.4280338316089436E-3</v>
          </cell>
        </row>
        <row r="1045">
          <cell r="A1045">
            <v>1039</v>
          </cell>
          <cell r="C1045">
            <v>1.4280338316089436E-3</v>
          </cell>
        </row>
        <row r="1046">
          <cell r="A1046">
            <v>1040</v>
          </cell>
          <cell r="C1046">
            <v>1.4280338316089436E-3</v>
          </cell>
        </row>
        <row r="1047">
          <cell r="A1047">
            <v>1041</v>
          </cell>
          <cell r="C1047">
            <v>1.4280338316089436E-3</v>
          </cell>
        </row>
        <row r="1048">
          <cell r="A1048">
            <v>1042</v>
          </cell>
          <cell r="C1048">
            <v>1.4280338316089436E-3</v>
          </cell>
        </row>
        <row r="1049">
          <cell r="A1049">
            <v>1043</v>
          </cell>
          <cell r="C1049">
            <v>1.5755603186140554E-3</v>
          </cell>
        </row>
        <row r="1050">
          <cell r="A1050">
            <v>1044</v>
          </cell>
          <cell r="C1050">
            <v>1.5755603186140554E-3</v>
          </cell>
        </row>
        <row r="1051">
          <cell r="A1051">
            <v>1045</v>
          </cell>
          <cell r="C1051">
            <v>1.5755603186140554E-3</v>
          </cell>
        </row>
        <row r="1052">
          <cell r="A1052">
            <v>1046</v>
          </cell>
          <cell r="C1052">
            <v>1.5755603186140554E-3</v>
          </cell>
        </row>
        <row r="1053">
          <cell r="A1053">
            <v>1047</v>
          </cell>
          <cell r="C1053">
            <v>1.5755603186140554E-3</v>
          </cell>
        </row>
        <row r="1054">
          <cell r="A1054">
            <v>1048</v>
          </cell>
          <cell r="C1054">
            <v>1.5755603186140554E-3</v>
          </cell>
        </row>
        <row r="1055">
          <cell r="A1055">
            <v>1049</v>
          </cell>
          <cell r="C1055">
            <v>1.5755603186140554E-3</v>
          </cell>
        </row>
        <row r="1056">
          <cell r="A1056">
            <v>1050</v>
          </cell>
          <cell r="C1056">
            <v>1.5755603186140554E-3</v>
          </cell>
        </row>
        <row r="1057">
          <cell r="A1057">
            <v>1051</v>
          </cell>
          <cell r="C1057">
            <v>1.5755603186140554E-3</v>
          </cell>
        </row>
        <row r="1058">
          <cell r="A1058">
            <v>1052</v>
          </cell>
          <cell r="C1058">
            <v>1.5755603186140554E-3</v>
          </cell>
        </row>
        <row r="1059">
          <cell r="A1059">
            <v>1053</v>
          </cell>
          <cell r="C1059">
            <v>1.5755603186140554E-3</v>
          </cell>
        </row>
        <row r="1060">
          <cell r="A1060">
            <v>1054</v>
          </cell>
          <cell r="C1060">
            <v>1.5755603186140554E-3</v>
          </cell>
        </row>
        <row r="1061">
          <cell r="A1061">
            <v>1055</v>
          </cell>
          <cell r="C1061">
            <v>1.5755603186140554E-3</v>
          </cell>
        </row>
        <row r="1062">
          <cell r="A1062">
            <v>1056</v>
          </cell>
          <cell r="C1062">
            <v>1.5755603186140554E-3</v>
          </cell>
        </row>
        <row r="1063">
          <cell r="A1063">
            <v>1057</v>
          </cell>
          <cell r="C1063">
            <v>1.5755603186140554E-3</v>
          </cell>
        </row>
        <row r="1064">
          <cell r="A1064">
            <v>1058</v>
          </cell>
          <cell r="C1064">
            <v>1.5755603186140554E-3</v>
          </cell>
        </row>
        <row r="1065">
          <cell r="A1065">
            <v>1059</v>
          </cell>
          <cell r="C1065">
            <v>1.5755603186140554E-3</v>
          </cell>
        </row>
        <row r="1066">
          <cell r="A1066">
            <v>1060</v>
          </cell>
          <cell r="C1066">
            <v>1.5755603186140554E-3</v>
          </cell>
        </row>
        <row r="1067">
          <cell r="A1067">
            <v>1061</v>
          </cell>
          <cell r="C1067">
            <v>1.5755603186140554E-3</v>
          </cell>
        </row>
        <row r="1068">
          <cell r="A1068">
            <v>1062</v>
          </cell>
          <cell r="C1068">
            <v>1.5755603186140554E-3</v>
          </cell>
        </row>
        <row r="1069">
          <cell r="A1069">
            <v>1063</v>
          </cell>
          <cell r="C1069">
            <v>1.5755603186140554E-3</v>
          </cell>
        </row>
        <row r="1070">
          <cell r="A1070">
            <v>1064</v>
          </cell>
          <cell r="C1070">
            <v>1.5755603186140554E-3</v>
          </cell>
        </row>
        <row r="1071">
          <cell r="A1071">
            <v>1065</v>
          </cell>
          <cell r="C1071">
            <v>1.5755603186140554E-3</v>
          </cell>
        </row>
        <row r="1072">
          <cell r="A1072">
            <v>1066</v>
          </cell>
          <cell r="C1072">
            <v>1.5755603186140554E-3</v>
          </cell>
        </row>
        <row r="1073">
          <cell r="A1073">
            <v>1067</v>
          </cell>
          <cell r="C1073">
            <v>1.5755603186140554E-3</v>
          </cell>
        </row>
        <row r="1074">
          <cell r="A1074">
            <v>1068</v>
          </cell>
          <cell r="C1074">
            <v>1.5755603186140554E-3</v>
          </cell>
        </row>
        <row r="1075">
          <cell r="A1075">
            <v>1069</v>
          </cell>
          <cell r="C1075">
            <v>1.7383770313330604E-3</v>
          </cell>
        </row>
        <row r="1076">
          <cell r="A1076">
            <v>1070</v>
          </cell>
          <cell r="C1076">
            <v>1.7383770313330604E-3</v>
          </cell>
        </row>
        <row r="1077">
          <cell r="A1077">
            <v>1071</v>
          </cell>
          <cell r="C1077">
            <v>1.7383770313330604E-3</v>
          </cell>
        </row>
        <row r="1078">
          <cell r="A1078">
            <v>1072</v>
          </cell>
          <cell r="C1078">
            <v>1.7383770313330604E-3</v>
          </cell>
        </row>
        <row r="1079">
          <cell r="A1079">
            <v>1073</v>
          </cell>
          <cell r="C1079">
            <v>1.7383770313330604E-3</v>
          </cell>
        </row>
        <row r="1080">
          <cell r="A1080">
            <v>1074</v>
          </cell>
          <cell r="C1080">
            <v>1.7383770313330604E-3</v>
          </cell>
        </row>
        <row r="1081">
          <cell r="A1081">
            <v>1075</v>
          </cell>
          <cell r="C1081">
            <v>1.7383770313330604E-3</v>
          </cell>
        </row>
        <row r="1082">
          <cell r="A1082">
            <v>1076</v>
          </cell>
          <cell r="C1082">
            <v>1.7383770313330604E-3</v>
          </cell>
        </row>
        <row r="1083">
          <cell r="A1083">
            <v>1077</v>
          </cell>
          <cell r="C1083">
            <v>1.7383770313330604E-3</v>
          </cell>
        </row>
        <row r="1084">
          <cell r="A1084">
            <v>1078</v>
          </cell>
          <cell r="C1084">
            <v>1.7383770313330604E-3</v>
          </cell>
        </row>
        <row r="1085">
          <cell r="A1085">
            <v>1079</v>
          </cell>
          <cell r="C1085">
            <v>1.7383770313330604E-3</v>
          </cell>
        </row>
        <row r="1086">
          <cell r="A1086">
            <v>1080</v>
          </cell>
          <cell r="C1086">
            <v>1.7383770313330604E-3</v>
          </cell>
        </row>
        <row r="1087">
          <cell r="A1087">
            <v>1081</v>
          </cell>
          <cell r="C1087">
            <v>1.7383770313330604E-3</v>
          </cell>
        </row>
        <row r="1088">
          <cell r="A1088">
            <v>1082</v>
          </cell>
          <cell r="C1088">
            <v>1.7383770313330604E-3</v>
          </cell>
        </row>
        <row r="1089">
          <cell r="A1089">
            <v>1083</v>
          </cell>
          <cell r="C1089">
            <v>1.7383770313330604E-3</v>
          </cell>
        </row>
        <row r="1090">
          <cell r="A1090">
            <v>1084</v>
          </cell>
          <cell r="C1090">
            <v>1.7383770313330604E-3</v>
          </cell>
        </row>
        <row r="1091">
          <cell r="A1091">
            <v>1085</v>
          </cell>
          <cell r="C1091">
            <v>1.7383770313330604E-3</v>
          </cell>
        </row>
        <row r="1092">
          <cell r="A1092">
            <v>1086</v>
          </cell>
          <cell r="C1092">
            <v>1.7383770313330604E-3</v>
          </cell>
        </row>
        <row r="1093">
          <cell r="A1093">
            <v>1087</v>
          </cell>
          <cell r="C1093">
            <v>1.7383770313330604E-3</v>
          </cell>
        </row>
        <row r="1094">
          <cell r="A1094">
            <v>1088</v>
          </cell>
          <cell r="C1094">
            <v>1.7383770313330604E-3</v>
          </cell>
        </row>
        <row r="1095">
          <cell r="A1095">
            <v>1089</v>
          </cell>
          <cell r="C1095">
            <v>1.7383770313330604E-3</v>
          </cell>
        </row>
        <row r="1096">
          <cell r="A1096">
            <v>1090</v>
          </cell>
          <cell r="C1096">
            <v>1.7383770313330604E-3</v>
          </cell>
        </row>
        <row r="1097">
          <cell r="A1097">
            <v>1091</v>
          </cell>
          <cell r="C1097">
            <v>1.7383770313330604E-3</v>
          </cell>
        </row>
        <row r="1098">
          <cell r="A1098">
            <v>1092</v>
          </cell>
          <cell r="C1098">
            <v>1.7383770313330604E-3</v>
          </cell>
        </row>
        <row r="1099">
          <cell r="A1099">
            <v>1093</v>
          </cell>
          <cell r="C1099">
            <v>1.7383770313330604E-3</v>
          </cell>
        </row>
        <row r="1100">
          <cell r="A1100">
            <v>1094</v>
          </cell>
          <cell r="C1100">
            <v>1.7383770313330604E-3</v>
          </cell>
        </row>
        <row r="1101">
          <cell r="A1101">
            <v>1095</v>
          </cell>
          <cell r="C1101">
            <v>1.7383770313330604E-3</v>
          </cell>
        </row>
        <row r="1102">
          <cell r="A1102">
            <v>1096</v>
          </cell>
          <cell r="C1102">
            <v>1.9170323065640371E-3</v>
          </cell>
        </row>
        <row r="1103">
          <cell r="A1103">
            <v>1097</v>
          </cell>
          <cell r="C1103">
            <v>1.9170323065640371E-3</v>
          </cell>
        </row>
        <row r="1104">
          <cell r="A1104">
            <v>1098</v>
          </cell>
          <cell r="C1104">
            <v>1.9170323065640371E-3</v>
          </cell>
        </row>
        <row r="1105">
          <cell r="A1105">
            <v>1099</v>
          </cell>
          <cell r="C1105">
            <v>1.9170323065640371E-3</v>
          </cell>
        </row>
        <row r="1106">
          <cell r="A1106">
            <v>1100</v>
          </cell>
          <cell r="C1106">
            <v>1.9170323065640371E-3</v>
          </cell>
        </row>
        <row r="1107">
          <cell r="A1107">
            <v>1101</v>
          </cell>
          <cell r="C1107">
            <v>1.9170323065640371E-3</v>
          </cell>
        </row>
        <row r="1108">
          <cell r="A1108">
            <v>1102</v>
          </cell>
          <cell r="C1108">
            <v>1.9170323065640371E-3</v>
          </cell>
        </row>
        <row r="1109">
          <cell r="A1109">
            <v>1103</v>
          </cell>
          <cell r="C1109">
            <v>1.9170323065640371E-3</v>
          </cell>
        </row>
        <row r="1110">
          <cell r="A1110">
            <v>1104</v>
          </cell>
          <cell r="C1110">
            <v>1.9170323065640371E-3</v>
          </cell>
        </row>
        <row r="1111">
          <cell r="A1111">
            <v>1105</v>
          </cell>
          <cell r="C1111">
            <v>1.9170323065640371E-3</v>
          </cell>
        </row>
        <row r="1112">
          <cell r="A1112">
            <v>1106</v>
          </cell>
          <cell r="C1112">
            <v>1.9170323065640371E-3</v>
          </cell>
        </row>
        <row r="1113">
          <cell r="A1113">
            <v>1107</v>
          </cell>
          <cell r="C1113">
            <v>1.9170323065640371E-3</v>
          </cell>
        </row>
        <row r="1114">
          <cell r="A1114">
            <v>1108</v>
          </cell>
          <cell r="C1114">
            <v>1.9170323065640371E-3</v>
          </cell>
        </row>
        <row r="1115">
          <cell r="A1115">
            <v>1109</v>
          </cell>
          <cell r="C1115">
            <v>1.9170323065640371E-3</v>
          </cell>
        </row>
        <row r="1116">
          <cell r="A1116">
            <v>1110</v>
          </cell>
          <cell r="C1116">
            <v>1.9170323065640371E-3</v>
          </cell>
        </row>
        <row r="1117">
          <cell r="A1117">
            <v>1111</v>
          </cell>
          <cell r="C1117">
            <v>1.9170323065640371E-3</v>
          </cell>
        </row>
        <row r="1118">
          <cell r="A1118">
            <v>1112</v>
          </cell>
          <cell r="C1118">
            <v>1.9170323065640371E-3</v>
          </cell>
        </row>
        <row r="1119">
          <cell r="A1119">
            <v>1113</v>
          </cell>
          <cell r="C1119">
            <v>1.9170323065640371E-3</v>
          </cell>
        </row>
        <row r="1120">
          <cell r="A1120">
            <v>1114</v>
          </cell>
          <cell r="C1120">
            <v>1.9170323065640371E-3</v>
          </cell>
        </row>
        <row r="1121">
          <cell r="A1121">
            <v>1115</v>
          </cell>
          <cell r="C1121">
            <v>1.9170323065640371E-3</v>
          </cell>
        </row>
        <row r="1122">
          <cell r="A1122">
            <v>1116</v>
          </cell>
          <cell r="C1122">
            <v>1.9170323065640371E-3</v>
          </cell>
        </row>
        <row r="1123">
          <cell r="A1123">
            <v>1117</v>
          </cell>
          <cell r="C1123">
            <v>1.9170323065640371E-3</v>
          </cell>
        </row>
        <row r="1124">
          <cell r="A1124">
            <v>1118</v>
          </cell>
          <cell r="C1124">
            <v>1.9170323065640371E-3</v>
          </cell>
        </row>
        <row r="1125">
          <cell r="A1125">
            <v>1119</v>
          </cell>
          <cell r="C1125">
            <v>1.9170323065640371E-3</v>
          </cell>
        </row>
        <row r="1126">
          <cell r="A1126">
            <v>1120</v>
          </cell>
          <cell r="C1126">
            <v>1.9170323065640371E-3</v>
          </cell>
        </row>
        <row r="1127">
          <cell r="A1127">
            <v>1121</v>
          </cell>
          <cell r="C1127">
            <v>1.9170323065640371E-3</v>
          </cell>
        </row>
        <row r="1128">
          <cell r="A1128">
            <v>1122</v>
          </cell>
          <cell r="C1128">
            <v>2.1164291354772713E-3</v>
          </cell>
        </row>
        <row r="1129">
          <cell r="A1129">
            <v>1123</v>
          </cell>
          <cell r="C1129">
            <v>2.1164291354772713E-3</v>
          </cell>
        </row>
        <row r="1130">
          <cell r="A1130">
            <v>1124</v>
          </cell>
          <cell r="C1130">
            <v>2.1164291354772713E-3</v>
          </cell>
        </row>
        <row r="1131">
          <cell r="A1131">
            <v>1125</v>
          </cell>
          <cell r="C1131">
            <v>2.1164291354772713E-3</v>
          </cell>
        </row>
        <row r="1132">
          <cell r="A1132">
            <v>1126</v>
          </cell>
          <cell r="C1132">
            <v>2.1164291354772713E-3</v>
          </cell>
        </row>
        <row r="1133">
          <cell r="A1133">
            <v>1127</v>
          </cell>
          <cell r="C1133">
            <v>2.1164291354772713E-3</v>
          </cell>
        </row>
        <row r="1134">
          <cell r="A1134">
            <v>1128</v>
          </cell>
          <cell r="C1134">
            <v>2.1164291354772713E-3</v>
          </cell>
        </row>
        <row r="1135">
          <cell r="A1135">
            <v>1129</v>
          </cell>
          <cell r="C1135">
            <v>2.1164291354772713E-3</v>
          </cell>
        </row>
        <row r="1136">
          <cell r="A1136">
            <v>1130</v>
          </cell>
          <cell r="C1136">
            <v>2.1164291354772713E-3</v>
          </cell>
        </row>
        <row r="1137">
          <cell r="A1137">
            <v>1131</v>
          </cell>
          <cell r="C1137">
            <v>2.1164291354772713E-3</v>
          </cell>
        </row>
        <row r="1138">
          <cell r="A1138">
            <v>1132</v>
          </cell>
          <cell r="C1138">
            <v>2.1164291354772713E-3</v>
          </cell>
        </row>
        <row r="1139">
          <cell r="A1139">
            <v>1133</v>
          </cell>
          <cell r="C1139">
            <v>2.1164291354772713E-3</v>
          </cell>
        </row>
        <row r="1140">
          <cell r="A1140">
            <v>1134</v>
          </cell>
          <cell r="C1140">
            <v>2.1164291354772713E-3</v>
          </cell>
        </row>
        <row r="1141">
          <cell r="A1141">
            <v>1135</v>
          </cell>
          <cell r="C1141">
            <v>2.1164291354772713E-3</v>
          </cell>
        </row>
        <row r="1142">
          <cell r="A1142">
            <v>1136</v>
          </cell>
          <cell r="C1142">
            <v>2.1164291354772713E-3</v>
          </cell>
        </row>
        <row r="1143">
          <cell r="A1143">
            <v>1137</v>
          </cell>
          <cell r="C1143">
            <v>2.1164291354772713E-3</v>
          </cell>
        </row>
        <row r="1144">
          <cell r="A1144">
            <v>1138</v>
          </cell>
          <cell r="C1144">
            <v>2.1164291354772713E-3</v>
          </cell>
        </row>
        <row r="1145">
          <cell r="A1145">
            <v>1139</v>
          </cell>
          <cell r="C1145">
            <v>2.1164291354772713E-3</v>
          </cell>
        </row>
        <row r="1146">
          <cell r="A1146">
            <v>1140</v>
          </cell>
          <cell r="C1146">
            <v>2.1164291354772713E-3</v>
          </cell>
        </row>
        <row r="1147">
          <cell r="A1147">
            <v>1141</v>
          </cell>
          <cell r="C1147">
            <v>2.1164291354772713E-3</v>
          </cell>
        </row>
        <row r="1148">
          <cell r="A1148">
            <v>1142</v>
          </cell>
          <cell r="C1148">
            <v>2.1164291354772713E-3</v>
          </cell>
        </row>
        <row r="1149">
          <cell r="A1149">
            <v>1143</v>
          </cell>
          <cell r="C1149">
            <v>2.1164291354772713E-3</v>
          </cell>
        </row>
        <row r="1150">
          <cell r="A1150">
            <v>1144</v>
          </cell>
          <cell r="C1150">
            <v>2.1164291354772713E-3</v>
          </cell>
        </row>
        <row r="1151">
          <cell r="A1151">
            <v>1145</v>
          </cell>
          <cell r="C1151">
            <v>2.1164291354772713E-3</v>
          </cell>
        </row>
        <row r="1152">
          <cell r="A1152">
            <v>1146</v>
          </cell>
          <cell r="C1152">
            <v>2.1164291354772713E-3</v>
          </cell>
        </row>
        <row r="1153">
          <cell r="A1153">
            <v>1147</v>
          </cell>
          <cell r="C1153">
            <v>2.1164291354772713E-3</v>
          </cell>
        </row>
        <row r="1154">
          <cell r="A1154">
            <v>1148</v>
          </cell>
          <cell r="C1154">
            <v>2.3461920920215817E-3</v>
          </cell>
        </row>
        <row r="1155">
          <cell r="A1155">
            <v>1149</v>
          </cell>
          <cell r="C1155">
            <v>2.3461920920215817E-3</v>
          </cell>
        </row>
        <row r="1156">
          <cell r="A1156">
            <v>1150</v>
          </cell>
          <cell r="C1156">
            <v>2.3461920920215817E-3</v>
          </cell>
        </row>
        <row r="1157">
          <cell r="A1157">
            <v>1151</v>
          </cell>
          <cell r="C1157">
            <v>2.3461920920215817E-3</v>
          </cell>
        </row>
        <row r="1158">
          <cell r="A1158">
            <v>1152</v>
          </cell>
          <cell r="C1158">
            <v>2.3461920920215817E-3</v>
          </cell>
        </row>
        <row r="1159">
          <cell r="A1159">
            <v>1153</v>
          </cell>
          <cell r="C1159">
            <v>2.3461920920215817E-3</v>
          </cell>
        </row>
        <row r="1160">
          <cell r="A1160">
            <v>1154</v>
          </cell>
          <cell r="C1160">
            <v>2.3461920920215817E-3</v>
          </cell>
        </row>
        <row r="1161">
          <cell r="A1161">
            <v>1155</v>
          </cell>
          <cell r="C1161">
            <v>2.3461920920215817E-3</v>
          </cell>
        </row>
        <row r="1162">
          <cell r="A1162">
            <v>1156</v>
          </cell>
          <cell r="C1162">
            <v>2.3461920920215817E-3</v>
          </cell>
        </row>
        <row r="1163">
          <cell r="A1163">
            <v>1157</v>
          </cell>
          <cell r="C1163">
            <v>2.3461920920215817E-3</v>
          </cell>
        </row>
        <row r="1164">
          <cell r="A1164">
            <v>1158</v>
          </cell>
          <cell r="C1164">
            <v>2.3461920920215817E-3</v>
          </cell>
        </row>
        <row r="1165">
          <cell r="A1165">
            <v>1159</v>
          </cell>
          <cell r="C1165">
            <v>2.3461920920215817E-3</v>
          </cell>
        </row>
        <row r="1166">
          <cell r="A1166">
            <v>1160</v>
          </cell>
          <cell r="C1166">
            <v>2.3461920920215817E-3</v>
          </cell>
        </row>
        <row r="1167">
          <cell r="A1167">
            <v>1161</v>
          </cell>
          <cell r="C1167">
            <v>2.3461920920215817E-3</v>
          </cell>
        </row>
        <row r="1168">
          <cell r="A1168">
            <v>1162</v>
          </cell>
          <cell r="C1168">
            <v>2.3461920920215817E-3</v>
          </cell>
        </row>
        <row r="1169">
          <cell r="A1169">
            <v>1163</v>
          </cell>
          <cell r="C1169">
            <v>2.3461920920215817E-3</v>
          </cell>
        </row>
        <row r="1170">
          <cell r="A1170">
            <v>1164</v>
          </cell>
          <cell r="C1170">
            <v>2.3461920920215817E-3</v>
          </cell>
        </row>
        <row r="1171">
          <cell r="A1171">
            <v>1165</v>
          </cell>
          <cell r="C1171">
            <v>2.3461920920215817E-3</v>
          </cell>
        </row>
        <row r="1172">
          <cell r="A1172">
            <v>1166</v>
          </cell>
          <cell r="C1172">
            <v>2.3461920920215817E-3</v>
          </cell>
        </row>
        <row r="1173">
          <cell r="A1173">
            <v>1167</v>
          </cell>
          <cell r="C1173">
            <v>2.3461920920215817E-3</v>
          </cell>
        </row>
        <row r="1174">
          <cell r="A1174">
            <v>1168</v>
          </cell>
          <cell r="C1174">
            <v>2.3461920920215817E-3</v>
          </cell>
        </row>
        <row r="1175">
          <cell r="A1175">
            <v>1169</v>
          </cell>
          <cell r="C1175">
            <v>2.3461920920215817E-3</v>
          </cell>
        </row>
        <row r="1176">
          <cell r="A1176">
            <v>1170</v>
          </cell>
          <cell r="C1176">
            <v>2.3461920920215817E-3</v>
          </cell>
        </row>
        <row r="1177">
          <cell r="A1177">
            <v>1171</v>
          </cell>
          <cell r="C1177">
            <v>2.3461920920215817E-3</v>
          </cell>
        </row>
        <row r="1178">
          <cell r="A1178">
            <v>1172</v>
          </cell>
          <cell r="C1178">
            <v>2.3461920920215817E-3</v>
          </cell>
        </row>
        <row r="1179">
          <cell r="A1179">
            <v>1173</v>
          </cell>
          <cell r="C1179">
            <v>2.3461920920215817E-3</v>
          </cell>
        </row>
        <row r="1180">
          <cell r="A1180">
            <v>1174</v>
          </cell>
          <cell r="C1180">
            <v>2.610284460822232E-3</v>
          </cell>
        </row>
        <row r="1181">
          <cell r="A1181">
            <v>1175</v>
          </cell>
          <cell r="C1181">
            <v>2.610284460822232E-3</v>
          </cell>
        </row>
        <row r="1182">
          <cell r="A1182">
            <v>1176</v>
          </cell>
          <cell r="C1182">
            <v>2.610284460822232E-3</v>
          </cell>
        </row>
        <row r="1183">
          <cell r="A1183">
            <v>1177</v>
          </cell>
          <cell r="C1183">
            <v>2.610284460822232E-3</v>
          </cell>
        </row>
        <row r="1184">
          <cell r="A1184">
            <v>1178</v>
          </cell>
          <cell r="C1184">
            <v>2.610284460822232E-3</v>
          </cell>
        </row>
        <row r="1185">
          <cell r="A1185">
            <v>1179</v>
          </cell>
          <cell r="C1185">
            <v>2.610284460822232E-3</v>
          </cell>
        </row>
        <row r="1186">
          <cell r="A1186">
            <v>1180</v>
          </cell>
          <cell r="C1186">
            <v>2.610284460822232E-3</v>
          </cell>
        </row>
        <row r="1187">
          <cell r="A1187">
            <v>1181</v>
          </cell>
          <cell r="C1187">
            <v>2.610284460822232E-3</v>
          </cell>
        </row>
        <row r="1188">
          <cell r="A1188">
            <v>1182</v>
          </cell>
          <cell r="C1188">
            <v>2.610284460822232E-3</v>
          </cell>
        </row>
        <row r="1189">
          <cell r="A1189">
            <v>1183</v>
          </cell>
          <cell r="C1189">
            <v>2.610284460822232E-3</v>
          </cell>
        </row>
        <row r="1190">
          <cell r="A1190">
            <v>1184</v>
          </cell>
          <cell r="C1190">
            <v>2.610284460822232E-3</v>
          </cell>
        </row>
        <row r="1191">
          <cell r="A1191">
            <v>1185</v>
          </cell>
          <cell r="C1191">
            <v>2.610284460822232E-3</v>
          </cell>
        </row>
        <row r="1192">
          <cell r="A1192">
            <v>1186</v>
          </cell>
          <cell r="C1192">
            <v>2.610284460822232E-3</v>
          </cell>
        </row>
        <row r="1193">
          <cell r="A1193">
            <v>1187</v>
          </cell>
          <cell r="C1193">
            <v>2.610284460822232E-3</v>
          </cell>
        </row>
        <row r="1194">
          <cell r="A1194">
            <v>1188</v>
          </cell>
          <cell r="C1194">
            <v>2.610284460822232E-3</v>
          </cell>
        </row>
        <row r="1195">
          <cell r="A1195">
            <v>1189</v>
          </cell>
          <cell r="C1195">
            <v>2.610284460822232E-3</v>
          </cell>
        </row>
        <row r="1196">
          <cell r="A1196">
            <v>1190</v>
          </cell>
          <cell r="C1196">
            <v>2.610284460822232E-3</v>
          </cell>
        </row>
        <row r="1197">
          <cell r="A1197">
            <v>1191</v>
          </cell>
          <cell r="C1197">
            <v>2.610284460822232E-3</v>
          </cell>
        </row>
        <row r="1198">
          <cell r="A1198">
            <v>1192</v>
          </cell>
          <cell r="C1198">
            <v>2.610284460822232E-3</v>
          </cell>
        </row>
        <row r="1199">
          <cell r="A1199">
            <v>1193</v>
          </cell>
          <cell r="C1199">
            <v>2.610284460822232E-3</v>
          </cell>
        </row>
        <row r="1200">
          <cell r="A1200">
            <v>1194</v>
          </cell>
          <cell r="C1200">
            <v>2.610284460822232E-3</v>
          </cell>
        </row>
        <row r="1201">
          <cell r="A1201">
            <v>1195</v>
          </cell>
          <cell r="C1201">
            <v>2.610284460822232E-3</v>
          </cell>
        </row>
        <row r="1202">
          <cell r="A1202">
            <v>1196</v>
          </cell>
          <cell r="C1202">
            <v>2.610284460822232E-3</v>
          </cell>
        </row>
        <row r="1203">
          <cell r="A1203">
            <v>1197</v>
          </cell>
          <cell r="C1203">
            <v>2.610284460822232E-3</v>
          </cell>
        </row>
        <row r="1204">
          <cell r="A1204">
            <v>1198</v>
          </cell>
          <cell r="C1204">
            <v>2.610284460822232E-3</v>
          </cell>
        </row>
        <row r="1205">
          <cell r="A1205">
            <v>1199</v>
          </cell>
          <cell r="C1205">
            <v>2.610284460822232E-3</v>
          </cell>
        </row>
        <row r="1206">
          <cell r="A1206">
            <v>1200</v>
          </cell>
          <cell r="C1206">
            <v>2.9066211973534095E-3</v>
          </cell>
        </row>
        <row r="1207">
          <cell r="A1207">
            <v>1201</v>
          </cell>
          <cell r="C1207">
            <v>2.9066211973534095E-3</v>
          </cell>
        </row>
        <row r="1208">
          <cell r="A1208">
            <v>1202</v>
          </cell>
          <cell r="C1208">
            <v>2.9066211973534095E-3</v>
          </cell>
        </row>
        <row r="1209">
          <cell r="A1209">
            <v>1203</v>
          </cell>
          <cell r="C1209">
            <v>2.9066211973534095E-3</v>
          </cell>
        </row>
        <row r="1210">
          <cell r="A1210">
            <v>1204</v>
          </cell>
          <cell r="C1210">
            <v>2.9066211973534095E-3</v>
          </cell>
        </row>
        <row r="1211">
          <cell r="A1211">
            <v>1205</v>
          </cell>
          <cell r="C1211">
            <v>2.9066211973534095E-3</v>
          </cell>
        </row>
        <row r="1212">
          <cell r="A1212">
            <v>1206</v>
          </cell>
          <cell r="C1212">
            <v>2.9066211973534095E-3</v>
          </cell>
        </row>
        <row r="1213">
          <cell r="A1213">
            <v>1207</v>
          </cell>
          <cell r="C1213">
            <v>2.9066211973534095E-3</v>
          </cell>
        </row>
        <row r="1214">
          <cell r="A1214">
            <v>1208</v>
          </cell>
          <cell r="C1214">
            <v>2.9066211973534095E-3</v>
          </cell>
        </row>
        <row r="1215">
          <cell r="A1215">
            <v>1209</v>
          </cell>
          <cell r="C1215">
            <v>2.9066211973534095E-3</v>
          </cell>
        </row>
        <row r="1216">
          <cell r="A1216">
            <v>1210</v>
          </cell>
          <cell r="C1216">
            <v>2.9066211973534095E-3</v>
          </cell>
        </row>
        <row r="1217">
          <cell r="A1217">
            <v>1211</v>
          </cell>
          <cell r="C1217">
            <v>2.9066211973534095E-3</v>
          </cell>
        </row>
        <row r="1218">
          <cell r="A1218">
            <v>1212</v>
          </cell>
          <cell r="C1218">
            <v>2.9066211973534095E-3</v>
          </cell>
        </row>
        <row r="1219">
          <cell r="A1219">
            <v>1213</v>
          </cell>
          <cell r="C1219">
            <v>2.9066211973534095E-3</v>
          </cell>
        </row>
        <row r="1220">
          <cell r="A1220">
            <v>1214</v>
          </cell>
          <cell r="C1220">
            <v>2.9066211973534095E-3</v>
          </cell>
        </row>
        <row r="1221">
          <cell r="A1221">
            <v>1215</v>
          </cell>
          <cell r="C1221">
            <v>2.9066211973534095E-3</v>
          </cell>
        </row>
        <row r="1222">
          <cell r="A1222">
            <v>1216</v>
          </cell>
          <cell r="C1222">
            <v>2.9066211973534095E-3</v>
          </cell>
        </row>
        <row r="1223">
          <cell r="A1223">
            <v>1217</v>
          </cell>
          <cell r="C1223">
            <v>2.9066211973534095E-3</v>
          </cell>
        </row>
        <row r="1224">
          <cell r="A1224">
            <v>1218</v>
          </cell>
          <cell r="C1224">
            <v>2.9066211973534095E-3</v>
          </cell>
        </row>
        <row r="1225">
          <cell r="A1225">
            <v>1219</v>
          </cell>
          <cell r="C1225">
            <v>2.9066211973534095E-3</v>
          </cell>
        </row>
        <row r="1226">
          <cell r="A1226">
            <v>1220</v>
          </cell>
          <cell r="C1226">
            <v>2.9066211973534095E-3</v>
          </cell>
        </row>
        <row r="1227">
          <cell r="A1227">
            <v>1221</v>
          </cell>
          <cell r="C1227">
            <v>2.9066211973534095E-3</v>
          </cell>
        </row>
        <row r="1228">
          <cell r="A1228">
            <v>1222</v>
          </cell>
          <cell r="C1228">
            <v>2.9066211973534095E-3</v>
          </cell>
        </row>
        <row r="1229">
          <cell r="A1229">
            <v>1223</v>
          </cell>
          <cell r="C1229">
            <v>2.9066211973534095E-3</v>
          </cell>
        </row>
        <row r="1230">
          <cell r="A1230">
            <v>1224</v>
          </cell>
          <cell r="C1230">
            <v>2.9066211973534095E-3</v>
          </cell>
        </row>
        <row r="1231">
          <cell r="A1231">
            <v>1225</v>
          </cell>
          <cell r="C1231">
            <v>2.9066211973534095E-3</v>
          </cell>
        </row>
        <row r="1232">
          <cell r="A1232">
            <v>1226</v>
          </cell>
          <cell r="C1232">
            <v>3.2375795819468145E-3</v>
          </cell>
        </row>
        <row r="1233">
          <cell r="A1233">
            <v>1227</v>
          </cell>
          <cell r="C1233">
            <v>3.2375795819468145E-3</v>
          </cell>
        </row>
        <row r="1234">
          <cell r="A1234">
            <v>1228</v>
          </cell>
          <cell r="C1234">
            <v>3.2375795819468145E-3</v>
          </cell>
        </row>
        <row r="1235">
          <cell r="A1235">
            <v>1229</v>
          </cell>
          <cell r="C1235">
            <v>3.2375795819468145E-3</v>
          </cell>
        </row>
        <row r="1236">
          <cell r="A1236">
            <v>1230</v>
          </cell>
          <cell r="C1236">
            <v>3.2375795819468145E-3</v>
          </cell>
        </row>
        <row r="1237">
          <cell r="A1237">
            <v>1231</v>
          </cell>
          <cell r="C1237">
            <v>3.2375795819468145E-3</v>
          </cell>
        </row>
        <row r="1238">
          <cell r="A1238">
            <v>1232</v>
          </cell>
          <cell r="C1238">
            <v>3.2375795819468145E-3</v>
          </cell>
        </row>
        <row r="1239">
          <cell r="A1239">
            <v>1233</v>
          </cell>
          <cell r="C1239">
            <v>3.2375795819468145E-3</v>
          </cell>
        </row>
        <row r="1240">
          <cell r="A1240">
            <v>1234</v>
          </cell>
          <cell r="C1240">
            <v>3.2375795819468145E-3</v>
          </cell>
        </row>
        <row r="1241">
          <cell r="A1241">
            <v>1235</v>
          </cell>
          <cell r="C1241">
            <v>3.2375795819468145E-3</v>
          </cell>
        </row>
        <row r="1242">
          <cell r="A1242">
            <v>1236</v>
          </cell>
          <cell r="C1242">
            <v>3.2375795819468145E-3</v>
          </cell>
        </row>
        <row r="1243">
          <cell r="A1243">
            <v>1237</v>
          </cell>
          <cell r="C1243">
            <v>3.2375795819468145E-3</v>
          </cell>
        </row>
        <row r="1244">
          <cell r="A1244">
            <v>1238</v>
          </cell>
          <cell r="C1244">
            <v>3.2375795819468145E-3</v>
          </cell>
        </row>
        <row r="1245">
          <cell r="A1245">
            <v>1239</v>
          </cell>
          <cell r="C1245">
            <v>3.2375795819468145E-3</v>
          </cell>
        </row>
        <row r="1246">
          <cell r="A1246">
            <v>1240</v>
          </cell>
          <cell r="C1246">
            <v>3.2375795819468145E-3</v>
          </cell>
        </row>
        <row r="1247">
          <cell r="A1247">
            <v>1241</v>
          </cell>
          <cell r="C1247">
            <v>3.2375795819468145E-3</v>
          </cell>
        </row>
        <row r="1248">
          <cell r="A1248">
            <v>1242</v>
          </cell>
          <cell r="C1248">
            <v>3.2375795819468145E-3</v>
          </cell>
        </row>
        <row r="1249">
          <cell r="A1249">
            <v>1243</v>
          </cell>
          <cell r="C1249">
            <v>3.2375795819468145E-3</v>
          </cell>
        </row>
        <row r="1250">
          <cell r="A1250">
            <v>1244</v>
          </cell>
          <cell r="C1250">
            <v>3.2375795819468145E-3</v>
          </cell>
        </row>
        <row r="1251">
          <cell r="A1251">
            <v>1245</v>
          </cell>
          <cell r="C1251">
            <v>3.2375795819468145E-3</v>
          </cell>
        </row>
        <row r="1252">
          <cell r="A1252">
            <v>1246</v>
          </cell>
          <cell r="C1252">
            <v>3.2375795819468145E-3</v>
          </cell>
        </row>
        <row r="1253">
          <cell r="A1253">
            <v>1247</v>
          </cell>
          <cell r="C1253">
            <v>3.2375795819468145E-3</v>
          </cell>
        </row>
        <row r="1254">
          <cell r="A1254">
            <v>1248</v>
          </cell>
          <cell r="C1254">
            <v>3.2375795819468145E-3</v>
          </cell>
        </row>
        <row r="1255">
          <cell r="A1255">
            <v>1249</v>
          </cell>
          <cell r="C1255">
            <v>3.2375795819468145E-3</v>
          </cell>
        </row>
        <row r="1256">
          <cell r="A1256">
            <v>1250</v>
          </cell>
          <cell r="C1256">
            <v>3.2375795819468145E-3</v>
          </cell>
        </row>
        <row r="1257">
          <cell r="A1257">
            <v>1251</v>
          </cell>
          <cell r="C1257">
            <v>3.2375795819468145E-3</v>
          </cell>
        </row>
        <row r="1258">
          <cell r="A1258">
            <v>1252</v>
          </cell>
          <cell r="C1258">
            <v>3.6086322680759508E-3</v>
          </cell>
        </row>
        <row r="1259">
          <cell r="A1259">
            <v>1253</v>
          </cell>
          <cell r="C1259">
            <v>3.6086322680759508E-3</v>
          </cell>
        </row>
        <row r="1260">
          <cell r="A1260">
            <v>1254</v>
          </cell>
          <cell r="C1260">
            <v>3.6086322680759508E-3</v>
          </cell>
        </row>
        <row r="1261">
          <cell r="A1261">
            <v>1255</v>
          </cell>
          <cell r="C1261">
            <v>3.6086322680759508E-3</v>
          </cell>
        </row>
        <row r="1262">
          <cell r="A1262">
            <v>1256</v>
          </cell>
          <cell r="C1262">
            <v>3.6086322680759508E-3</v>
          </cell>
        </row>
        <row r="1263">
          <cell r="A1263">
            <v>1257</v>
          </cell>
          <cell r="C1263">
            <v>3.6086322680759508E-3</v>
          </cell>
        </row>
        <row r="1264">
          <cell r="A1264">
            <v>1258</v>
          </cell>
          <cell r="C1264">
            <v>3.6086322680759508E-3</v>
          </cell>
        </row>
        <row r="1265">
          <cell r="A1265">
            <v>1259</v>
          </cell>
          <cell r="C1265">
            <v>3.6086322680759508E-3</v>
          </cell>
        </row>
        <row r="1266">
          <cell r="A1266">
            <v>1260</v>
          </cell>
          <cell r="C1266">
            <v>3.6086322680759508E-3</v>
          </cell>
        </row>
        <row r="1267">
          <cell r="A1267">
            <v>1261</v>
          </cell>
          <cell r="C1267">
            <v>3.6086322680759508E-3</v>
          </cell>
        </row>
        <row r="1268">
          <cell r="A1268">
            <v>1262</v>
          </cell>
          <cell r="C1268">
            <v>3.6086322680759508E-3</v>
          </cell>
        </row>
        <row r="1269">
          <cell r="A1269">
            <v>1263</v>
          </cell>
          <cell r="C1269">
            <v>3.6086322680759508E-3</v>
          </cell>
        </row>
        <row r="1270">
          <cell r="A1270">
            <v>1264</v>
          </cell>
          <cell r="C1270">
            <v>3.6086322680759508E-3</v>
          </cell>
        </row>
        <row r="1271">
          <cell r="A1271">
            <v>1265</v>
          </cell>
          <cell r="C1271">
            <v>3.6086322680759508E-3</v>
          </cell>
        </row>
        <row r="1272">
          <cell r="A1272">
            <v>1266</v>
          </cell>
          <cell r="C1272">
            <v>3.6086322680759508E-3</v>
          </cell>
        </row>
        <row r="1273">
          <cell r="A1273">
            <v>1267</v>
          </cell>
          <cell r="C1273">
            <v>3.6086322680759508E-3</v>
          </cell>
        </row>
        <row r="1274">
          <cell r="A1274">
            <v>1268</v>
          </cell>
          <cell r="C1274">
            <v>3.6086322680759508E-3</v>
          </cell>
        </row>
        <row r="1275">
          <cell r="A1275">
            <v>1269</v>
          </cell>
          <cell r="C1275">
            <v>3.6086322680759508E-3</v>
          </cell>
        </row>
        <row r="1276">
          <cell r="A1276">
            <v>1270</v>
          </cell>
          <cell r="C1276">
            <v>3.6086322680759508E-3</v>
          </cell>
        </row>
        <row r="1277">
          <cell r="A1277">
            <v>1271</v>
          </cell>
          <cell r="C1277">
            <v>3.6086322680759508E-3</v>
          </cell>
        </row>
        <row r="1278">
          <cell r="A1278">
            <v>1272</v>
          </cell>
          <cell r="C1278">
            <v>3.6086322680759508E-3</v>
          </cell>
        </row>
        <row r="1279">
          <cell r="A1279">
            <v>1273</v>
          </cell>
          <cell r="C1279">
            <v>3.6086322680759508E-3</v>
          </cell>
        </row>
        <row r="1280">
          <cell r="A1280">
            <v>1274</v>
          </cell>
          <cell r="C1280">
            <v>3.6086322680759508E-3</v>
          </cell>
        </row>
        <row r="1281">
          <cell r="A1281">
            <v>1275</v>
          </cell>
          <cell r="C1281">
            <v>3.6086322680759508E-3</v>
          </cell>
        </row>
        <row r="1282">
          <cell r="A1282">
            <v>1276</v>
          </cell>
          <cell r="C1282">
            <v>3.6086322680759508E-3</v>
          </cell>
        </row>
        <row r="1283">
          <cell r="A1283">
            <v>1277</v>
          </cell>
          <cell r="C1283">
            <v>3.6086322680759508E-3</v>
          </cell>
        </row>
        <row r="1284">
          <cell r="A1284">
            <v>1278</v>
          </cell>
          <cell r="C1284">
            <v>4.026361278947288E-3</v>
          </cell>
        </row>
        <row r="1285">
          <cell r="A1285">
            <v>1279</v>
          </cell>
          <cell r="C1285">
            <v>4.026361278947288E-3</v>
          </cell>
        </row>
        <row r="1286">
          <cell r="A1286">
            <v>1280</v>
          </cell>
          <cell r="C1286">
            <v>4.026361278947288E-3</v>
          </cell>
        </row>
        <row r="1287">
          <cell r="A1287">
            <v>1281</v>
          </cell>
          <cell r="C1287">
            <v>4.026361278947288E-3</v>
          </cell>
        </row>
        <row r="1288">
          <cell r="A1288">
            <v>1282</v>
          </cell>
          <cell r="C1288">
            <v>4.026361278947288E-3</v>
          </cell>
        </row>
        <row r="1289">
          <cell r="A1289">
            <v>1283</v>
          </cell>
          <cell r="C1289">
            <v>4.026361278947288E-3</v>
          </cell>
        </row>
        <row r="1290">
          <cell r="A1290">
            <v>1284</v>
          </cell>
          <cell r="C1290">
            <v>4.026361278947288E-3</v>
          </cell>
        </row>
        <row r="1291">
          <cell r="A1291">
            <v>1285</v>
          </cell>
          <cell r="C1291">
            <v>4.026361278947288E-3</v>
          </cell>
        </row>
        <row r="1292">
          <cell r="A1292">
            <v>1286</v>
          </cell>
          <cell r="C1292">
            <v>4.026361278947288E-3</v>
          </cell>
        </row>
        <row r="1293">
          <cell r="A1293">
            <v>1287</v>
          </cell>
          <cell r="C1293">
            <v>4.026361278947288E-3</v>
          </cell>
        </row>
        <row r="1294">
          <cell r="A1294">
            <v>1288</v>
          </cell>
          <cell r="C1294">
            <v>4.026361278947288E-3</v>
          </cell>
        </row>
        <row r="1295">
          <cell r="A1295">
            <v>1289</v>
          </cell>
          <cell r="C1295">
            <v>4.026361278947288E-3</v>
          </cell>
        </row>
        <row r="1296">
          <cell r="A1296">
            <v>1290</v>
          </cell>
          <cell r="C1296">
            <v>4.026361278947288E-3</v>
          </cell>
        </row>
        <row r="1297">
          <cell r="A1297">
            <v>1291</v>
          </cell>
          <cell r="C1297">
            <v>4.026361278947288E-3</v>
          </cell>
        </row>
        <row r="1298">
          <cell r="A1298">
            <v>1292</v>
          </cell>
          <cell r="C1298">
            <v>4.026361278947288E-3</v>
          </cell>
        </row>
        <row r="1299">
          <cell r="A1299">
            <v>1293</v>
          </cell>
          <cell r="C1299">
            <v>4.026361278947288E-3</v>
          </cell>
        </row>
        <row r="1300">
          <cell r="A1300">
            <v>1294</v>
          </cell>
          <cell r="C1300">
            <v>4.026361278947288E-3</v>
          </cell>
        </row>
        <row r="1301">
          <cell r="A1301">
            <v>1295</v>
          </cell>
          <cell r="C1301">
            <v>4.026361278947288E-3</v>
          </cell>
        </row>
        <row r="1302">
          <cell r="A1302">
            <v>1296</v>
          </cell>
          <cell r="C1302">
            <v>4.026361278947288E-3</v>
          </cell>
        </row>
        <row r="1303">
          <cell r="A1303">
            <v>1297</v>
          </cell>
          <cell r="C1303">
            <v>4.026361278947288E-3</v>
          </cell>
        </row>
        <row r="1304">
          <cell r="A1304">
            <v>1298</v>
          </cell>
          <cell r="C1304">
            <v>4.026361278947288E-3</v>
          </cell>
        </row>
        <row r="1305">
          <cell r="A1305">
            <v>1299</v>
          </cell>
          <cell r="C1305">
            <v>4.026361278947288E-3</v>
          </cell>
        </row>
        <row r="1306">
          <cell r="A1306">
            <v>1300</v>
          </cell>
          <cell r="C1306">
            <v>4.026361278947288E-3</v>
          </cell>
        </row>
        <row r="1307">
          <cell r="A1307">
            <v>1301</v>
          </cell>
          <cell r="C1307">
            <v>4.026361278947288E-3</v>
          </cell>
        </row>
        <row r="1308">
          <cell r="A1308">
            <v>1302</v>
          </cell>
          <cell r="C1308">
            <v>4.026361278947288E-3</v>
          </cell>
        </row>
        <row r="1309">
          <cell r="A1309">
            <v>1303</v>
          </cell>
          <cell r="C1309">
            <v>4.026361278947288E-3</v>
          </cell>
        </row>
        <row r="1310">
          <cell r="A1310">
            <v>1304</v>
          </cell>
          <cell r="C1310">
            <v>4.4968558322060481E-3</v>
          </cell>
        </row>
        <row r="1311">
          <cell r="A1311">
            <v>1305</v>
          </cell>
          <cell r="C1311">
            <v>4.4968558322060481E-3</v>
          </cell>
        </row>
        <row r="1312">
          <cell r="A1312">
            <v>1306</v>
          </cell>
          <cell r="C1312">
            <v>4.4968558322060481E-3</v>
          </cell>
        </row>
        <row r="1313">
          <cell r="A1313">
            <v>1307</v>
          </cell>
          <cell r="C1313">
            <v>4.4968558322060481E-3</v>
          </cell>
        </row>
        <row r="1314">
          <cell r="A1314">
            <v>1308</v>
          </cell>
          <cell r="C1314">
            <v>4.4968558322060481E-3</v>
          </cell>
        </row>
        <row r="1315">
          <cell r="A1315">
            <v>1309</v>
          </cell>
          <cell r="C1315">
            <v>4.4968558322060481E-3</v>
          </cell>
        </row>
        <row r="1316">
          <cell r="A1316">
            <v>1310</v>
          </cell>
          <cell r="C1316">
            <v>4.4968558322060481E-3</v>
          </cell>
        </row>
        <row r="1317">
          <cell r="A1317">
            <v>1311</v>
          </cell>
          <cell r="C1317">
            <v>4.4968558322060481E-3</v>
          </cell>
        </row>
        <row r="1318">
          <cell r="A1318">
            <v>1312</v>
          </cell>
          <cell r="C1318">
            <v>4.4968558322060481E-3</v>
          </cell>
        </row>
        <row r="1319">
          <cell r="A1319">
            <v>1313</v>
          </cell>
          <cell r="C1319">
            <v>4.4968558322060481E-3</v>
          </cell>
        </row>
        <row r="1320">
          <cell r="A1320">
            <v>1314</v>
          </cell>
          <cell r="C1320">
            <v>4.4968558322060481E-3</v>
          </cell>
        </row>
        <row r="1321">
          <cell r="A1321">
            <v>1315</v>
          </cell>
          <cell r="C1321">
            <v>4.4968558322060481E-3</v>
          </cell>
        </row>
        <row r="1322">
          <cell r="A1322">
            <v>1316</v>
          </cell>
          <cell r="C1322">
            <v>4.4968558322060481E-3</v>
          </cell>
        </row>
        <row r="1323">
          <cell r="A1323">
            <v>1317</v>
          </cell>
          <cell r="C1323">
            <v>4.4968558322060481E-3</v>
          </cell>
        </row>
        <row r="1324">
          <cell r="A1324">
            <v>1318</v>
          </cell>
          <cell r="C1324">
            <v>4.4968558322060481E-3</v>
          </cell>
        </row>
        <row r="1325">
          <cell r="A1325">
            <v>1319</v>
          </cell>
          <cell r="C1325">
            <v>4.4968558322060481E-3</v>
          </cell>
        </row>
        <row r="1326">
          <cell r="A1326">
            <v>1320</v>
          </cell>
          <cell r="C1326">
            <v>4.4968558322060481E-3</v>
          </cell>
        </row>
        <row r="1327">
          <cell r="A1327">
            <v>1321</v>
          </cell>
          <cell r="C1327">
            <v>4.4968558322060481E-3</v>
          </cell>
        </row>
        <row r="1328">
          <cell r="A1328">
            <v>1322</v>
          </cell>
          <cell r="C1328">
            <v>4.4968558322060481E-3</v>
          </cell>
        </row>
        <row r="1329">
          <cell r="A1329">
            <v>1323</v>
          </cell>
          <cell r="C1329">
            <v>4.4968558322060481E-3</v>
          </cell>
        </row>
        <row r="1330">
          <cell r="A1330">
            <v>1324</v>
          </cell>
          <cell r="C1330">
            <v>4.4968558322060481E-3</v>
          </cell>
        </row>
        <row r="1331">
          <cell r="A1331">
            <v>1325</v>
          </cell>
          <cell r="C1331">
            <v>4.4968558322060481E-3</v>
          </cell>
        </row>
        <row r="1332">
          <cell r="A1332">
            <v>1326</v>
          </cell>
          <cell r="C1332">
            <v>4.4968558322060481E-3</v>
          </cell>
        </row>
        <row r="1333">
          <cell r="A1333">
            <v>1327</v>
          </cell>
          <cell r="C1333">
            <v>4.4968558322060481E-3</v>
          </cell>
        </row>
        <row r="1334">
          <cell r="A1334">
            <v>1328</v>
          </cell>
          <cell r="C1334">
            <v>4.4968558322060481E-3</v>
          </cell>
        </row>
        <row r="1335">
          <cell r="A1335">
            <v>1329</v>
          </cell>
          <cell r="C1335">
            <v>4.4968558322060481E-3</v>
          </cell>
        </row>
        <row r="1336">
          <cell r="A1336">
            <v>1330</v>
          </cell>
          <cell r="C1336">
            <v>5.0253560799291552E-3</v>
          </cell>
        </row>
        <row r="1337">
          <cell r="A1337">
            <v>1331</v>
          </cell>
          <cell r="C1337">
            <v>5.0253560799291552E-3</v>
          </cell>
        </row>
        <row r="1338">
          <cell r="A1338">
            <v>1332</v>
          </cell>
          <cell r="C1338">
            <v>5.0253560799291552E-3</v>
          </cell>
        </row>
        <row r="1339">
          <cell r="A1339">
            <v>1333</v>
          </cell>
          <cell r="C1339">
            <v>5.0253560799291552E-3</v>
          </cell>
        </row>
        <row r="1340">
          <cell r="A1340">
            <v>1334</v>
          </cell>
          <cell r="C1340">
            <v>5.0253560799291552E-3</v>
          </cell>
        </row>
        <row r="1341">
          <cell r="A1341">
            <v>1335</v>
          </cell>
          <cell r="C1341">
            <v>5.0253560799291552E-3</v>
          </cell>
        </row>
        <row r="1342">
          <cell r="A1342">
            <v>1336</v>
          </cell>
          <cell r="C1342">
            <v>5.0253560799291552E-3</v>
          </cell>
        </row>
        <row r="1343">
          <cell r="A1343">
            <v>1337</v>
          </cell>
          <cell r="C1343">
            <v>5.0253560799291552E-3</v>
          </cell>
        </row>
        <row r="1344">
          <cell r="A1344">
            <v>1338</v>
          </cell>
          <cell r="C1344">
            <v>5.0253560799291552E-3</v>
          </cell>
        </row>
        <row r="1345">
          <cell r="A1345">
            <v>1339</v>
          </cell>
          <cell r="C1345">
            <v>5.0253560799291552E-3</v>
          </cell>
        </row>
        <row r="1346">
          <cell r="A1346">
            <v>1340</v>
          </cell>
          <cell r="C1346">
            <v>5.0253560799291552E-3</v>
          </cell>
        </row>
        <row r="1347">
          <cell r="A1347">
            <v>1341</v>
          </cell>
          <cell r="C1347">
            <v>5.0253560799291552E-3</v>
          </cell>
        </row>
        <row r="1348">
          <cell r="A1348">
            <v>1342</v>
          </cell>
          <cell r="C1348">
            <v>5.0253560799291552E-3</v>
          </cell>
        </row>
        <row r="1349">
          <cell r="A1349">
            <v>1343</v>
          </cell>
          <cell r="C1349">
            <v>5.0253560799291552E-3</v>
          </cell>
        </row>
        <row r="1350">
          <cell r="A1350">
            <v>1344</v>
          </cell>
          <cell r="C1350">
            <v>5.0253560799291552E-3</v>
          </cell>
        </row>
        <row r="1351">
          <cell r="A1351">
            <v>1345</v>
          </cell>
          <cell r="C1351">
            <v>5.0253560799291552E-3</v>
          </cell>
        </row>
        <row r="1352">
          <cell r="A1352">
            <v>1346</v>
          </cell>
          <cell r="C1352">
            <v>5.0253560799291552E-3</v>
          </cell>
        </row>
        <row r="1353">
          <cell r="A1353">
            <v>1347</v>
          </cell>
          <cell r="C1353">
            <v>5.0253560799291552E-3</v>
          </cell>
        </row>
        <row r="1354">
          <cell r="A1354">
            <v>1348</v>
          </cell>
          <cell r="C1354">
            <v>5.0253560799291552E-3</v>
          </cell>
        </row>
        <row r="1355">
          <cell r="A1355">
            <v>1349</v>
          </cell>
          <cell r="C1355">
            <v>5.0253560799291552E-3</v>
          </cell>
        </row>
        <row r="1356">
          <cell r="A1356">
            <v>1350</v>
          </cell>
          <cell r="C1356">
            <v>5.0253560799291552E-3</v>
          </cell>
        </row>
        <row r="1357">
          <cell r="A1357">
            <v>1351</v>
          </cell>
          <cell r="C1357">
            <v>5.0253560799291552E-3</v>
          </cell>
        </row>
        <row r="1358">
          <cell r="A1358">
            <v>1352</v>
          </cell>
          <cell r="C1358">
            <v>5.0253560799291552E-3</v>
          </cell>
        </row>
        <row r="1359">
          <cell r="A1359">
            <v>1353</v>
          </cell>
          <cell r="C1359">
            <v>5.0253560799291552E-3</v>
          </cell>
        </row>
        <row r="1360">
          <cell r="A1360">
            <v>1354</v>
          </cell>
          <cell r="C1360">
            <v>5.0253560799291552E-3</v>
          </cell>
        </row>
        <row r="1361">
          <cell r="A1361">
            <v>1355</v>
          </cell>
          <cell r="C1361">
            <v>5.0253560799291552E-3</v>
          </cell>
        </row>
        <row r="1362">
          <cell r="A1362">
            <v>1356</v>
          </cell>
          <cell r="C1362">
            <v>5.6161675998828153E-3</v>
          </cell>
        </row>
        <row r="1363">
          <cell r="A1363">
            <v>1357</v>
          </cell>
          <cell r="C1363">
            <v>5.6161675998828153E-3</v>
          </cell>
        </row>
        <row r="1364">
          <cell r="A1364">
            <v>1358</v>
          </cell>
          <cell r="C1364">
            <v>5.6161675998828153E-3</v>
          </cell>
        </row>
        <row r="1365">
          <cell r="A1365">
            <v>1359</v>
          </cell>
          <cell r="C1365">
            <v>5.6161675998828153E-3</v>
          </cell>
        </row>
        <row r="1366">
          <cell r="A1366">
            <v>1360</v>
          </cell>
          <cell r="C1366">
            <v>5.6161675998828153E-3</v>
          </cell>
        </row>
        <row r="1367">
          <cell r="A1367">
            <v>1361</v>
          </cell>
          <cell r="C1367">
            <v>5.6161675998828153E-3</v>
          </cell>
        </row>
        <row r="1368">
          <cell r="A1368">
            <v>1362</v>
          </cell>
          <cell r="C1368">
            <v>5.6161675998828153E-3</v>
          </cell>
        </row>
        <row r="1369">
          <cell r="A1369">
            <v>1363</v>
          </cell>
          <cell r="C1369">
            <v>5.6161675998828153E-3</v>
          </cell>
        </row>
        <row r="1370">
          <cell r="A1370">
            <v>1364</v>
          </cell>
          <cell r="C1370">
            <v>5.6161675998828153E-3</v>
          </cell>
        </row>
        <row r="1371">
          <cell r="A1371">
            <v>1365</v>
          </cell>
          <cell r="C1371">
            <v>5.6161675998828153E-3</v>
          </cell>
        </row>
        <row r="1372">
          <cell r="A1372">
            <v>1366</v>
          </cell>
          <cell r="C1372">
            <v>5.6161675998828153E-3</v>
          </cell>
        </row>
        <row r="1373">
          <cell r="A1373">
            <v>1367</v>
          </cell>
          <cell r="C1373">
            <v>5.6161675998828153E-3</v>
          </cell>
        </row>
        <row r="1374">
          <cell r="A1374">
            <v>1368</v>
          </cell>
          <cell r="C1374">
            <v>5.6161675998828153E-3</v>
          </cell>
        </row>
        <row r="1375">
          <cell r="A1375">
            <v>1369</v>
          </cell>
          <cell r="C1375">
            <v>5.6161675998828153E-3</v>
          </cell>
        </row>
        <row r="1376">
          <cell r="A1376">
            <v>1370</v>
          </cell>
          <cell r="C1376">
            <v>5.6161675998828153E-3</v>
          </cell>
        </row>
        <row r="1377">
          <cell r="A1377">
            <v>1371</v>
          </cell>
          <cell r="C1377">
            <v>5.6161675998828153E-3</v>
          </cell>
        </row>
        <row r="1378">
          <cell r="A1378">
            <v>1372</v>
          </cell>
          <cell r="C1378">
            <v>5.6161675998828153E-3</v>
          </cell>
        </row>
        <row r="1379">
          <cell r="A1379">
            <v>1373</v>
          </cell>
          <cell r="C1379">
            <v>5.6161675998828153E-3</v>
          </cell>
        </row>
        <row r="1380">
          <cell r="A1380">
            <v>1374</v>
          </cell>
          <cell r="C1380">
            <v>5.6161675998828153E-3</v>
          </cell>
        </row>
        <row r="1381">
          <cell r="A1381">
            <v>1375</v>
          </cell>
          <cell r="C1381">
            <v>5.6161675998828153E-3</v>
          </cell>
        </row>
        <row r="1382">
          <cell r="A1382">
            <v>1376</v>
          </cell>
          <cell r="C1382">
            <v>5.6161675998828153E-3</v>
          </cell>
        </row>
        <row r="1383">
          <cell r="A1383">
            <v>1377</v>
          </cell>
          <cell r="C1383">
            <v>5.6161675998828153E-3</v>
          </cell>
        </row>
        <row r="1384">
          <cell r="A1384">
            <v>1378</v>
          </cell>
          <cell r="C1384">
            <v>5.6161675998828153E-3</v>
          </cell>
        </row>
        <row r="1385">
          <cell r="A1385">
            <v>1379</v>
          </cell>
          <cell r="C1385">
            <v>5.6161675998828153E-3</v>
          </cell>
        </row>
        <row r="1386">
          <cell r="A1386">
            <v>1380</v>
          </cell>
          <cell r="C1386">
            <v>5.6161675998828153E-3</v>
          </cell>
        </row>
        <row r="1387">
          <cell r="A1387">
            <v>1381</v>
          </cell>
          <cell r="C1387">
            <v>5.6161675998828153E-3</v>
          </cell>
        </row>
        <row r="1388">
          <cell r="A1388">
            <v>1382</v>
          </cell>
          <cell r="C1388">
            <v>6.2725048737357625E-3</v>
          </cell>
        </row>
        <row r="1389">
          <cell r="A1389">
            <v>1383</v>
          </cell>
          <cell r="C1389">
            <v>6.2725048737357625E-3</v>
          </cell>
        </row>
        <row r="1390">
          <cell r="A1390">
            <v>1384</v>
          </cell>
          <cell r="C1390">
            <v>6.2725048737357625E-3</v>
          </cell>
        </row>
        <row r="1391">
          <cell r="A1391">
            <v>1385</v>
          </cell>
          <cell r="C1391">
            <v>6.2725048737357625E-3</v>
          </cell>
        </row>
        <row r="1392">
          <cell r="A1392">
            <v>1386</v>
          </cell>
          <cell r="C1392">
            <v>6.2725048737357625E-3</v>
          </cell>
        </row>
        <row r="1393">
          <cell r="A1393">
            <v>1387</v>
          </cell>
          <cell r="C1393">
            <v>6.2725048737357625E-3</v>
          </cell>
        </row>
        <row r="1394">
          <cell r="A1394">
            <v>1388</v>
          </cell>
          <cell r="C1394">
            <v>6.2725048737357625E-3</v>
          </cell>
        </row>
        <row r="1395">
          <cell r="A1395">
            <v>1389</v>
          </cell>
          <cell r="C1395">
            <v>6.2725048737357625E-3</v>
          </cell>
        </row>
        <row r="1396">
          <cell r="A1396">
            <v>1390</v>
          </cell>
          <cell r="C1396">
            <v>6.2725048737357625E-3</v>
          </cell>
        </row>
        <row r="1397">
          <cell r="A1397">
            <v>1391</v>
          </cell>
          <cell r="C1397">
            <v>6.2725048737357625E-3</v>
          </cell>
        </row>
        <row r="1398">
          <cell r="A1398">
            <v>1392</v>
          </cell>
          <cell r="C1398">
            <v>6.2725048737357625E-3</v>
          </cell>
        </row>
        <row r="1399">
          <cell r="A1399">
            <v>1393</v>
          </cell>
          <cell r="C1399">
            <v>6.2725048737357625E-3</v>
          </cell>
        </row>
        <row r="1400">
          <cell r="A1400">
            <v>1394</v>
          </cell>
          <cell r="C1400">
            <v>6.2725048737357625E-3</v>
          </cell>
        </row>
        <row r="1401">
          <cell r="A1401">
            <v>1395</v>
          </cell>
          <cell r="C1401">
            <v>6.2725048737357625E-3</v>
          </cell>
        </row>
        <row r="1402">
          <cell r="A1402">
            <v>1396</v>
          </cell>
          <cell r="C1402">
            <v>6.2725048737357625E-3</v>
          </cell>
        </row>
        <row r="1403">
          <cell r="A1403">
            <v>1397</v>
          </cell>
          <cell r="C1403">
            <v>6.2725048737357625E-3</v>
          </cell>
        </row>
        <row r="1404">
          <cell r="A1404">
            <v>1398</v>
          </cell>
          <cell r="C1404">
            <v>6.2725048737357625E-3</v>
          </cell>
        </row>
        <row r="1405">
          <cell r="A1405">
            <v>1399</v>
          </cell>
          <cell r="C1405">
            <v>6.2725048737357625E-3</v>
          </cell>
        </row>
        <row r="1406">
          <cell r="A1406">
            <v>1400</v>
          </cell>
          <cell r="C1406">
            <v>6.2725048737357625E-3</v>
          </cell>
        </row>
        <row r="1407">
          <cell r="A1407">
            <v>1401</v>
          </cell>
          <cell r="C1407">
            <v>6.2725048737357625E-3</v>
          </cell>
        </row>
        <row r="1408">
          <cell r="A1408">
            <v>1402</v>
          </cell>
          <cell r="C1408">
            <v>6.2725048737357625E-3</v>
          </cell>
        </row>
        <row r="1409">
          <cell r="A1409">
            <v>1403</v>
          </cell>
          <cell r="C1409">
            <v>6.2725048737357625E-3</v>
          </cell>
        </row>
        <row r="1410">
          <cell r="A1410">
            <v>1404</v>
          </cell>
          <cell r="C1410">
            <v>6.2725048737357625E-3</v>
          </cell>
        </row>
        <row r="1411">
          <cell r="A1411">
            <v>1405</v>
          </cell>
          <cell r="C1411">
            <v>6.2725048737357625E-3</v>
          </cell>
        </row>
        <row r="1412">
          <cell r="A1412">
            <v>1406</v>
          </cell>
          <cell r="C1412">
            <v>6.2725048737357625E-3</v>
          </cell>
        </row>
        <row r="1413">
          <cell r="A1413">
            <v>1407</v>
          </cell>
          <cell r="C1413">
            <v>6.2725048737357625E-3</v>
          </cell>
        </row>
        <row r="1414">
          <cell r="A1414">
            <v>1408</v>
          </cell>
          <cell r="C1414">
            <v>6.997301124685551E-3</v>
          </cell>
        </row>
        <row r="1415">
          <cell r="A1415">
            <v>1409</v>
          </cell>
          <cell r="C1415">
            <v>6.997301124685551E-3</v>
          </cell>
        </row>
        <row r="1416">
          <cell r="A1416">
            <v>1410</v>
          </cell>
          <cell r="C1416">
            <v>6.997301124685551E-3</v>
          </cell>
        </row>
        <row r="1417">
          <cell r="A1417">
            <v>1411</v>
          </cell>
          <cell r="C1417">
            <v>6.997301124685551E-3</v>
          </cell>
        </row>
        <row r="1418">
          <cell r="A1418">
            <v>1412</v>
          </cell>
          <cell r="C1418">
            <v>6.997301124685551E-3</v>
          </cell>
        </row>
        <row r="1419">
          <cell r="A1419">
            <v>1413</v>
          </cell>
          <cell r="C1419">
            <v>6.997301124685551E-3</v>
          </cell>
        </row>
        <row r="1420">
          <cell r="A1420">
            <v>1414</v>
          </cell>
          <cell r="C1420">
            <v>6.997301124685551E-3</v>
          </cell>
        </row>
        <row r="1421">
          <cell r="A1421">
            <v>1415</v>
          </cell>
          <cell r="C1421">
            <v>6.997301124685551E-3</v>
          </cell>
        </row>
        <row r="1422">
          <cell r="A1422">
            <v>1416</v>
          </cell>
          <cell r="C1422">
            <v>6.997301124685551E-3</v>
          </cell>
        </row>
        <row r="1423">
          <cell r="A1423">
            <v>1417</v>
          </cell>
          <cell r="C1423">
            <v>6.997301124685551E-3</v>
          </cell>
        </row>
        <row r="1424">
          <cell r="A1424">
            <v>1418</v>
          </cell>
          <cell r="C1424">
            <v>6.997301124685551E-3</v>
          </cell>
        </row>
        <row r="1425">
          <cell r="A1425">
            <v>1419</v>
          </cell>
          <cell r="C1425">
            <v>6.997301124685551E-3</v>
          </cell>
        </row>
        <row r="1426">
          <cell r="A1426">
            <v>1420</v>
          </cell>
          <cell r="C1426">
            <v>6.997301124685551E-3</v>
          </cell>
        </row>
        <row r="1427">
          <cell r="A1427">
            <v>1421</v>
          </cell>
          <cell r="C1427">
            <v>6.997301124685551E-3</v>
          </cell>
        </row>
        <row r="1428">
          <cell r="A1428">
            <v>1422</v>
          </cell>
          <cell r="C1428">
            <v>6.997301124685551E-3</v>
          </cell>
        </row>
        <row r="1429">
          <cell r="A1429">
            <v>1423</v>
          </cell>
          <cell r="C1429">
            <v>6.997301124685551E-3</v>
          </cell>
        </row>
        <row r="1430">
          <cell r="A1430">
            <v>1424</v>
          </cell>
          <cell r="C1430">
            <v>6.997301124685551E-3</v>
          </cell>
        </row>
        <row r="1431">
          <cell r="A1431">
            <v>1425</v>
          </cell>
          <cell r="C1431">
            <v>6.997301124685551E-3</v>
          </cell>
        </row>
        <row r="1432">
          <cell r="A1432">
            <v>1426</v>
          </cell>
          <cell r="C1432">
            <v>6.997301124685551E-3</v>
          </cell>
        </row>
        <row r="1433">
          <cell r="A1433">
            <v>1427</v>
          </cell>
          <cell r="C1433">
            <v>6.997301124685551E-3</v>
          </cell>
        </row>
        <row r="1434">
          <cell r="A1434">
            <v>1428</v>
          </cell>
          <cell r="C1434">
            <v>6.997301124685551E-3</v>
          </cell>
        </row>
        <row r="1435">
          <cell r="A1435">
            <v>1429</v>
          </cell>
          <cell r="C1435">
            <v>6.997301124685551E-3</v>
          </cell>
        </row>
        <row r="1436">
          <cell r="A1436">
            <v>1430</v>
          </cell>
          <cell r="C1436">
            <v>6.997301124685551E-3</v>
          </cell>
        </row>
        <row r="1437">
          <cell r="A1437">
            <v>1431</v>
          </cell>
          <cell r="C1437">
            <v>6.997301124685551E-3</v>
          </cell>
        </row>
        <row r="1438">
          <cell r="A1438">
            <v>1432</v>
          </cell>
          <cell r="C1438">
            <v>6.997301124685551E-3</v>
          </cell>
        </row>
        <row r="1439">
          <cell r="A1439">
            <v>1433</v>
          </cell>
          <cell r="C1439">
            <v>6.997301124685551E-3</v>
          </cell>
        </row>
        <row r="1440">
          <cell r="A1440">
            <v>1434</v>
          </cell>
          <cell r="C1440">
            <v>7.7932954904519347E-3</v>
          </cell>
        </row>
        <row r="1441">
          <cell r="A1441">
            <v>1435</v>
          </cell>
          <cell r="C1441">
            <v>7.7932954904519347E-3</v>
          </cell>
        </row>
        <row r="1442">
          <cell r="A1442">
            <v>1436</v>
          </cell>
          <cell r="C1442">
            <v>7.7932954904519347E-3</v>
          </cell>
        </row>
        <row r="1443">
          <cell r="A1443">
            <v>1437</v>
          </cell>
          <cell r="C1443">
            <v>7.7932954904519347E-3</v>
          </cell>
        </row>
        <row r="1444">
          <cell r="A1444">
            <v>1438</v>
          </cell>
          <cell r="C1444">
            <v>7.7932954904519347E-3</v>
          </cell>
        </row>
        <row r="1445">
          <cell r="A1445">
            <v>1439</v>
          </cell>
          <cell r="C1445">
            <v>7.7932954904519347E-3</v>
          </cell>
        </row>
        <row r="1446">
          <cell r="A1446">
            <v>1440</v>
          </cell>
          <cell r="C1446">
            <v>7.7932954904519347E-3</v>
          </cell>
        </row>
        <row r="1447">
          <cell r="A1447">
            <v>1441</v>
          </cell>
          <cell r="C1447">
            <v>7.7932954904519347E-3</v>
          </cell>
        </row>
        <row r="1448">
          <cell r="A1448">
            <v>1442</v>
          </cell>
          <cell r="C1448">
            <v>7.7932954904519347E-3</v>
          </cell>
        </row>
        <row r="1449">
          <cell r="A1449">
            <v>1443</v>
          </cell>
          <cell r="C1449">
            <v>7.7932954904519347E-3</v>
          </cell>
        </row>
        <row r="1450">
          <cell r="A1450">
            <v>1444</v>
          </cell>
          <cell r="C1450">
            <v>7.7932954904519347E-3</v>
          </cell>
        </row>
        <row r="1451">
          <cell r="A1451">
            <v>1445</v>
          </cell>
          <cell r="C1451">
            <v>7.7932954904519347E-3</v>
          </cell>
        </row>
        <row r="1452">
          <cell r="A1452">
            <v>1446</v>
          </cell>
          <cell r="C1452">
            <v>7.7932954904519347E-3</v>
          </cell>
        </row>
        <row r="1453">
          <cell r="A1453">
            <v>1447</v>
          </cell>
          <cell r="C1453">
            <v>7.7932954904519347E-3</v>
          </cell>
        </row>
        <row r="1454">
          <cell r="A1454">
            <v>1448</v>
          </cell>
          <cell r="C1454">
            <v>7.7932954904519347E-3</v>
          </cell>
        </row>
        <row r="1455">
          <cell r="A1455">
            <v>1449</v>
          </cell>
          <cell r="C1455">
            <v>7.7932954904519347E-3</v>
          </cell>
        </row>
        <row r="1456">
          <cell r="A1456">
            <v>1450</v>
          </cell>
          <cell r="C1456">
            <v>7.7932954904519347E-3</v>
          </cell>
        </row>
        <row r="1457">
          <cell r="A1457">
            <v>1451</v>
          </cell>
          <cell r="C1457">
            <v>7.7932954904519347E-3</v>
          </cell>
        </row>
        <row r="1458">
          <cell r="A1458">
            <v>1452</v>
          </cell>
          <cell r="C1458">
            <v>7.7932954904519347E-3</v>
          </cell>
        </row>
        <row r="1459">
          <cell r="A1459">
            <v>1453</v>
          </cell>
          <cell r="C1459">
            <v>7.7932954904519347E-3</v>
          </cell>
        </row>
        <row r="1460">
          <cell r="A1460">
            <v>1454</v>
          </cell>
          <cell r="C1460">
            <v>7.7932954904519347E-3</v>
          </cell>
        </row>
        <row r="1461">
          <cell r="A1461">
            <v>1455</v>
          </cell>
          <cell r="C1461">
            <v>7.7932954904519347E-3</v>
          </cell>
        </row>
        <row r="1462">
          <cell r="A1462">
            <v>1456</v>
          </cell>
          <cell r="C1462">
            <v>7.7932954904519347E-3</v>
          </cell>
        </row>
        <row r="1463">
          <cell r="A1463">
            <v>1457</v>
          </cell>
          <cell r="C1463">
            <v>7.7932954904519347E-3</v>
          </cell>
        </row>
        <row r="1464">
          <cell r="A1464">
            <v>1458</v>
          </cell>
          <cell r="C1464">
            <v>7.7932954904519347E-3</v>
          </cell>
        </row>
        <row r="1465">
          <cell r="A1465">
            <v>1459</v>
          </cell>
          <cell r="C1465">
            <v>7.7932954904519347E-3</v>
          </cell>
        </row>
        <row r="1466">
          <cell r="A1466">
            <v>1460</v>
          </cell>
          <cell r="C1466">
            <v>7.7932954904519347E-3</v>
          </cell>
        </row>
        <row r="1467">
          <cell r="A1467">
            <v>1461</v>
          </cell>
          <cell r="C1467">
            <v>8.6630732958462575E-3</v>
          </cell>
        </row>
        <row r="1468">
          <cell r="A1468">
            <v>1462</v>
          </cell>
          <cell r="C1468">
            <v>8.6630732958462575E-3</v>
          </cell>
        </row>
        <row r="1469">
          <cell r="A1469">
            <v>1463</v>
          </cell>
          <cell r="C1469">
            <v>8.6630732958462575E-3</v>
          </cell>
        </row>
        <row r="1470">
          <cell r="A1470">
            <v>1464</v>
          </cell>
          <cell r="C1470">
            <v>8.6630732958462575E-3</v>
          </cell>
        </row>
        <row r="1471">
          <cell r="A1471">
            <v>1465</v>
          </cell>
          <cell r="C1471">
            <v>8.6630732958462575E-3</v>
          </cell>
        </row>
        <row r="1472">
          <cell r="A1472">
            <v>1466</v>
          </cell>
          <cell r="C1472">
            <v>8.6630732958462575E-3</v>
          </cell>
        </row>
        <row r="1473">
          <cell r="A1473">
            <v>1467</v>
          </cell>
          <cell r="C1473">
            <v>8.6630732958462575E-3</v>
          </cell>
        </row>
        <row r="1474">
          <cell r="A1474">
            <v>1468</v>
          </cell>
          <cell r="C1474">
            <v>8.6630732958462575E-3</v>
          </cell>
        </row>
        <row r="1475">
          <cell r="A1475">
            <v>1469</v>
          </cell>
          <cell r="C1475">
            <v>8.6630732958462575E-3</v>
          </cell>
        </row>
        <row r="1476">
          <cell r="A1476">
            <v>1470</v>
          </cell>
          <cell r="C1476">
            <v>8.6630732958462575E-3</v>
          </cell>
        </row>
        <row r="1477">
          <cell r="A1477">
            <v>1471</v>
          </cell>
          <cell r="C1477">
            <v>8.6630732958462575E-3</v>
          </cell>
        </row>
        <row r="1478">
          <cell r="A1478">
            <v>1472</v>
          </cell>
          <cell r="C1478">
            <v>8.6630732958462575E-3</v>
          </cell>
        </row>
        <row r="1479">
          <cell r="A1479">
            <v>1473</v>
          </cell>
          <cell r="C1479">
            <v>8.6630732958462575E-3</v>
          </cell>
        </row>
        <row r="1480">
          <cell r="A1480">
            <v>1474</v>
          </cell>
          <cell r="C1480">
            <v>8.6630732958462575E-3</v>
          </cell>
        </row>
        <row r="1481">
          <cell r="A1481">
            <v>1475</v>
          </cell>
          <cell r="C1481">
            <v>8.6630732958462575E-3</v>
          </cell>
        </row>
        <row r="1482">
          <cell r="A1482">
            <v>1476</v>
          </cell>
          <cell r="C1482">
            <v>8.6630732958462575E-3</v>
          </cell>
        </row>
        <row r="1483">
          <cell r="A1483">
            <v>1477</v>
          </cell>
          <cell r="C1483">
            <v>8.6630732958462575E-3</v>
          </cell>
        </row>
        <row r="1484">
          <cell r="A1484">
            <v>1478</v>
          </cell>
          <cell r="C1484">
            <v>8.6630732958462575E-3</v>
          </cell>
        </row>
        <row r="1485">
          <cell r="A1485">
            <v>1479</v>
          </cell>
          <cell r="C1485">
            <v>8.6630732958462575E-3</v>
          </cell>
        </row>
        <row r="1486">
          <cell r="A1486">
            <v>1480</v>
          </cell>
          <cell r="C1486">
            <v>8.6630732958462575E-3</v>
          </cell>
        </row>
        <row r="1487">
          <cell r="A1487">
            <v>1481</v>
          </cell>
          <cell r="C1487">
            <v>8.6630732958462575E-3</v>
          </cell>
        </row>
        <row r="1488">
          <cell r="A1488">
            <v>1482</v>
          </cell>
          <cell r="C1488">
            <v>8.6630732958462575E-3</v>
          </cell>
        </row>
        <row r="1489">
          <cell r="A1489">
            <v>1483</v>
          </cell>
          <cell r="C1489">
            <v>8.6630732958462575E-3</v>
          </cell>
        </row>
        <row r="1490">
          <cell r="A1490">
            <v>1484</v>
          </cell>
          <cell r="C1490">
            <v>8.6630732958462575E-3</v>
          </cell>
        </row>
        <row r="1491">
          <cell r="A1491">
            <v>1485</v>
          </cell>
          <cell r="C1491">
            <v>8.6630732958462575E-3</v>
          </cell>
        </row>
        <row r="1492">
          <cell r="A1492">
            <v>1486</v>
          </cell>
          <cell r="C1492">
            <v>8.6630732958462575E-3</v>
          </cell>
        </row>
        <row r="1493">
          <cell r="A1493">
            <v>1487</v>
          </cell>
          <cell r="C1493">
            <v>9.6093958858263218E-3</v>
          </cell>
        </row>
        <row r="1494">
          <cell r="A1494">
            <v>1488</v>
          </cell>
          <cell r="C1494">
            <v>9.6093958858263218E-3</v>
          </cell>
        </row>
        <row r="1495">
          <cell r="A1495">
            <v>1489</v>
          </cell>
          <cell r="C1495">
            <v>9.6093958858263218E-3</v>
          </cell>
        </row>
        <row r="1496">
          <cell r="A1496">
            <v>1490</v>
          </cell>
          <cell r="C1496">
            <v>9.6093958858263218E-3</v>
          </cell>
        </row>
        <row r="1497">
          <cell r="A1497">
            <v>1491</v>
          </cell>
          <cell r="C1497">
            <v>9.6093958858263218E-3</v>
          </cell>
        </row>
        <row r="1498">
          <cell r="A1498">
            <v>1492</v>
          </cell>
          <cell r="C1498">
            <v>9.6093958858263218E-3</v>
          </cell>
        </row>
        <row r="1499">
          <cell r="A1499">
            <v>1493</v>
          </cell>
          <cell r="C1499">
            <v>9.6093958858263218E-3</v>
          </cell>
        </row>
        <row r="1500">
          <cell r="A1500">
            <v>1494</v>
          </cell>
          <cell r="C1500">
            <v>9.6093958858263218E-3</v>
          </cell>
        </row>
        <row r="1501">
          <cell r="A1501">
            <v>1495</v>
          </cell>
          <cell r="C1501">
            <v>9.6093958858263218E-3</v>
          </cell>
        </row>
        <row r="1502">
          <cell r="A1502">
            <v>1496</v>
          </cell>
          <cell r="C1502">
            <v>9.6093958858263218E-3</v>
          </cell>
        </row>
        <row r="1503">
          <cell r="A1503">
            <v>1497</v>
          </cell>
          <cell r="C1503">
            <v>9.6093958858263218E-3</v>
          </cell>
        </row>
        <row r="1504">
          <cell r="A1504">
            <v>1498</v>
          </cell>
          <cell r="C1504">
            <v>9.6093958858263218E-3</v>
          </cell>
        </row>
        <row r="1505">
          <cell r="A1505">
            <v>1499</v>
          </cell>
          <cell r="C1505">
            <v>9.6093958858263218E-3</v>
          </cell>
        </row>
        <row r="1506">
          <cell r="A1506">
            <v>1500</v>
          </cell>
          <cell r="C1506">
            <v>9.6093958858263218E-3</v>
          </cell>
        </row>
        <row r="1507">
          <cell r="A1507">
            <v>1501</v>
          </cell>
          <cell r="C1507">
            <v>9.6093958858263218E-3</v>
          </cell>
        </row>
        <row r="1508">
          <cell r="A1508">
            <v>1502</v>
          </cell>
          <cell r="C1508">
            <v>9.6093958858263218E-3</v>
          </cell>
        </row>
        <row r="1509">
          <cell r="A1509">
            <v>1503</v>
          </cell>
          <cell r="C1509">
            <v>9.6093958858263218E-3</v>
          </cell>
        </row>
        <row r="1510">
          <cell r="A1510">
            <v>1504</v>
          </cell>
          <cell r="C1510">
            <v>9.6093958858263218E-3</v>
          </cell>
        </row>
        <row r="1511">
          <cell r="A1511">
            <v>1505</v>
          </cell>
          <cell r="C1511">
            <v>9.6093958858263218E-3</v>
          </cell>
        </row>
        <row r="1512">
          <cell r="A1512">
            <v>1506</v>
          </cell>
          <cell r="C1512">
            <v>9.6093958858263218E-3</v>
          </cell>
        </row>
        <row r="1513">
          <cell r="A1513">
            <v>1507</v>
          </cell>
          <cell r="C1513">
            <v>9.6093958858263218E-3</v>
          </cell>
        </row>
        <row r="1514">
          <cell r="A1514">
            <v>1508</v>
          </cell>
          <cell r="C1514">
            <v>9.6093958858263218E-3</v>
          </cell>
        </row>
        <row r="1515">
          <cell r="A1515">
            <v>1509</v>
          </cell>
          <cell r="C1515">
            <v>9.6093958858263218E-3</v>
          </cell>
        </row>
        <row r="1516">
          <cell r="A1516">
            <v>1510</v>
          </cell>
          <cell r="C1516">
            <v>9.6093958858263218E-3</v>
          </cell>
        </row>
        <row r="1517">
          <cell r="A1517">
            <v>1511</v>
          </cell>
          <cell r="C1517">
            <v>9.6093958858263218E-3</v>
          </cell>
        </row>
        <row r="1518">
          <cell r="A1518">
            <v>1512</v>
          </cell>
          <cell r="C1518">
            <v>9.6093958858263218E-3</v>
          </cell>
        </row>
        <row r="1519">
          <cell r="A1519">
            <v>1513</v>
          </cell>
          <cell r="C1519">
            <v>1.0634871448009675E-2</v>
          </cell>
        </row>
        <row r="1520">
          <cell r="A1520">
            <v>1514</v>
          </cell>
          <cell r="C1520">
            <v>1.0634871448009675E-2</v>
          </cell>
        </row>
        <row r="1521">
          <cell r="A1521">
            <v>1515</v>
          </cell>
          <cell r="C1521">
            <v>1.0634871448009675E-2</v>
          </cell>
        </row>
        <row r="1522">
          <cell r="A1522">
            <v>1516</v>
          </cell>
          <cell r="C1522">
            <v>1.0634871448009675E-2</v>
          </cell>
        </row>
        <row r="1523">
          <cell r="A1523">
            <v>1517</v>
          </cell>
          <cell r="C1523">
            <v>1.0634871448009675E-2</v>
          </cell>
        </row>
        <row r="1524">
          <cell r="A1524">
            <v>1518</v>
          </cell>
          <cell r="C1524">
            <v>1.0634871448009675E-2</v>
          </cell>
        </row>
        <row r="1525">
          <cell r="A1525">
            <v>1519</v>
          </cell>
          <cell r="C1525">
            <v>1.0634871448009675E-2</v>
          </cell>
        </row>
        <row r="1526">
          <cell r="A1526">
            <v>1520</v>
          </cell>
          <cell r="C1526">
            <v>1.0634871448009675E-2</v>
          </cell>
        </row>
        <row r="1527">
          <cell r="A1527">
            <v>1521</v>
          </cell>
          <cell r="C1527">
            <v>1.0634871448009675E-2</v>
          </cell>
        </row>
        <row r="1528">
          <cell r="A1528">
            <v>1522</v>
          </cell>
          <cell r="C1528">
            <v>1.0634871448009675E-2</v>
          </cell>
        </row>
        <row r="1529">
          <cell r="A1529">
            <v>1523</v>
          </cell>
          <cell r="C1529">
            <v>1.0634871448009675E-2</v>
          </cell>
        </row>
        <row r="1530">
          <cell r="A1530">
            <v>1524</v>
          </cell>
          <cell r="C1530">
            <v>1.0634871448009675E-2</v>
          </cell>
        </row>
        <row r="1531">
          <cell r="A1531">
            <v>1525</v>
          </cell>
          <cell r="C1531">
            <v>1.0634871448009675E-2</v>
          </cell>
        </row>
        <row r="1532">
          <cell r="A1532">
            <v>1526</v>
          </cell>
          <cell r="C1532">
            <v>1.0634871448009675E-2</v>
          </cell>
        </row>
        <row r="1533">
          <cell r="A1533">
            <v>1527</v>
          </cell>
          <cell r="C1533">
            <v>1.0634871448009675E-2</v>
          </cell>
        </row>
        <row r="1534">
          <cell r="A1534">
            <v>1528</v>
          </cell>
          <cell r="C1534">
            <v>1.0634871448009675E-2</v>
          </cell>
        </row>
        <row r="1535">
          <cell r="A1535">
            <v>1529</v>
          </cell>
          <cell r="C1535">
            <v>1.0634871448009675E-2</v>
          </cell>
        </row>
        <row r="1536">
          <cell r="A1536">
            <v>1530</v>
          </cell>
          <cell r="C1536">
            <v>1.0634871448009675E-2</v>
          </cell>
        </row>
        <row r="1537">
          <cell r="A1537">
            <v>1531</v>
          </cell>
          <cell r="C1537">
            <v>1.0634871448009675E-2</v>
          </cell>
        </row>
        <row r="1538">
          <cell r="A1538">
            <v>1532</v>
          </cell>
          <cell r="C1538">
            <v>1.0634871448009675E-2</v>
          </cell>
        </row>
        <row r="1539">
          <cell r="A1539">
            <v>1533</v>
          </cell>
          <cell r="C1539">
            <v>1.0634871448009675E-2</v>
          </cell>
        </row>
        <row r="1540">
          <cell r="A1540">
            <v>1534</v>
          </cell>
          <cell r="C1540">
            <v>1.0634871448009675E-2</v>
          </cell>
        </row>
        <row r="1541">
          <cell r="A1541">
            <v>1535</v>
          </cell>
          <cell r="C1541">
            <v>1.0634871448009675E-2</v>
          </cell>
        </row>
        <row r="1542">
          <cell r="A1542">
            <v>1536</v>
          </cell>
          <cell r="C1542">
            <v>1.0634871448009675E-2</v>
          </cell>
        </row>
        <row r="1543">
          <cell r="A1543">
            <v>1537</v>
          </cell>
          <cell r="C1543">
            <v>1.0634871448009675E-2</v>
          </cell>
        </row>
        <row r="1544">
          <cell r="A1544">
            <v>1538</v>
          </cell>
          <cell r="C1544">
            <v>1.0634871448009675E-2</v>
          </cell>
        </row>
        <row r="1545">
          <cell r="A1545">
            <v>1539</v>
          </cell>
          <cell r="C1545">
            <v>1.1679056558138168E-2</v>
          </cell>
        </row>
        <row r="1546">
          <cell r="A1546">
            <v>1540</v>
          </cell>
          <cell r="C1546">
            <v>1.1679056558138168E-2</v>
          </cell>
        </row>
        <row r="1547">
          <cell r="A1547">
            <v>1541</v>
          </cell>
          <cell r="C1547">
            <v>1.1679056558138168E-2</v>
          </cell>
        </row>
        <row r="1548">
          <cell r="A1548">
            <v>1542</v>
          </cell>
          <cell r="C1548">
            <v>1.1679056558138168E-2</v>
          </cell>
        </row>
        <row r="1549">
          <cell r="A1549">
            <v>1543</v>
          </cell>
          <cell r="C1549">
            <v>1.1679056558138168E-2</v>
          </cell>
        </row>
        <row r="1550">
          <cell r="A1550">
            <v>1544</v>
          </cell>
          <cell r="C1550">
            <v>1.1679056558138168E-2</v>
          </cell>
        </row>
        <row r="1551">
          <cell r="A1551">
            <v>1545</v>
          </cell>
          <cell r="C1551">
            <v>1.1679056558138168E-2</v>
          </cell>
        </row>
        <row r="1552">
          <cell r="A1552">
            <v>1546</v>
          </cell>
          <cell r="C1552">
            <v>1.1679056558138168E-2</v>
          </cell>
        </row>
        <row r="1553">
          <cell r="A1553">
            <v>1547</v>
          </cell>
          <cell r="C1553">
            <v>1.1679056558138168E-2</v>
          </cell>
        </row>
        <row r="1554">
          <cell r="A1554">
            <v>1548</v>
          </cell>
          <cell r="C1554">
            <v>1.1679056558138168E-2</v>
          </cell>
        </row>
        <row r="1555">
          <cell r="A1555">
            <v>1549</v>
          </cell>
          <cell r="C1555">
            <v>1.1679056558138168E-2</v>
          </cell>
        </row>
        <row r="1556">
          <cell r="A1556">
            <v>1550</v>
          </cell>
          <cell r="C1556">
            <v>1.1679056558138168E-2</v>
          </cell>
        </row>
        <row r="1557">
          <cell r="A1557">
            <v>1551</v>
          </cell>
          <cell r="C1557">
            <v>1.1679056558138168E-2</v>
          </cell>
        </row>
        <row r="1558">
          <cell r="A1558">
            <v>1552</v>
          </cell>
          <cell r="C1558">
            <v>1.1679056558138168E-2</v>
          </cell>
        </row>
        <row r="1559">
          <cell r="A1559">
            <v>1553</v>
          </cell>
          <cell r="C1559">
            <v>1.1679056558138168E-2</v>
          </cell>
        </row>
        <row r="1560">
          <cell r="A1560">
            <v>1554</v>
          </cell>
          <cell r="C1560">
            <v>1.1679056558138168E-2</v>
          </cell>
        </row>
        <row r="1561">
          <cell r="A1561">
            <v>1555</v>
          </cell>
          <cell r="C1561">
            <v>1.1679056558138168E-2</v>
          </cell>
        </row>
        <row r="1562">
          <cell r="A1562">
            <v>1556</v>
          </cell>
          <cell r="C1562">
            <v>1.1679056558138168E-2</v>
          </cell>
        </row>
        <row r="1563">
          <cell r="A1563">
            <v>1557</v>
          </cell>
          <cell r="C1563">
            <v>1.1679056558138168E-2</v>
          </cell>
        </row>
        <row r="1564">
          <cell r="A1564">
            <v>1558</v>
          </cell>
          <cell r="C1564">
            <v>1.1679056558138168E-2</v>
          </cell>
        </row>
        <row r="1565">
          <cell r="A1565">
            <v>1559</v>
          </cell>
          <cell r="C1565">
            <v>1.1679056558138168E-2</v>
          </cell>
        </row>
        <row r="1566">
          <cell r="A1566">
            <v>1560</v>
          </cell>
          <cell r="C1566">
            <v>1.1679056558138168E-2</v>
          </cell>
        </row>
        <row r="1567">
          <cell r="A1567">
            <v>1561</v>
          </cell>
          <cell r="C1567">
            <v>1.1679056558138168E-2</v>
          </cell>
        </row>
        <row r="1568">
          <cell r="A1568">
            <v>1562</v>
          </cell>
          <cell r="C1568">
            <v>1.1679056558138168E-2</v>
          </cell>
        </row>
        <row r="1569">
          <cell r="A1569">
            <v>1563</v>
          </cell>
          <cell r="C1569">
            <v>1.1679056558138168E-2</v>
          </cell>
        </row>
        <row r="1570">
          <cell r="A1570">
            <v>1564</v>
          </cell>
          <cell r="C1570">
            <v>1.1679056558138168E-2</v>
          </cell>
        </row>
        <row r="1573">
          <cell r="W1573">
            <v>71572.788609602721</v>
          </cell>
          <cell r="Y1573">
            <v>14.28437256722496</v>
          </cell>
        </row>
      </sheetData>
      <sheetData sheetId="6">
        <row r="1573">
          <cell r="W1573">
            <v>74865.531671667981</v>
          </cell>
          <cell r="Y1573">
            <v>14.801259286659002</v>
          </cell>
        </row>
      </sheetData>
      <sheetData sheetId="7"/>
      <sheetData sheetId="8"/>
      <sheetData sheetId="9"/>
      <sheetData sheetId="10">
        <row r="1">
          <cell r="AF1">
            <v>60000</v>
          </cell>
        </row>
      </sheetData>
      <sheetData sheetId="11"/>
      <sheetData sheetId="12" refreshError="1"/>
      <sheetData sheetId="13" refreshError="1"/>
      <sheetData sheetId="14" refreshError="1"/>
      <sheetData sheetId="15" refreshError="1"/>
      <sheetData sheetId="16"/>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Macros"/>
    </sheetNames>
    <sheetDataSet>
      <sheetData sheetId="0"/>
      <sheetData sheetId="1"/>
      <sheetData sheetId="2">
        <row r="16">
          <cell r="B16">
            <v>0.02</v>
          </cell>
        </row>
        <row r="17">
          <cell r="B17">
            <v>0.02</v>
          </cell>
        </row>
        <row r="18">
          <cell r="B18">
            <v>0.04</v>
          </cell>
        </row>
        <row r="22">
          <cell r="B22">
            <v>-5.4909350000000003</v>
          </cell>
        </row>
        <row r="23">
          <cell r="B23">
            <v>-3.6702199999999997E-2</v>
          </cell>
        </row>
        <row r="24">
          <cell r="B24">
            <v>0.768536</v>
          </cell>
        </row>
      </sheetData>
      <sheetData sheetId="3"/>
      <sheetData sheetId="4"/>
      <sheetData sheetId="5"/>
      <sheetData sheetId="6"/>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Results"/>
      <sheetName val="Parameters"/>
      <sheetName val="Costs"/>
      <sheetName val="CPI"/>
      <sheetName val="LifeT"/>
      <sheetName val="1way"/>
      <sheetName val="CE plane"/>
      <sheetName val="CEA curves"/>
      <sheetName val="MC Results"/>
      <sheetName val="A - ADAMTS13so"/>
      <sheetName val="B-ADAMTS13ih"/>
      <sheetName val="C - PSSO"/>
      <sheetName val="D - PSIH"/>
      <sheetName val="TTPmodelv FINAL"/>
    </sheetNames>
    <definedNames>
      <definedName name="Analysis"/>
    </definedNames>
    <sheetDataSet>
      <sheetData sheetId="0"/>
      <sheetData sheetId="1"/>
      <sheetData sheetId="2"/>
      <sheetData sheetId="3"/>
      <sheetData sheetId="4"/>
      <sheetData sheetId="5">
        <row r="4">
          <cell r="A4">
            <v>0</v>
          </cell>
          <cell r="B4" t="str">
            <v>0-1</v>
          </cell>
          <cell r="C4">
            <v>6.5926676616072698E-3</v>
          </cell>
          <cell r="D4">
            <v>100000</v>
          </cell>
          <cell r="E4">
            <v>659.26678466796898</v>
          </cell>
          <cell r="F4">
            <v>99425.1171875</v>
          </cell>
          <cell r="G4">
            <v>7812388.5</v>
          </cell>
          <cell r="H4">
            <v>78.123886108398395</v>
          </cell>
          <cell r="I4">
            <v>1.8121904884334108E-5</v>
          </cell>
          <cell r="J4">
            <v>5.4364236864334892E-5</v>
          </cell>
        </row>
        <row r="5">
          <cell r="A5">
            <v>1</v>
          </cell>
          <cell r="B5" t="str">
            <v>1-2</v>
          </cell>
          <cell r="C5">
            <v>4.6089894021861299E-4</v>
          </cell>
          <cell r="D5">
            <v>99340.734375</v>
          </cell>
          <cell r="E5">
            <v>45.786037445068402</v>
          </cell>
          <cell r="F5">
            <v>99317.84375</v>
          </cell>
          <cell r="G5">
            <v>7712963.5</v>
          </cell>
          <cell r="H5">
            <v>77.641502380371094</v>
          </cell>
          <cell r="I5">
            <v>1.2630279089927849E-6</v>
          </cell>
          <cell r="J5">
            <v>3.7890765484105415E-6</v>
          </cell>
        </row>
        <row r="6">
          <cell r="A6">
            <v>2</v>
          </cell>
          <cell r="B6" t="str">
            <v>2-3</v>
          </cell>
          <cell r="C6">
            <v>2.80644453596324E-4</v>
          </cell>
          <cell r="D6">
            <v>99294.9453125</v>
          </cell>
          <cell r="E6">
            <v>27.866575241088899</v>
          </cell>
          <cell r="F6">
            <v>99281.015625</v>
          </cell>
          <cell r="G6">
            <v>7613646</v>
          </cell>
          <cell r="H6">
            <v>76.677078247070298</v>
          </cell>
          <cell r="I6">
            <v>7.6899682635758077E-7</v>
          </cell>
          <cell r="J6">
            <v>2.306987818001538E-6</v>
          </cell>
        </row>
        <row r="7">
          <cell r="A7">
            <v>3</v>
          </cell>
          <cell r="B7" t="str">
            <v>3-4</v>
          </cell>
          <cell r="C7">
            <v>2.1856676903553299E-4</v>
          </cell>
          <cell r="D7">
            <v>99267.078125</v>
          </cell>
          <cell r="E7">
            <v>21.696483612060501</v>
          </cell>
          <cell r="F7">
            <v>99256.234375</v>
          </cell>
          <cell r="G7">
            <v>7514365</v>
          </cell>
          <cell r="H7">
            <v>75.698463439941406</v>
          </cell>
          <cell r="I7">
            <v>5.9887851570625458E-7</v>
          </cell>
          <cell r="J7">
            <v>1.7966339331820791E-6</v>
          </cell>
        </row>
        <row r="8">
          <cell r="A8">
            <v>4</v>
          </cell>
          <cell r="B8" t="str">
            <v>4-5</v>
          </cell>
          <cell r="C8">
            <v>1.7189435311593099E-4</v>
          </cell>
          <cell r="D8">
            <v>99245.3828125</v>
          </cell>
          <cell r="E8">
            <v>17.059720993041999</v>
          </cell>
          <cell r="F8">
            <v>99236.8515625</v>
          </cell>
          <cell r="G8">
            <v>7415108.5</v>
          </cell>
          <cell r="H8">
            <v>74.714897155761705</v>
          </cell>
          <cell r="I8">
            <v>4.709839140917584E-7</v>
          </cell>
          <cell r="J8">
            <v>1.4129507440729938E-6</v>
          </cell>
        </row>
        <row r="9">
          <cell r="A9">
            <v>5</v>
          </cell>
          <cell r="B9" t="str">
            <v>5-6</v>
          </cell>
          <cell r="C9">
            <v>1.5481082664337001E-4</v>
          </cell>
          <cell r="D9">
            <v>99228.3203125</v>
          </cell>
          <cell r="E9">
            <v>15.3616180419922</v>
          </cell>
          <cell r="F9">
            <v>99220.640625</v>
          </cell>
          <cell r="G9">
            <v>7315871.5</v>
          </cell>
          <cell r="H9">
            <v>73.727653503417997</v>
          </cell>
          <cell r="I9">
            <v>4.2417208514051785E-7</v>
          </cell>
          <cell r="J9">
            <v>1.2725154457937649E-6</v>
          </cell>
        </row>
        <row r="10">
          <cell r="A10">
            <v>6</v>
          </cell>
          <cell r="B10" t="str">
            <v>6-7</v>
          </cell>
          <cell r="C10">
            <v>1.3919359480496499E-4</v>
          </cell>
          <cell r="D10">
            <v>99212.9609375</v>
          </cell>
          <cell r="E10">
            <v>13.8098087310791</v>
          </cell>
          <cell r="F10">
            <v>99206.0546875</v>
          </cell>
          <cell r="G10">
            <v>7216651</v>
          </cell>
          <cell r="H10">
            <v>72.738990783691406</v>
          </cell>
          <cell r="I10">
            <v>3.8137885789706345E-7</v>
          </cell>
          <cell r="J10">
            <v>1.1441359191177725E-6</v>
          </cell>
        </row>
        <row r="11">
          <cell r="A11">
            <v>7</v>
          </cell>
          <cell r="B11" t="str">
            <v>7-8</v>
          </cell>
          <cell r="C11">
            <v>1.2574120773933801E-4</v>
          </cell>
          <cell r="D11">
            <v>99199.1484375</v>
          </cell>
          <cell r="E11">
            <v>12.4734210968018</v>
          </cell>
          <cell r="F11">
            <v>99192.90625</v>
          </cell>
          <cell r="G11">
            <v>7117445</v>
          </cell>
          <cell r="H11">
            <v>71.749053955078097</v>
          </cell>
          <cell r="I11">
            <v>3.4451812007603971E-7</v>
          </cell>
          <cell r="J11">
            <v>1.033553826079725E-6</v>
          </cell>
        </row>
        <row r="12">
          <cell r="A12">
            <v>8</v>
          </cell>
          <cell r="B12" t="str">
            <v>8-9</v>
          </cell>
          <cell r="C12">
            <v>1.1009148875018599E-4</v>
          </cell>
          <cell r="D12">
            <v>99186.671875</v>
          </cell>
          <cell r="E12">
            <v>10.919608116149901</v>
          </cell>
          <cell r="F12">
            <v>99181.2109375</v>
          </cell>
          <cell r="G12">
            <v>7018252</v>
          </cell>
          <cell r="H12">
            <v>70.758018493652301</v>
          </cell>
          <cell r="I12">
            <v>3.0163712126834182E-7</v>
          </cell>
          <cell r="J12">
            <v>9.0491095439126923E-7</v>
          </cell>
        </row>
        <row r="13">
          <cell r="A13">
            <v>9</v>
          </cell>
          <cell r="B13" t="str">
            <v>9-10</v>
          </cell>
          <cell r="C13">
            <v>9.3072776508051902E-5</v>
          </cell>
          <cell r="D13">
            <v>99175.75</v>
          </cell>
          <cell r="E13">
            <v>9.2305622100830096</v>
          </cell>
          <cell r="F13">
            <v>99171.1328125</v>
          </cell>
          <cell r="G13">
            <v>6919071</v>
          </cell>
          <cell r="H13">
            <v>69.765754699707003</v>
          </cell>
          <cell r="I13">
            <v>2.5500577547310425E-7</v>
          </cell>
          <cell r="J13">
            <v>7.6501703383247133E-7</v>
          </cell>
        </row>
        <row r="14">
          <cell r="A14">
            <v>10</v>
          </cell>
          <cell r="B14" t="str">
            <v>10-11</v>
          </cell>
          <cell r="C14">
            <v>8.1286802014801705E-5</v>
          </cell>
          <cell r="D14">
            <v>99166.515625</v>
          </cell>
          <cell r="E14">
            <v>8.0609292984008807</v>
          </cell>
          <cell r="F14">
            <v>99162.484375</v>
          </cell>
          <cell r="G14">
            <v>6819899.5</v>
          </cell>
          <cell r="H14">
            <v>68.772201538085895</v>
          </cell>
          <cell r="I14">
            <v>2.2271261908476395E-7</v>
          </cell>
          <cell r="J14">
            <v>6.6813763399675707E-7</v>
          </cell>
        </row>
        <row r="15">
          <cell r="A15">
            <v>11</v>
          </cell>
          <cell r="B15" t="str">
            <v>11-12</v>
          </cell>
          <cell r="C15">
            <v>8.6567728430964093E-5</v>
          </cell>
          <cell r="D15">
            <v>99158.453125</v>
          </cell>
          <cell r="E15">
            <v>8.58392238616943</v>
          </cell>
          <cell r="F15">
            <v>99154.15625</v>
          </cell>
          <cell r="G15">
            <v>6720737.5</v>
          </cell>
          <cell r="H15">
            <v>67.777755737304702</v>
          </cell>
          <cell r="I15">
            <v>2.3718212502198989E-7</v>
          </cell>
          <cell r="J15">
            <v>7.1154612191204336E-7</v>
          </cell>
        </row>
        <row r="16">
          <cell r="A16">
            <v>12</v>
          </cell>
          <cell r="B16" t="str">
            <v>12-13</v>
          </cell>
          <cell r="C16">
            <v>1.2263510143384299E-4</v>
          </cell>
          <cell r="D16">
            <v>99149.8671875</v>
          </cell>
          <cell r="E16">
            <v>12.159254074096699</v>
          </cell>
          <cell r="F16">
            <v>99143.7890625</v>
          </cell>
          <cell r="G16">
            <v>6621583</v>
          </cell>
          <cell r="H16">
            <v>66.783576965332003</v>
          </cell>
          <cell r="I16">
            <v>3.3600718282941535E-7</v>
          </cell>
          <cell r="J16">
            <v>1.008021040416196E-6</v>
          </cell>
        </row>
        <row r="17">
          <cell r="A17">
            <v>13</v>
          </cell>
          <cell r="B17" t="str">
            <v>13-14</v>
          </cell>
          <cell r="C17">
            <v>1.9562558736652101E-4</v>
          </cell>
          <cell r="D17">
            <v>99137.7109375</v>
          </cell>
          <cell r="E17">
            <v>19.393873214721701</v>
          </cell>
          <cell r="F17">
            <v>99128.015625</v>
          </cell>
          <cell r="G17">
            <v>6522439.5</v>
          </cell>
          <cell r="H17">
            <v>65.791709899902301</v>
          </cell>
          <cell r="I17">
            <v>5.3601294396600865E-7</v>
          </cell>
          <cell r="J17">
            <v>1.6080375390137291E-6</v>
          </cell>
        </row>
        <row r="18">
          <cell r="A18">
            <v>14</v>
          </cell>
          <cell r="B18" t="str">
            <v>14-15</v>
          </cell>
          <cell r="C18">
            <v>2.9290339443832598E-4</v>
          </cell>
          <cell r="D18">
            <v>99118.3203125</v>
          </cell>
          <cell r="E18">
            <v>29.0320930480957</v>
          </cell>
          <cell r="F18">
            <v>99103.8046875</v>
          </cell>
          <cell r="G18">
            <v>6423311.5</v>
          </cell>
          <cell r="H18">
            <v>64.804481506347699</v>
          </cell>
          <cell r="I18">
            <v>8.0259260004300968E-7</v>
          </cell>
          <cell r="J18">
            <v>2.4077749014583816E-6</v>
          </cell>
        </row>
        <row r="19">
          <cell r="A19">
            <v>15</v>
          </cell>
          <cell r="B19" t="str">
            <v>15-16</v>
          </cell>
          <cell r="C19">
            <v>3.95176524762064E-4</v>
          </cell>
          <cell r="D19">
            <v>99089.2890625</v>
          </cell>
          <cell r="E19">
            <v>39.157760620117202</v>
          </cell>
          <cell r="F19">
            <v>99069.7109375</v>
          </cell>
          <cell r="G19">
            <v>6324207.5</v>
          </cell>
          <cell r="H19">
            <v>63.823322296142599</v>
          </cell>
          <cell r="I19">
            <v>1.0828893906352623E-6</v>
          </cell>
          <cell r="J19">
            <v>3.2486628950278984E-6</v>
          </cell>
        </row>
        <row r="20">
          <cell r="A20">
            <v>16</v>
          </cell>
          <cell r="B20" t="str">
            <v>16-17</v>
          </cell>
          <cell r="C20">
            <v>4.9019238213077198E-4</v>
          </cell>
          <cell r="D20">
            <v>99050.1328125</v>
          </cell>
          <cell r="E20">
            <v>48.553619384765597</v>
          </cell>
          <cell r="F20">
            <v>99025.859375</v>
          </cell>
          <cell r="G20">
            <v>6225138</v>
          </cell>
          <cell r="H20">
            <v>62.848354339599602</v>
          </cell>
          <cell r="I20">
            <v>1.3433220977904223E-6</v>
          </cell>
          <cell r="J20">
            <v>4.0299581730574019E-6</v>
          </cell>
        </row>
        <row r="21">
          <cell r="A21">
            <v>17</v>
          </cell>
          <cell r="B21" t="str">
            <v>17-18</v>
          </cell>
          <cell r="C21">
            <v>5.8083201292902199E-4</v>
          </cell>
          <cell r="D21">
            <v>99001.578125</v>
          </cell>
          <cell r="E21">
            <v>57.503284454345703</v>
          </cell>
          <cell r="F21">
            <v>98972.828125</v>
          </cell>
          <cell r="G21">
            <v>6126112</v>
          </cell>
          <cell r="H21">
            <v>61.878932952880902</v>
          </cell>
          <cell r="I21">
            <v>1.591782907366398E-6</v>
          </cell>
          <cell r="J21">
            <v>4.7753373201286919E-6</v>
          </cell>
        </row>
        <row r="22">
          <cell r="A22">
            <v>18</v>
          </cell>
          <cell r="B22" t="str">
            <v>18-19</v>
          </cell>
          <cell r="C22">
            <v>6.6569802584126603E-4</v>
          </cell>
          <cell r="D22">
            <v>98944.078125</v>
          </cell>
          <cell r="E22">
            <v>65.866874694824205</v>
          </cell>
          <cell r="F22">
            <v>98911.140625</v>
          </cell>
          <cell r="G22">
            <v>6027139</v>
          </cell>
          <cell r="H22">
            <v>60.914600372314503</v>
          </cell>
          <cell r="I22">
            <v>1.8244375374157347E-6</v>
          </cell>
          <cell r="J22">
            <v>5.4732976336735462E-6</v>
          </cell>
        </row>
        <row r="23">
          <cell r="A23">
            <v>19</v>
          </cell>
          <cell r="B23" t="str">
            <v>19-20</v>
          </cell>
          <cell r="C23">
            <v>7.4600049993023298E-4</v>
          </cell>
          <cell r="D23">
            <v>98878.2109375</v>
          </cell>
          <cell r="E23">
            <v>73.763191223144503</v>
          </cell>
          <cell r="F23">
            <v>98841.328125</v>
          </cell>
          <cell r="G23">
            <v>5928228</v>
          </cell>
          <cell r="H23">
            <v>59.954845428466797</v>
          </cell>
          <cell r="I23">
            <v>2.0445997171723611E-6</v>
          </cell>
          <cell r="J23">
            <v>6.1337803397565338E-6</v>
          </cell>
        </row>
        <row r="24">
          <cell r="A24">
            <v>20</v>
          </cell>
          <cell r="B24" t="str">
            <v>20-21</v>
          </cell>
          <cell r="C24">
            <v>8.3191203884780396E-4</v>
          </cell>
          <cell r="D24">
            <v>98804.4453125</v>
          </cell>
          <cell r="E24">
            <v>82.196609497070298</v>
          </cell>
          <cell r="F24">
            <v>98763.34375</v>
          </cell>
          <cell r="G24">
            <v>5829386.5</v>
          </cell>
          <cell r="H24">
            <v>58.999233245849602</v>
          </cell>
          <cell r="I24">
            <v>2.2801596430239003E-6</v>
          </cell>
          <cell r="J24">
            <v>6.8404555330081607E-6</v>
          </cell>
        </row>
        <row r="25">
          <cell r="A25">
            <v>21</v>
          </cell>
          <cell r="B25" t="str">
            <v>21-22</v>
          </cell>
          <cell r="C25">
            <v>9.1451895423233498E-4</v>
          </cell>
          <cell r="D25">
            <v>98722.25</v>
          </cell>
          <cell r="E25">
            <v>90.283370971679702</v>
          </cell>
          <cell r="F25">
            <v>98677.109375</v>
          </cell>
          <cell r="G25">
            <v>5730623.5</v>
          </cell>
          <cell r="H25">
            <v>58.047943115234403</v>
          </cell>
          <cell r="I25">
            <v>2.5066777584034237E-6</v>
          </cell>
          <cell r="J25">
            <v>7.520004999816976E-6</v>
          </cell>
        </row>
        <row r="26">
          <cell r="A26">
            <v>22</v>
          </cell>
          <cell r="B26" t="str">
            <v>22-23</v>
          </cell>
          <cell r="C26">
            <v>9.7167165949940703E-4</v>
          </cell>
          <cell r="D26">
            <v>98631.96875</v>
          </cell>
          <cell r="E26">
            <v>95.837890625</v>
          </cell>
          <cell r="F26">
            <v>98584.046875</v>
          </cell>
          <cell r="G26">
            <v>5631946</v>
          </cell>
          <cell r="H26">
            <v>57.100612640380902</v>
          </cell>
          <cell r="I26">
            <v>2.6634083244637814E-6</v>
          </cell>
          <cell r="J26">
            <v>7.9901930516435016E-6</v>
          </cell>
        </row>
        <row r="27">
          <cell r="A27">
            <v>23</v>
          </cell>
          <cell r="B27" t="str">
            <v>23-24</v>
          </cell>
          <cell r="C27">
            <v>9.9273840896785303E-4</v>
          </cell>
          <cell r="D27">
            <v>98536.1328125</v>
          </cell>
          <cell r="E27">
            <v>97.820602416992202</v>
          </cell>
          <cell r="F27">
            <v>98487.21875</v>
          </cell>
          <cell r="G27">
            <v>5533362</v>
          </cell>
          <cell r="H27">
            <v>56.155662536621101</v>
          </cell>
          <cell r="I27">
            <v>2.7211821920808985E-6</v>
          </cell>
          <cell r="J27">
            <v>8.1635132546109546E-6</v>
          </cell>
        </row>
        <row r="28">
          <cell r="A28">
            <v>24</v>
          </cell>
          <cell r="B28" t="str">
            <v>24-25</v>
          </cell>
          <cell r="C28">
            <v>9.8723825067281701E-4</v>
          </cell>
          <cell r="D28">
            <v>98438.3125</v>
          </cell>
          <cell r="E28">
            <v>97.182067871093807</v>
          </cell>
          <cell r="F28">
            <v>98389.71875</v>
          </cell>
          <cell r="G28">
            <v>5434875</v>
          </cell>
          <cell r="H28">
            <v>55.210971832275398</v>
          </cell>
          <cell r="I28">
            <v>2.7060983324000944E-6</v>
          </cell>
          <cell r="J28">
            <v>8.1182620439435027E-6</v>
          </cell>
        </row>
        <row r="29">
          <cell r="A29">
            <v>25</v>
          </cell>
          <cell r="B29" t="str">
            <v>25-26</v>
          </cell>
          <cell r="C29">
            <v>9.7368127899244395E-4</v>
          </cell>
          <cell r="D29">
            <v>98341.1328125</v>
          </cell>
          <cell r="E29">
            <v>95.752922058105497</v>
          </cell>
          <cell r="F29">
            <v>98293.2578125</v>
          </cell>
          <cell r="G29">
            <v>5336485</v>
          </cell>
          <cell r="H29">
            <v>54.2650337219238</v>
          </cell>
          <cell r="I29">
            <v>2.6689194918768833E-6</v>
          </cell>
          <cell r="J29">
            <v>8.0067264216499012E-6</v>
          </cell>
        </row>
        <row r="30">
          <cell r="A30">
            <v>26</v>
          </cell>
          <cell r="B30" t="str">
            <v>26-27</v>
          </cell>
          <cell r="C30">
            <v>9.6609810134396E-4</v>
          </cell>
          <cell r="D30">
            <v>98245.3828125</v>
          </cell>
          <cell r="E30">
            <v>94.914680480957003</v>
          </cell>
          <cell r="F30">
            <v>98197.921875</v>
          </cell>
          <cell r="G30">
            <v>5238192</v>
          </cell>
          <cell r="H30">
            <v>53.317436218261697</v>
          </cell>
          <cell r="I30">
            <v>2.648123492877827E-6</v>
          </cell>
          <cell r="J30">
            <v>7.9443389222610961E-6</v>
          </cell>
        </row>
        <row r="31">
          <cell r="A31">
            <v>27</v>
          </cell>
          <cell r="B31" t="str">
            <v>27-28</v>
          </cell>
          <cell r="C31">
            <v>9.6410629339516195E-4</v>
          </cell>
          <cell r="D31">
            <v>98150.46875</v>
          </cell>
          <cell r="E31">
            <v>94.627487182617202</v>
          </cell>
          <cell r="F31">
            <v>98103.15625</v>
          </cell>
          <cell r="G31">
            <v>5139994</v>
          </cell>
          <cell r="H31">
            <v>52.3685111999512</v>
          </cell>
          <cell r="I31">
            <v>2.6426612131407497E-6</v>
          </cell>
          <cell r="J31">
            <v>7.9279522130493163E-6</v>
          </cell>
        </row>
        <row r="32">
          <cell r="A32">
            <v>28</v>
          </cell>
          <cell r="B32" t="str">
            <v>28-29</v>
          </cell>
          <cell r="C32">
            <v>9.7326294053345897E-4</v>
          </cell>
          <cell r="D32">
            <v>98055.84375</v>
          </cell>
          <cell r="E32">
            <v>95.434120178222699</v>
          </cell>
          <cell r="F32">
            <v>98008.125</v>
          </cell>
          <cell r="G32">
            <v>5041891</v>
          </cell>
          <cell r="H32">
            <v>51.418567657470703</v>
          </cell>
          <cell r="I32">
            <v>2.6677722422970718E-6</v>
          </cell>
          <cell r="J32">
            <v>8.0032847004085639E-6</v>
          </cell>
        </row>
        <row r="33">
          <cell r="A33">
            <v>29</v>
          </cell>
          <cell r="B33" t="str">
            <v>29-30</v>
          </cell>
          <cell r="C33">
            <v>9.9321070592850403E-4</v>
          </cell>
          <cell r="D33">
            <v>97960.40625</v>
          </cell>
          <cell r="E33">
            <v>97.295326232910199</v>
          </cell>
          <cell r="F33">
            <v>97911.7578125</v>
          </cell>
          <cell r="G33">
            <v>4943882.5</v>
          </cell>
          <cell r="H33">
            <v>50.468170166015597</v>
          </cell>
          <cell r="I33">
            <v>2.7224774425073769E-6</v>
          </cell>
          <cell r="J33">
            <v>8.1673989741348763E-6</v>
          </cell>
        </row>
        <row r="34">
          <cell r="A34">
            <v>30</v>
          </cell>
          <cell r="B34" t="str">
            <v>30-31</v>
          </cell>
          <cell r="C34">
            <v>1.0203240672126399E-3</v>
          </cell>
          <cell r="D34">
            <v>97863.109375</v>
          </cell>
          <cell r="E34">
            <v>99.852088928222699</v>
          </cell>
          <cell r="F34">
            <v>97813.1875</v>
          </cell>
          <cell r="G34">
            <v>4845971</v>
          </cell>
          <cell r="H34">
            <v>49.517852783203097</v>
          </cell>
          <cell r="I34">
            <v>2.7968354853647891E-6</v>
          </cell>
          <cell r="J34">
            <v>8.3904712558924288E-6</v>
          </cell>
        </row>
        <row r="35">
          <cell r="A35">
            <v>31</v>
          </cell>
          <cell r="B35" t="str">
            <v>31-32</v>
          </cell>
          <cell r="C35">
            <v>1.05207622982562E-3</v>
          </cell>
          <cell r="D35">
            <v>97763.2578125</v>
          </cell>
          <cell r="E35">
            <v>102.85440063476599</v>
          </cell>
          <cell r="F35">
            <v>97711.828125</v>
          </cell>
          <cell r="G35">
            <v>4748158</v>
          </cell>
          <cell r="H35">
            <v>48.567920684814503</v>
          </cell>
          <cell r="I35">
            <v>2.8839179465682627E-6</v>
          </cell>
          <cell r="J35">
            <v>8.6517164133992353E-6</v>
          </cell>
        </row>
        <row r="36">
          <cell r="A36">
            <v>32</v>
          </cell>
          <cell r="B36" t="str">
            <v>32-33</v>
          </cell>
          <cell r="C36">
            <v>1.0884562507271799E-3</v>
          </cell>
          <cell r="D36">
            <v>97660.40625</v>
          </cell>
          <cell r="E36">
            <v>106.29907989502</v>
          </cell>
          <cell r="F36">
            <v>97607.2578125</v>
          </cell>
          <cell r="G36">
            <v>4650446</v>
          </cell>
          <cell r="H36">
            <v>47.618541717529297</v>
          </cell>
          <cell r="I36">
            <v>2.9836960258302949E-6</v>
          </cell>
          <cell r="J36">
            <v>8.9510480165699846E-6</v>
          </cell>
        </row>
        <row r="37">
          <cell r="A37">
            <v>33</v>
          </cell>
          <cell r="B37" t="str">
            <v>33-34</v>
          </cell>
          <cell r="C37">
            <v>1.13412400241941E-3</v>
          </cell>
          <cell r="D37">
            <v>97554.109375</v>
          </cell>
          <cell r="E37">
            <v>110.638458251953</v>
          </cell>
          <cell r="F37">
            <v>97498.7890625</v>
          </cell>
          <cell r="G37">
            <v>4552838.5</v>
          </cell>
          <cell r="H37">
            <v>46.669879913330099</v>
          </cell>
          <cell r="I37">
            <v>3.1089523498922421E-6</v>
          </cell>
          <cell r="J37">
            <v>9.3268135546997755E-6</v>
          </cell>
        </row>
        <row r="38">
          <cell r="A38">
            <v>34</v>
          </cell>
          <cell r="B38" t="str">
            <v>34-35</v>
          </cell>
          <cell r="C38">
            <v>1.18345394730568E-3</v>
          </cell>
          <cell r="D38">
            <v>97443.46875</v>
          </cell>
          <cell r="E38">
            <v>115.319854736328</v>
          </cell>
          <cell r="F38">
            <v>97385.8125</v>
          </cell>
          <cell r="G38">
            <v>4455340</v>
          </cell>
          <cell r="H38">
            <v>45.722305297851598</v>
          </cell>
          <cell r="I38">
            <v>3.2442596764929739E-6</v>
          </cell>
          <cell r="J38">
            <v>9.7327316661566243E-6</v>
          </cell>
        </row>
        <row r="39">
          <cell r="A39">
            <v>35</v>
          </cell>
          <cell r="B39" t="str">
            <v>35-36</v>
          </cell>
          <cell r="C39">
            <v>1.2419635895639699E-3</v>
          </cell>
          <cell r="D39">
            <v>97328.1484375</v>
          </cell>
          <cell r="E39">
            <v>120.87801361084</v>
          </cell>
          <cell r="F39">
            <v>97267.7109375</v>
          </cell>
          <cell r="G39">
            <v>4357954</v>
          </cell>
          <cell r="H39">
            <v>44.775886535644503</v>
          </cell>
          <cell r="I39">
            <v>3.4047547000098548E-6</v>
          </cell>
          <cell r="J39">
            <v>1.0214211934589379E-5</v>
          </cell>
        </row>
        <row r="40">
          <cell r="A40">
            <v>36</v>
          </cell>
          <cell r="B40" t="str">
            <v>36-37</v>
          </cell>
          <cell r="C40">
            <v>1.3136452762409999E-3</v>
          </cell>
          <cell r="D40">
            <v>97207.2734375</v>
          </cell>
          <cell r="E40">
            <v>127.695877075195</v>
          </cell>
          <cell r="F40">
            <v>97143.421875</v>
          </cell>
          <cell r="G40">
            <v>4260686.5</v>
          </cell>
          <cell r="H40">
            <v>43.830944061279297</v>
          </cell>
          <cell r="I40">
            <v>3.6013941495312614E-6</v>
          </cell>
          <cell r="J40">
            <v>1.0804124083607647E-5</v>
          </cell>
        </row>
        <row r="41">
          <cell r="A41">
            <v>37</v>
          </cell>
          <cell r="B41" t="str">
            <v>37-38</v>
          </cell>
          <cell r="C41">
            <v>1.4003462856635499E-3</v>
          </cell>
          <cell r="D41">
            <v>97079.578125</v>
          </cell>
          <cell r="E41">
            <v>135.94502258300801</v>
          </cell>
          <cell r="F41">
            <v>97011.609375</v>
          </cell>
          <cell r="G41">
            <v>4163543</v>
          </cell>
          <cell r="H41">
            <v>42.887939453125</v>
          </cell>
          <cell r="I41">
            <v>3.8392539365244222E-6</v>
          </cell>
          <cell r="J41">
            <v>1.1517695480356416E-5</v>
          </cell>
        </row>
        <row r="42">
          <cell r="A42">
            <v>38</v>
          </cell>
          <cell r="B42" t="str">
            <v>38-39</v>
          </cell>
          <cell r="C42">
            <v>1.5066701453179099E-3</v>
          </cell>
          <cell r="D42">
            <v>96943.6328125</v>
          </cell>
          <cell r="E42">
            <v>146.06207275390599</v>
          </cell>
          <cell r="F42">
            <v>96870.6015625</v>
          </cell>
          <cell r="G42">
            <v>4066531.25</v>
          </cell>
          <cell r="H42">
            <v>41.947380065917997</v>
          </cell>
          <cell r="I42">
            <v>4.1309762031392125E-6</v>
          </cell>
          <cell r="J42">
            <v>1.2392851817422113E-5</v>
          </cell>
        </row>
        <row r="43">
          <cell r="A43">
            <v>39</v>
          </cell>
          <cell r="B43" t="str">
            <v>39-40</v>
          </cell>
          <cell r="C43">
            <v>1.6349499346688401E-3</v>
          </cell>
          <cell r="D43">
            <v>96797.5703125</v>
          </cell>
          <cell r="E43">
            <v>158.25918579101599</v>
          </cell>
          <cell r="F43">
            <v>96718.4375</v>
          </cell>
          <cell r="G43">
            <v>3969660.75</v>
          </cell>
          <cell r="H43">
            <v>41.009922027587898</v>
          </cell>
          <cell r="I43">
            <v>4.482980613358145E-6</v>
          </cell>
          <cell r="J43">
            <v>1.3448851403419226E-5</v>
          </cell>
        </row>
        <row r="44">
          <cell r="A44">
            <v>40</v>
          </cell>
          <cell r="B44" t="str">
            <v>40-41</v>
          </cell>
          <cell r="C44">
            <v>1.77702924702317E-3</v>
          </cell>
          <cell r="D44">
            <v>96639.3125</v>
          </cell>
          <cell r="E44">
            <v>171.730880737305</v>
          </cell>
          <cell r="F44">
            <v>96553.4453125</v>
          </cell>
          <cell r="G44">
            <v>3872942.25</v>
          </cell>
          <cell r="H44">
            <v>40.076259613037102</v>
          </cell>
          <cell r="I44">
            <v>4.8729042096235059E-6</v>
          </cell>
          <cell r="J44">
            <v>1.461860577600671E-5</v>
          </cell>
        </row>
        <row r="45">
          <cell r="A45">
            <v>41</v>
          </cell>
          <cell r="B45" t="str">
            <v>41-42</v>
          </cell>
          <cell r="C45">
            <v>1.9369648071005899E-3</v>
          </cell>
          <cell r="D45">
            <v>96467.578125</v>
          </cell>
          <cell r="E45">
            <v>186.85430908203099</v>
          </cell>
          <cell r="F45">
            <v>96374.15625</v>
          </cell>
          <cell r="G45">
            <v>3776388.75</v>
          </cell>
          <cell r="H45">
            <v>39.146713256835902</v>
          </cell>
          <cell r="I45">
            <v>5.3118990393051194E-6</v>
          </cell>
          <cell r="J45">
            <v>1.5935570145342304E-5</v>
          </cell>
        </row>
        <row r="46">
          <cell r="A46">
            <v>42</v>
          </cell>
          <cell r="B46" t="str">
            <v>42-43</v>
          </cell>
          <cell r="C46">
            <v>2.1276904735714201E-3</v>
          </cell>
          <cell r="D46">
            <v>96280.7265625</v>
          </cell>
          <cell r="E46">
            <v>204.85559082031199</v>
          </cell>
          <cell r="F46">
            <v>96178.296875</v>
          </cell>
          <cell r="G46">
            <v>3680014.75</v>
          </cell>
          <cell r="H46">
            <v>38.221717834472699</v>
          </cell>
          <cell r="I46">
            <v>5.8354992405799169E-6</v>
          </cell>
          <cell r="J46">
            <v>1.7506344483941838E-5</v>
          </cell>
        </row>
        <row r="47">
          <cell r="A47">
            <v>43</v>
          </cell>
          <cell r="B47" t="str">
            <v>43-44</v>
          </cell>
          <cell r="C47">
            <v>2.34844814985991E-3</v>
          </cell>
          <cell r="D47">
            <v>96075.8671875</v>
          </cell>
          <cell r="E47">
            <v>225.62919616699199</v>
          </cell>
          <cell r="F47">
            <v>95963.046875</v>
          </cell>
          <cell r="G47">
            <v>3583836.5</v>
          </cell>
          <cell r="H47">
            <v>37.302150726318402</v>
          </cell>
          <cell r="I47">
            <v>6.4416714499418928E-6</v>
          </cell>
          <cell r="J47">
            <v>1.9324827622901886E-5</v>
          </cell>
        </row>
        <row r="48">
          <cell r="A48">
            <v>44</v>
          </cell>
          <cell r="B48" t="str">
            <v>44-45</v>
          </cell>
          <cell r="C48">
            <v>2.58847116492689E-3</v>
          </cell>
          <cell r="D48">
            <v>95850.234375</v>
          </cell>
          <cell r="E48">
            <v>248.10556030273401</v>
          </cell>
          <cell r="F48">
            <v>95726.1796875</v>
          </cell>
          <cell r="G48">
            <v>3487873.25</v>
          </cell>
          <cell r="H48">
            <v>36.388782501220703</v>
          </cell>
          <cell r="I48">
            <v>7.100896023934045E-6</v>
          </cell>
          <cell r="J48">
            <v>2.1302461171157638E-5</v>
          </cell>
        </row>
        <row r="49">
          <cell r="A49">
            <v>45</v>
          </cell>
          <cell r="B49" t="str">
            <v>45-46</v>
          </cell>
          <cell r="C49">
            <v>2.8327582404017401E-3</v>
          </cell>
          <cell r="D49">
            <v>95602.125</v>
          </cell>
          <cell r="E49">
            <v>270.81771850585898</v>
          </cell>
          <cell r="F49">
            <v>95466.71875</v>
          </cell>
          <cell r="G49">
            <v>3392147.25</v>
          </cell>
          <cell r="H49">
            <v>35.481922149658203</v>
          </cell>
          <cell r="I49">
            <v>7.7719947762607252E-6</v>
          </cell>
          <cell r="J49">
            <v>2.3315712513349851E-5</v>
          </cell>
        </row>
        <row r="50">
          <cell r="A50">
            <v>46</v>
          </cell>
          <cell r="B50" t="str">
            <v>46-47</v>
          </cell>
          <cell r="C50">
            <v>3.0819245148450101E-3</v>
          </cell>
          <cell r="D50">
            <v>95331.3046875</v>
          </cell>
          <cell r="E50">
            <v>293.80389404296898</v>
          </cell>
          <cell r="F50">
            <v>95184.40625</v>
          </cell>
          <cell r="G50">
            <v>3296680.5</v>
          </cell>
          <cell r="H50">
            <v>34.581298828125</v>
          </cell>
          <cell r="I50">
            <v>8.4566669163051789E-6</v>
          </cell>
          <cell r="J50">
            <v>2.5369678933184758E-5</v>
          </cell>
        </row>
        <row r="51">
          <cell r="A51">
            <v>47</v>
          </cell>
          <cell r="B51" t="str">
            <v>47-48</v>
          </cell>
          <cell r="C51">
            <v>3.3499675337225199E-3</v>
          </cell>
          <cell r="D51">
            <v>95037.5</v>
          </cell>
          <cell r="E51">
            <v>318.37252807617199</v>
          </cell>
          <cell r="F51">
            <v>94878.3125</v>
          </cell>
          <cell r="G51">
            <v>3201496</v>
          </cell>
          <cell r="H51">
            <v>33.686660766601598</v>
          </cell>
          <cell r="I51">
            <v>9.1934006519393306E-6</v>
          </cell>
          <cell r="J51">
            <v>2.7579821625489664E-5</v>
          </cell>
        </row>
        <row r="52">
          <cell r="A52">
            <v>48</v>
          </cell>
          <cell r="B52" t="str">
            <v>48-49</v>
          </cell>
          <cell r="C52">
            <v>3.64693184383214E-3</v>
          </cell>
          <cell r="D52">
            <v>94719.125</v>
          </cell>
          <cell r="E52">
            <v>345.43420410156199</v>
          </cell>
          <cell r="F52">
            <v>94546.40625</v>
          </cell>
          <cell r="G52">
            <v>3106617.75</v>
          </cell>
          <cell r="H52">
            <v>32.798210144042997</v>
          </cell>
          <cell r="I52">
            <v>1.0009857841978303E-5</v>
          </cell>
          <cell r="J52">
            <v>3.0029122642827311E-5</v>
          </cell>
        </row>
        <row r="53">
          <cell r="A53">
            <v>49</v>
          </cell>
          <cell r="B53" t="str">
            <v>49-50</v>
          </cell>
          <cell r="C53">
            <v>3.9742202498018698E-3</v>
          </cell>
          <cell r="D53">
            <v>94373.6875</v>
          </cell>
          <cell r="E53">
            <v>375.06182861328102</v>
          </cell>
          <cell r="F53">
            <v>94186.15625</v>
          </cell>
          <cell r="G53">
            <v>3012071.25</v>
          </cell>
          <cell r="H53">
            <v>31.916431427001999</v>
          </cell>
          <cell r="I53">
            <v>1.0909968353900726E-5</v>
          </cell>
          <cell r="J53">
            <v>3.2729369444206569E-5</v>
          </cell>
        </row>
        <row r="54">
          <cell r="A54">
            <v>50</v>
          </cell>
          <cell r="B54" t="str">
            <v>50-51</v>
          </cell>
          <cell r="C54">
            <v>4.3310355395078702E-3</v>
          </cell>
          <cell r="D54">
            <v>93998.625</v>
          </cell>
          <cell r="E54">
            <v>407.11138916015602</v>
          </cell>
          <cell r="F54">
            <v>93795.0703125</v>
          </cell>
          <cell r="G54">
            <v>2917885.25</v>
          </cell>
          <cell r="H54">
            <v>31.041786193847699</v>
          </cell>
          <cell r="I54">
            <v>1.1891620938445498E-5</v>
          </cell>
          <cell r="J54">
            <v>3.5674226474990967E-5</v>
          </cell>
        </row>
        <row r="55">
          <cell r="A55">
            <v>51</v>
          </cell>
          <cell r="B55" t="str">
            <v>51-52</v>
          </cell>
          <cell r="C55">
            <v>4.7028707340359696E-3</v>
          </cell>
          <cell r="D55">
            <v>93591.515625</v>
          </cell>
          <cell r="E55">
            <v>440.14880371093801</v>
          </cell>
          <cell r="F55">
            <v>93371.4375</v>
          </cell>
          <cell r="G55">
            <v>2824090</v>
          </cell>
          <cell r="H55">
            <v>30.174636840820298</v>
          </cell>
          <cell r="I55">
            <v>1.2914969930078539E-5</v>
          </cell>
          <cell r="J55">
            <v>3.8744159215897689E-5</v>
          </cell>
        </row>
        <row r="56">
          <cell r="A56">
            <v>52</v>
          </cell>
          <cell r="B56" t="str">
            <v>52-53</v>
          </cell>
          <cell r="C56">
            <v>5.0800456665456304E-3</v>
          </cell>
          <cell r="D56">
            <v>93151.3671875</v>
          </cell>
          <cell r="E56">
            <v>473.21319580078102</v>
          </cell>
          <cell r="F56">
            <v>92914.765625</v>
          </cell>
          <cell r="G56">
            <v>2730718.75</v>
          </cell>
          <cell r="H56">
            <v>29.314853668212901</v>
          </cell>
          <cell r="I56">
            <v>1.3953405385552458E-5</v>
          </cell>
          <cell r="J56">
            <v>4.1859340029981595E-5</v>
          </cell>
        </row>
        <row r="57">
          <cell r="A57">
            <v>53</v>
          </cell>
          <cell r="B57" t="str">
            <v>53-54</v>
          </cell>
          <cell r="C57">
            <v>5.4548317566513998E-3</v>
          </cell>
          <cell r="D57">
            <v>92678.15625</v>
          </cell>
          <cell r="E57">
            <v>505.54376220703102</v>
          </cell>
          <cell r="F57">
            <v>92425.3828125</v>
          </cell>
          <cell r="G57">
            <v>2637804</v>
          </cell>
          <cell r="H57">
            <v>28.461982727050799</v>
          </cell>
          <cell r="I57">
            <v>1.4985653909302536E-5</v>
          </cell>
          <cell r="J57">
            <v>4.4955951178815567E-5</v>
          </cell>
        </row>
        <row r="58">
          <cell r="A58">
            <v>54</v>
          </cell>
          <cell r="B58" t="str">
            <v>54-55</v>
          </cell>
          <cell r="C58">
            <v>5.8371759951114698E-3</v>
          </cell>
          <cell r="D58">
            <v>92172.609375</v>
          </cell>
          <cell r="E58">
            <v>538.02777099609398</v>
          </cell>
          <cell r="F58">
            <v>91903.59375</v>
          </cell>
          <cell r="G58">
            <v>2545378.5</v>
          </cell>
          <cell r="H58">
            <v>27.6153469085693</v>
          </cell>
          <cell r="I58">
            <v>1.6039120258836008E-5</v>
          </cell>
          <cell r="J58">
            <v>4.8116203154924264E-5</v>
          </cell>
        </row>
        <row r="59">
          <cell r="A59">
            <v>55</v>
          </cell>
          <cell r="B59" t="str">
            <v>55-56</v>
          </cell>
          <cell r="C59">
            <v>6.2443758361041502E-3</v>
          </cell>
          <cell r="D59">
            <v>91634.578125</v>
          </cell>
          <cell r="E59">
            <v>572.20074462890602</v>
          </cell>
          <cell r="F59">
            <v>91348.4765625</v>
          </cell>
          <cell r="G59">
            <v>2453475</v>
          </cell>
          <cell r="H59">
            <v>26.7745552062988</v>
          </cell>
          <cell r="I59">
            <v>1.7161516420862166E-5</v>
          </cell>
          <cell r="J59">
            <v>5.1483223955872681E-5</v>
          </cell>
        </row>
        <row r="60">
          <cell r="A60">
            <v>56</v>
          </cell>
          <cell r="B60" t="str">
            <v>56-57</v>
          </cell>
          <cell r="C60">
            <v>6.6962433047592597E-3</v>
          </cell>
          <cell r="D60">
            <v>91062.375</v>
          </cell>
          <cell r="E60">
            <v>609.77581787109398</v>
          </cell>
          <cell r="F60">
            <v>90757.484375</v>
          </cell>
          <cell r="G60">
            <v>2362126.5</v>
          </cell>
          <cell r="H60">
            <v>25.939653396606399</v>
          </cell>
          <cell r="I60">
            <v>1.8407571871518502E-5</v>
          </cell>
          <cell r="J60">
            <v>5.5221190868426362E-5</v>
          </cell>
        </row>
        <row r="61">
          <cell r="A61">
            <v>57</v>
          </cell>
          <cell r="B61" t="str">
            <v>57-58</v>
          </cell>
          <cell r="C61">
            <v>7.2002462111413496E-3</v>
          </cell>
          <cell r="D61">
            <v>90452.6015625</v>
          </cell>
          <cell r="E61">
            <v>651.281005859375</v>
          </cell>
          <cell r="F61">
            <v>90126.9609375</v>
          </cell>
          <cell r="G61">
            <v>2271369</v>
          </cell>
          <cell r="H61">
            <v>25.111152648925799</v>
          </cell>
          <cell r="I61">
            <v>1.9798063256131686E-5</v>
          </cell>
          <cell r="J61">
            <v>5.939242596841865E-5</v>
          </cell>
        </row>
        <row r="62">
          <cell r="A62">
            <v>58</v>
          </cell>
          <cell r="B62" t="str">
            <v>58-59</v>
          </cell>
          <cell r="C62">
            <v>7.7673234045505498E-3</v>
          </cell>
          <cell r="D62">
            <v>89801.3203125</v>
          </cell>
          <cell r="E62">
            <v>697.515869140625</v>
          </cell>
          <cell r="F62">
            <v>89452.5625</v>
          </cell>
          <cell r="G62">
            <v>2181242</v>
          </cell>
          <cell r="H62">
            <v>24.2896423339844</v>
          </cell>
          <cell r="I62">
            <v>2.1363414194292876E-5</v>
          </cell>
          <cell r="J62">
            <v>6.4088188847177818E-5</v>
          </cell>
        </row>
        <row r="63">
          <cell r="A63">
            <v>59</v>
          </cell>
          <cell r="B63" t="str">
            <v>59-60</v>
          </cell>
          <cell r="C63">
            <v>8.3973100408911705E-3</v>
          </cell>
          <cell r="D63">
            <v>89103.8046875</v>
          </cell>
          <cell r="E63">
            <v>748.23229980468795</v>
          </cell>
          <cell r="F63">
            <v>88729.6875</v>
          </cell>
          <cell r="G63">
            <v>2091789.5</v>
          </cell>
          <cell r="H63">
            <v>23.475872039794901</v>
          </cell>
          <cell r="I63">
            <v>2.3103468708505173E-5</v>
          </cell>
          <cell r="J63">
            <v>6.9308004214785335E-5</v>
          </cell>
        </row>
        <row r="64">
          <cell r="A64">
            <v>60</v>
          </cell>
          <cell r="B64" t="str">
            <v>60-61</v>
          </cell>
          <cell r="C64">
            <v>9.0940305963158607E-3</v>
          </cell>
          <cell r="D64">
            <v>88355.5703125</v>
          </cell>
          <cell r="E64">
            <v>803.50823974609398</v>
          </cell>
          <cell r="F64">
            <v>87953.8125</v>
          </cell>
          <cell r="G64">
            <v>2003059.75</v>
          </cell>
          <cell r="H64">
            <v>22.6704406738281</v>
          </cell>
          <cell r="I64">
            <v>2.5029133455630936E-5</v>
          </cell>
          <cell r="J64">
            <v>7.5084581378614956E-5</v>
          </cell>
        </row>
        <row r="65">
          <cell r="A65">
            <v>61</v>
          </cell>
          <cell r="B65" t="str">
            <v>61-62</v>
          </cell>
          <cell r="C65">
            <v>9.8496954888105392E-3</v>
          </cell>
          <cell r="D65">
            <v>87552.0625</v>
          </cell>
          <cell r="E65">
            <v>862.36114501953102</v>
          </cell>
          <cell r="F65">
            <v>87120.8828125</v>
          </cell>
          <cell r="G65">
            <v>1915106</v>
          </cell>
          <cell r="H65">
            <v>21.8739109039307</v>
          </cell>
          <cell r="I65">
            <v>2.711924558584061E-5</v>
          </cell>
          <cell r="J65">
            <v>8.1354427306612465E-5</v>
          </cell>
        </row>
        <row r="66">
          <cell r="A66">
            <v>62</v>
          </cell>
          <cell r="B66" t="str">
            <v>62-63</v>
          </cell>
          <cell r="C66">
            <v>1.0658534243702901E-2</v>
          </cell>
          <cell r="D66">
            <v>86689.703125</v>
          </cell>
          <cell r="E66">
            <v>923.98516845703102</v>
          </cell>
          <cell r="F66">
            <v>86227.7109375</v>
          </cell>
          <cell r="G66">
            <v>1827985.125</v>
          </cell>
          <cell r="H66">
            <v>21.086530685424801</v>
          </cell>
          <cell r="I66">
            <v>2.9358200801881225E-5</v>
          </cell>
          <cell r="J66">
            <v>8.8070723951672036E-5</v>
          </cell>
        </row>
        <row r="67">
          <cell r="A67">
            <v>63</v>
          </cell>
          <cell r="B67" t="str">
            <v>63-64</v>
          </cell>
          <cell r="C67">
            <v>1.1524008587002799E-2</v>
          </cell>
          <cell r="D67">
            <v>85765.71875</v>
          </cell>
          <cell r="E67">
            <v>988.36486816406205</v>
          </cell>
          <cell r="F67">
            <v>85271.53125</v>
          </cell>
          <cell r="G67">
            <v>1741757.375</v>
          </cell>
          <cell r="H67">
            <v>20.3083171844482</v>
          </cell>
          <cell r="I67">
            <v>3.1755957710271205E-5</v>
          </cell>
          <cell r="J67">
            <v>9.5263335291084772E-5</v>
          </cell>
        </row>
        <row r="68">
          <cell r="A68">
            <v>64</v>
          </cell>
          <cell r="B68" t="str">
            <v>64-65</v>
          </cell>
          <cell r="C68">
            <v>1.2469750829041001E-2</v>
          </cell>
          <cell r="D68">
            <v>84777.3515625</v>
          </cell>
          <cell r="E68">
            <v>1057.15246582031</v>
          </cell>
          <cell r="F68">
            <v>84248.7734375</v>
          </cell>
          <cell r="G68">
            <v>1656485.875</v>
          </cell>
          <cell r="H68">
            <v>19.539249420166001</v>
          </cell>
          <cell r="I68">
            <v>3.4378494805904761E-5</v>
          </cell>
          <cell r="J68">
            <v>1.0313016613650028E-4</v>
          </cell>
        </row>
        <row r="69">
          <cell r="A69">
            <v>65</v>
          </cell>
          <cell r="B69" t="str">
            <v>65-66</v>
          </cell>
          <cell r="C69">
            <v>1.3556274585425901E-2</v>
          </cell>
          <cell r="D69">
            <v>83720.1953125</v>
          </cell>
          <cell r="E69">
            <v>1134.93395996094</v>
          </cell>
          <cell r="F69">
            <v>83152.7265625</v>
          </cell>
          <cell r="G69">
            <v>1572237</v>
          </cell>
          <cell r="H69">
            <v>18.7796630859375</v>
          </cell>
          <cell r="I69">
            <v>3.7394520096714449E-5</v>
          </cell>
          <cell r="J69">
            <v>1.1217726794987559E-4</v>
          </cell>
        </row>
        <row r="70">
          <cell r="A70">
            <v>66</v>
          </cell>
          <cell r="B70" t="str">
            <v>66-67</v>
          </cell>
          <cell r="C70">
            <v>1.4791352674365E-2</v>
          </cell>
          <cell r="D70">
            <v>82585.2578125</v>
          </cell>
          <cell r="E70">
            <v>1221.54772949219</v>
          </cell>
          <cell r="F70">
            <v>81974.484375</v>
          </cell>
          <cell r="G70">
            <v>1489084.375</v>
          </cell>
          <cell r="H70">
            <v>18.0308742523193</v>
          </cell>
          <cell r="I70">
            <v>4.0826946700425584E-5</v>
          </cell>
          <cell r="J70">
            <v>1.2247333962944751E-4</v>
          </cell>
        </row>
        <row r="71">
          <cell r="A71">
            <v>67</v>
          </cell>
          <cell r="B71" t="str">
            <v>67-68</v>
          </cell>
          <cell r="C71">
            <v>1.6127653419971501E-2</v>
          </cell>
          <cell r="D71">
            <v>81363.7109375</v>
          </cell>
          <cell r="E71">
            <v>1312.20568847656</v>
          </cell>
          <cell r="F71">
            <v>80707.609375</v>
          </cell>
          <cell r="G71">
            <v>1407109.875</v>
          </cell>
          <cell r="H71">
            <v>17.294071197509801</v>
          </cell>
          <cell r="I71">
            <v>4.4545532687030439E-5</v>
          </cell>
          <cell r="J71">
            <v>1.3362766908864288E-4</v>
          </cell>
        </row>
        <row r="72">
          <cell r="A72">
            <v>68</v>
          </cell>
          <cell r="B72" t="str">
            <v>68-69</v>
          </cell>
          <cell r="C72">
            <v>1.7525587230920799E-2</v>
          </cell>
          <cell r="D72">
            <v>80051.5078125</v>
          </cell>
          <cell r="E72">
            <v>1402.94970703125</v>
          </cell>
          <cell r="F72">
            <v>79350.03125</v>
          </cell>
          <cell r="G72">
            <v>1326402.25</v>
          </cell>
          <cell r="H72">
            <v>16.569360733032202</v>
          </cell>
          <cell r="I72">
            <v>4.8441037153344135E-5</v>
          </cell>
          <cell r="J72">
            <v>1.4531255256811093E-4</v>
          </cell>
        </row>
        <row r="73">
          <cell r="A73">
            <v>69</v>
          </cell>
          <cell r="B73" t="str">
            <v>69-70</v>
          </cell>
          <cell r="C73">
            <v>1.9016424193978299E-2</v>
          </cell>
          <cell r="D73">
            <v>78648.5546875</v>
          </cell>
          <cell r="E73">
            <v>1495.6142578125</v>
          </cell>
          <cell r="F73">
            <v>77900.75</v>
          </cell>
          <cell r="G73">
            <v>1247052.25</v>
          </cell>
          <cell r="H73">
            <v>15.856009483337401</v>
          </cell>
          <cell r="I73">
            <v>5.2601539327564772E-5</v>
          </cell>
          <cell r="J73">
            <v>1.5779216748890157E-4</v>
          </cell>
        </row>
        <row r="74">
          <cell r="A74">
            <v>70</v>
          </cell>
          <cell r="B74" t="str">
            <v>70-71</v>
          </cell>
          <cell r="C74">
            <v>2.06135008484125E-2</v>
          </cell>
          <cell r="D74">
            <v>77152.9375</v>
          </cell>
          <cell r="E74">
            <v>1590.39208984375</v>
          </cell>
          <cell r="F74">
            <v>76357.7421875</v>
          </cell>
          <cell r="G74">
            <v>1169151.5</v>
          </cell>
          <cell r="H74">
            <v>15.1536874771118</v>
          </cell>
          <cell r="I74">
            <v>5.7065546916563453E-5</v>
          </cell>
          <cell r="J74">
            <v>1.7118198744103807E-4</v>
          </cell>
        </row>
        <row r="75">
          <cell r="A75">
            <v>71</v>
          </cell>
          <cell r="B75" t="str">
            <v>71-72</v>
          </cell>
          <cell r="C75">
            <v>2.24697403609753E-2</v>
          </cell>
          <cell r="D75">
            <v>75562.546875</v>
          </cell>
          <cell r="E75">
            <v>1697.87084960938</v>
          </cell>
          <cell r="F75">
            <v>74713.609375</v>
          </cell>
          <cell r="G75">
            <v>1092793.75</v>
          </cell>
          <cell r="H75">
            <v>14.462108612060501</v>
          </cell>
          <cell r="I75">
            <v>6.2263099861076829E-5</v>
          </cell>
          <cell r="J75">
            <v>1.8677185554816234E-4</v>
          </cell>
        </row>
        <row r="76">
          <cell r="A76">
            <v>72</v>
          </cell>
          <cell r="B76" t="str">
            <v>72-73</v>
          </cell>
          <cell r="C76">
            <v>2.46576648205519E-2</v>
          </cell>
          <cell r="D76">
            <v>73864.6796875</v>
          </cell>
          <cell r="E76">
            <v>1821.33056640625</v>
          </cell>
          <cell r="F76">
            <v>72954.015625</v>
          </cell>
          <cell r="G76">
            <v>1018080.125</v>
          </cell>
          <cell r="H76">
            <v>13.783043861389199</v>
          </cell>
          <cell r="I76">
            <v>6.840207289170969E-5</v>
          </cell>
          <cell r="J76">
            <v>2.0518516531919939E-4</v>
          </cell>
        </row>
        <row r="77">
          <cell r="A77">
            <v>73</v>
          </cell>
          <cell r="B77" t="str">
            <v>73-74</v>
          </cell>
          <cell r="C77">
            <v>2.7107676491141298E-2</v>
          </cell>
          <cell r="D77">
            <v>72043.3515625</v>
          </cell>
          <cell r="E77">
            <v>1952.92785644531</v>
          </cell>
          <cell r="F77">
            <v>71066.890625</v>
          </cell>
          <cell r="G77">
            <v>945126.0625</v>
          </cell>
          <cell r="H77">
            <v>13.1188516616821</v>
          </cell>
          <cell r="I77">
            <v>7.5292787262093349E-5</v>
          </cell>
          <cell r="J77">
            <v>2.2585285318976744E-4</v>
          </cell>
        </row>
        <row r="78">
          <cell r="A78">
            <v>74</v>
          </cell>
          <cell r="B78" t="str">
            <v>74-75</v>
          </cell>
          <cell r="C78">
            <v>2.97419689595699E-2</v>
          </cell>
          <cell r="D78">
            <v>70090.421875</v>
          </cell>
          <cell r="E78">
            <v>2084.62719726562</v>
          </cell>
          <cell r="F78">
            <v>69048.109375</v>
          </cell>
          <cell r="G78">
            <v>874059.1875</v>
          </cell>
          <cell r="H78">
            <v>12.470451354980501</v>
          </cell>
          <cell r="I78">
            <v>8.2721182130345944E-5</v>
          </cell>
          <cell r="J78">
            <v>2.481327563651492E-4</v>
          </cell>
        </row>
        <row r="79">
          <cell r="A79">
            <v>75</v>
          </cell>
          <cell r="B79" t="str">
            <v>75-76</v>
          </cell>
          <cell r="C79">
            <v>3.2550495117902797E-2</v>
          </cell>
          <cell r="D79">
            <v>68005.796875</v>
          </cell>
          <cell r="E79">
            <v>2213.62231445312</v>
          </cell>
          <cell r="F79">
            <v>66898.984375</v>
          </cell>
          <cell r="G79">
            <v>805011.0625</v>
          </cell>
          <cell r="H79">
            <v>11.837388992309601</v>
          </cell>
          <cell r="I79">
            <v>9.0663141853558802E-5</v>
          </cell>
          <cell r="J79">
            <v>2.7195243979016848E-4</v>
          </cell>
        </row>
        <row r="80">
          <cell r="A80">
            <v>76</v>
          </cell>
          <cell r="B80" t="str">
            <v>76-77</v>
          </cell>
          <cell r="C80">
            <v>3.5608243197202703E-2</v>
          </cell>
          <cell r="D80">
            <v>65792.171875</v>
          </cell>
          <cell r="E80">
            <v>2342.74365234375</v>
          </cell>
          <cell r="F80">
            <v>64620.80078125</v>
          </cell>
          <cell r="G80">
            <v>738112.125</v>
          </cell>
          <cell r="H80">
            <v>11.218844413757299</v>
          </cell>
          <cell r="I80">
            <v>9.933611013539245E-5</v>
          </cell>
          <cell r="J80">
            <v>2.9796393033432178E-4</v>
          </cell>
        </row>
        <row r="81">
          <cell r="A81">
            <v>77</v>
          </cell>
          <cell r="B81" t="str">
            <v>77-78</v>
          </cell>
          <cell r="C81">
            <v>3.9071109145879697E-2</v>
          </cell>
          <cell r="D81">
            <v>63449.4296875</v>
          </cell>
          <cell r="E81">
            <v>2479.03955078125</v>
          </cell>
          <cell r="F81">
            <v>62209.91015625</v>
          </cell>
          <cell r="G81">
            <v>673491.3125</v>
          </cell>
          <cell r="H81">
            <v>10.6146154403687</v>
          </cell>
          <cell r="I81">
            <v>1.0919141835203331E-4</v>
          </cell>
          <cell r="J81">
            <v>3.2752060846774622E-4</v>
          </cell>
        </row>
        <row r="82">
          <cell r="A82">
            <v>78</v>
          </cell>
          <cell r="B82" t="str">
            <v>78-79</v>
          </cell>
          <cell r="C82">
            <v>4.3100927025079699E-2</v>
          </cell>
          <cell r="D82">
            <v>60970.390625</v>
          </cell>
          <cell r="E82">
            <v>2627.88037109375</v>
          </cell>
          <cell r="F82">
            <v>59656.453125</v>
          </cell>
          <cell r="G82">
            <v>611281.375</v>
          </cell>
          <cell r="H82">
            <v>10.025872230529799</v>
          </cell>
          <cell r="I82">
            <v>1.2070508212839518E-4</v>
          </cell>
          <cell r="J82">
            <v>3.6204969057251901E-4</v>
          </cell>
        </row>
        <row r="83">
          <cell r="A83">
            <v>79</v>
          </cell>
          <cell r="B83" t="str">
            <v>70-80</v>
          </cell>
          <cell r="C83">
            <v>4.7658722847700098E-2</v>
          </cell>
          <cell r="D83">
            <v>58342.51171875</v>
          </cell>
          <cell r="E83">
            <v>2780.52954101562</v>
          </cell>
          <cell r="F83">
            <v>56952.24609375</v>
          </cell>
          <cell r="G83">
            <v>551624.9375</v>
          </cell>
          <cell r="H83">
            <v>9.4549398422241193</v>
          </cell>
          <cell r="I83">
            <v>1.3378581925281357E-4</v>
          </cell>
          <cell r="J83">
            <v>4.0127692462854636E-4</v>
          </cell>
        </row>
        <row r="84">
          <cell r="A84">
            <v>80</v>
          </cell>
          <cell r="B84" t="str">
            <v>80-81</v>
          </cell>
          <cell r="C84">
            <v>5.2514709532260902E-2</v>
          </cell>
          <cell r="D84">
            <v>55561.98046875</v>
          </cell>
          <cell r="E84">
            <v>2917.8212890625</v>
          </cell>
          <cell r="F84">
            <v>54103.0703125</v>
          </cell>
          <cell r="G84">
            <v>494672.6875</v>
          </cell>
          <cell r="H84">
            <v>8.9030790328979492</v>
          </cell>
          <cell r="I84">
            <v>1.4779141566676732E-4</v>
          </cell>
          <cell r="J84">
            <v>4.4327597116367023E-4</v>
          </cell>
        </row>
        <row r="85">
          <cell r="A85">
            <v>81</v>
          </cell>
          <cell r="B85" t="str">
            <v>81-82</v>
          </cell>
          <cell r="C85">
            <v>5.76859898865223E-2</v>
          </cell>
          <cell r="D85">
            <v>52644.16015625</v>
          </cell>
          <cell r="E85">
            <v>3036.83056640625</v>
          </cell>
          <cell r="F85">
            <v>51125.7421875</v>
          </cell>
          <cell r="G85">
            <v>440569.625</v>
          </cell>
          <cell r="H85">
            <v>8.3688220977783203</v>
          </cell>
          <cell r="I85">
            <v>1.627855229672748E-4</v>
          </cell>
          <cell r="J85">
            <v>4.8823734224179294E-4</v>
          </cell>
        </row>
        <row r="86">
          <cell r="A86">
            <v>82</v>
          </cell>
          <cell r="B86" t="str">
            <v>82-83</v>
          </cell>
          <cell r="C86">
            <v>6.3566863536834703E-2</v>
          </cell>
          <cell r="D86">
            <v>49607.328125</v>
          </cell>
          <cell r="E86">
            <v>3153.38232421875</v>
          </cell>
          <cell r="F86">
            <v>48030.63671875</v>
          </cell>
          <cell r="G86">
            <v>389443.875</v>
          </cell>
          <cell r="H86">
            <v>7.8505311012268102</v>
          </cell>
          <cell r="I86">
            <v>1.7993741619160922E-4</v>
          </cell>
          <cell r="J86">
            <v>5.3966657615611702E-4</v>
          </cell>
        </row>
        <row r="87">
          <cell r="A87">
            <v>83</v>
          </cell>
          <cell r="B87" t="str">
            <v>83-84</v>
          </cell>
          <cell r="C87">
            <v>7.0563562214374501E-2</v>
          </cell>
          <cell r="D87">
            <v>46453.9453125</v>
          </cell>
          <cell r="E87">
            <v>3277.95581054688</v>
          </cell>
          <cell r="F87">
            <v>44814.96875</v>
          </cell>
          <cell r="G87">
            <v>341413.25</v>
          </cell>
          <cell r="H87">
            <v>7.3494997024536097</v>
          </cell>
          <cell r="I87">
            <v>2.0048454079760601E-4</v>
          </cell>
          <cell r="J87">
            <v>6.0127278541965978E-4</v>
          </cell>
        </row>
        <row r="88">
          <cell r="A88">
            <v>84</v>
          </cell>
          <cell r="B88" t="str">
            <v>84-85</v>
          </cell>
          <cell r="C88">
            <v>7.8249417245388003E-2</v>
          </cell>
          <cell r="D88">
            <v>43175.98828125</v>
          </cell>
          <cell r="E88">
            <v>3378.49584960938</v>
          </cell>
          <cell r="F88">
            <v>41486.7421875</v>
          </cell>
          <cell r="G88">
            <v>296598.28125</v>
          </cell>
          <cell r="H88">
            <v>6.8695192337036097</v>
          </cell>
          <cell r="I88">
            <v>2.2323454696372979E-4</v>
          </cell>
          <cell r="J88">
            <v>6.6947943946016331E-4</v>
          </cell>
        </row>
        <row r="89">
          <cell r="A89">
            <v>85</v>
          </cell>
          <cell r="B89" t="str">
            <v>85-86</v>
          </cell>
          <cell r="C89">
            <v>8.6853161454200703E-2</v>
          </cell>
          <cell r="D89">
            <v>39797.4921875</v>
          </cell>
          <cell r="E89">
            <v>3456.5380859375</v>
          </cell>
          <cell r="F89">
            <v>38069.22265625</v>
          </cell>
          <cell r="G89">
            <v>255111.53125</v>
          </cell>
          <cell r="H89">
            <v>6.4102416038513201</v>
          </cell>
          <cell r="I89">
            <v>2.4892761778421937E-4</v>
          </cell>
          <cell r="J89">
            <v>7.4650408043619443E-4</v>
          </cell>
        </row>
        <row r="90">
          <cell r="A90">
            <v>86</v>
          </cell>
          <cell r="B90" t="str">
            <v>86-87</v>
          </cell>
          <cell r="C90">
            <v>9.6795655786991106E-2</v>
          </cell>
          <cell r="D90">
            <v>36340.953125</v>
          </cell>
          <cell r="E90">
            <v>3517.646484375</v>
          </cell>
          <cell r="F90">
            <v>34582.12890625</v>
          </cell>
          <cell r="G90">
            <v>217042.3125</v>
          </cell>
          <cell r="H90">
            <v>5.9723892211914098</v>
          </cell>
          <cell r="I90">
            <v>2.7892179823678424E-4</v>
          </cell>
          <cell r="J90">
            <v>8.3641540417422888E-4</v>
          </cell>
        </row>
        <row r="91">
          <cell r="A91">
            <v>87</v>
          </cell>
          <cell r="B91" t="str">
            <v>87-88</v>
          </cell>
          <cell r="C91">
            <v>0.107835926115513</v>
          </cell>
          <cell r="D91">
            <v>32823.3046875</v>
          </cell>
          <cell r="E91">
            <v>3539.53149414062</v>
          </cell>
          <cell r="F91">
            <v>31053.5390625</v>
          </cell>
          <cell r="G91">
            <v>182460.171875</v>
          </cell>
          <cell r="H91">
            <v>5.55886030197144</v>
          </cell>
          <cell r="I91">
            <v>3.1261705201235054E-4</v>
          </cell>
          <cell r="J91">
            <v>9.3741151109283383E-4</v>
          </cell>
        </row>
        <row r="92">
          <cell r="A92">
            <v>88</v>
          </cell>
          <cell r="B92" t="str">
            <v>88-89</v>
          </cell>
          <cell r="C92">
            <v>0.119870565831661</v>
          </cell>
          <cell r="D92">
            <v>29283.7734375</v>
          </cell>
          <cell r="E92">
            <v>3510.26245117188</v>
          </cell>
          <cell r="F92">
            <v>27528.642578125</v>
          </cell>
          <cell r="G92">
            <v>151406.640625</v>
          </cell>
          <cell r="H92">
            <v>5.1703252792358398</v>
          </cell>
          <cell r="I92">
            <v>3.4982547409181909E-4</v>
          </cell>
          <cell r="J92">
            <v>1.0489259144934593E-3</v>
          </cell>
        </row>
        <row r="93">
          <cell r="A93">
            <v>89</v>
          </cell>
          <cell r="B93" t="str">
            <v>89-90</v>
          </cell>
          <cell r="C93">
            <v>0.13292878866195701</v>
          </cell>
          <cell r="D93">
            <v>25773.51171875</v>
          </cell>
          <cell r="E93">
            <v>3426.04174804688</v>
          </cell>
          <cell r="F93">
            <v>24060.4921875</v>
          </cell>
          <cell r="G93">
            <v>123878</v>
          </cell>
          <cell r="H93">
            <v>4.8064074516296396</v>
          </cell>
          <cell r="I93">
            <v>3.9077854859320785E-4</v>
          </cell>
          <cell r="J93">
            <v>1.1716487288050415E-3</v>
          </cell>
        </row>
        <row r="94">
          <cell r="A94">
            <v>90</v>
          </cell>
          <cell r="B94" t="str">
            <v>90-91</v>
          </cell>
          <cell r="C94">
            <v>0.14702703058719599</v>
          </cell>
          <cell r="D94">
            <v>22347.470703125</v>
          </cell>
          <cell r="E94">
            <v>3285.68237304688</v>
          </cell>
          <cell r="F94">
            <v>20704.62890625</v>
          </cell>
          <cell r="G94">
            <v>99817.5078125</v>
          </cell>
          <cell r="H94">
            <v>4.46661329269409</v>
          </cell>
          <cell r="I94">
            <v>4.3569156394626467E-4</v>
          </cell>
          <cell r="J94">
            <v>1.3062208417695675E-3</v>
          </cell>
        </row>
        <row r="95">
          <cell r="A95">
            <v>91</v>
          </cell>
          <cell r="B95" t="str">
            <v>91-92</v>
          </cell>
          <cell r="C95">
            <v>0.162166208028793</v>
          </cell>
          <cell r="D95">
            <v>19061.7890625</v>
          </cell>
          <cell r="E95">
            <v>3091.17797851562</v>
          </cell>
          <cell r="F95">
            <v>17516.19921875</v>
          </cell>
          <cell r="G95">
            <v>79112.875</v>
          </cell>
          <cell r="H95">
            <v>4.1503381729126003</v>
          </cell>
          <cell r="I95">
            <v>4.8475489618720333E-4</v>
          </cell>
          <cell r="J95">
            <v>1.4532077580837743E-3</v>
          </cell>
        </row>
        <row r="96">
          <cell r="A96">
            <v>92</v>
          </cell>
          <cell r="B96" t="str">
            <v>92-93</v>
          </cell>
          <cell r="C96">
            <v>0.17832928895950301</v>
          </cell>
          <cell r="D96">
            <v>15970.611328125</v>
          </cell>
          <cell r="E96">
            <v>2848.02783203125</v>
          </cell>
          <cell r="F96">
            <v>14546.59765625</v>
          </cell>
          <cell r="G96">
            <v>61596.67578125</v>
          </cell>
          <cell r="H96">
            <v>3.8568766117095898</v>
          </cell>
          <cell r="I96">
            <v>5.3812481925137015E-4</v>
          </cell>
          <cell r="J96">
            <v>1.6130720562580469E-3</v>
          </cell>
        </row>
        <row r="97">
          <cell r="A97">
            <v>93</v>
          </cell>
          <cell r="B97" t="str">
            <v>93-94</v>
          </cell>
          <cell r="C97">
            <v>0.19547912478446999</v>
          </cell>
          <cell r="D97">
            <v>13122.583984375</v>
          </cell>
          <cell r="E97">
            <v>2565.19116210938</v>
          </cell>
          <cell r="F97">
            <v>11839.98828125</v>
          </cell>
          <cell r="G97">
            <v>47050.078125</v>
          </cell>
          <cell r="H97">
            <v>3.58542776107788</v>
          </cell>
          <cell r="I97">
            <v>5.9591332828706344E-4</v>
          </cell>
          <cell r="J97">
            <v>1.7861429295827902E-3</v>
          </cell>
        </row>
        <row r="98">
          <cell r="A98">
            <v>94</v>
          </cell>
          <cell r="B98" t="str">
            <v>94-95</v>
          </cell>
          <cell r="C98">
            <v>0.21355700492858901</v>
          </cell>
          <cell r="D98">
            <v>10557.392578125</v>
          </cell>
          <cell r="E98">
            <v>2254.60522460938</v>
          </cell>
          <cell r="F98">
            <v>9430.08984375</v>
          </cell>
          <cell r="G98">
            <v>35210.08984375</v>
          </cell>
          <cell r="H98">
            <v>3.3351123332977299</v>
          </cell>
          <cell r="I98">
            <v>6.5817818728383334E-4</v>
          </cell>
          <cell r="J98">
            <v>1.9725864508985946E-3</v>
          </cell>
        </row>
        <row r="99">
          <cell r="A99">
            <v>95</v>
          </cell>
          <cell r="B99" t="str">
            <v>95-96</v>
          </cell>
          <cell r="C99">
            <v>0.23248185217380499</v>
          </cell>
          <cell r="D99">
            <v>8302.787109375</v>
          </cell>
          <cell r="E99">
            <v>1930.24731445312</v>
          </cell>
          <cell r="F99">
            <v>7337.66357421875</v>
          </cell>
          <cell r="G99">
            <v>25780.001953125</v>
          </cell>
          <cell r="H99">
            <v>3.1049816608428999</v>
          </cell>
          <cell r="I99">
            <v>7.2491275184707535E-4</v>
          </cell>
          <cell r="J99">
            <v>2.1723752256020967E-3</v>
          </cell>
        </row>
        <row r="100">
          <cell r="A100">
            <v>96</v>
          </cell>
          <cell r="B100" t="str">
            <v>96-97</v>
          </cell>
          <cell r="C100">
            <v>0.25215047597885099</v>
          </cell>
          <cell r="D100">
            <v>6372.5400390625</v>
          </cell>
          <cell r="E100">
            <v>1606.83898925781</v>
          </cell>
          <cell r="F100">
            <v>5569.12060546875</v>
          </cell>
          <cell r="G100">
            <v>18442.337890625</v>
          </cell>
          <cell r="H100">
            <v>2.89403247833252</v>
          </cell>
          <cell r="I100">
            <v>7.9603696531506645E-4</v>
          </cell>
          <cell r="J100">
            <v>2.3852616276937022E-3</v>
          </cell>
        </row>
        <row r="101">
          <cell r="A101">
            <v>97</v>
          </cell>
          <cell r="B101" t="str">
            <v>97-98</v>
          </cell>
          <cell r="C101">
            <v>0.27243900299072299</v>
          </cell>
          <cell r="D101">
            <v>4765.701171875</v>
          </cell>
          <cell r="E101">
            <v>1298.36291503906</v>
          </cell>
          <cell r="F101">
            <v>4116.51953125</v>
          </cell>
          <cell r="G101">
            <v>12873.216796875</v>
          </cell>
          <cell r="H101">
            <v>2.70122194290161</v>
          </cell>
          <cell r="I101">
            <v>8.7139024319169117E-4</v>
          </cell>
          <cell r="J101">
            <v>2.610756760820454E-3</v>
          </cell>
        </row>
        <row r="102">
          <cell r="A102">
            <v>98</v>
          </cell>
          <cell r="B102" t="str">
            <v>98-99</v>
          </cell>
          <cell r="C102">
            <v>0.29320529103279103</v>
          </cell>
          <cell r="D102">
            <v>3467.33837890625</v>
          </cell>
          <cell r="E102">
            <v>1016.64196777344</v>
          </cell>
          <cell r="F102">
            <v>2959.01733398438</v>
          </cell>
          <cell r="G102">
            <v>8756.697265625</v>
          </cell>
          <cell r="H102">
            <v>2.5254809856414799</v>
          </cell>
          <cell r="I102">
            <v>9.5072609441845183E-4</v>
          </cell>
          <cell r="J102">
            <v>2.8481146870605878E-3</v>
          </cell>
        </row>
        <row r="103">
          <cell r="A103">
            <v>99</v>
          </cell>
          <cell r="B103" t="str">
            <v>99-100</v>
          </cell>
          <cell r="C103">
            <v>0.31429252028465299</v>
          </cell>
          <cell r="D103">
            <v>2450.6962890625</v>
          </cell>
          <cell r="E103">
            <v>770.23553466796898</v>
          </cell>
          <cell r="F103">
            <v>2065.57861328125</v>
          </cell>
          <cell r="G103">
            <v>5797.68017578125</v>
          </cell>
          <cell r="H103">
            <v>2.3657276630401598</v>
          </cell>
          <cell r="I103">
            <v>1.0337100180982032E-3</v>
          </cell>
          <cell r="J103">
            <v>3.0963265172351262E-3</v>
          </cell>
        </row>
        <row r="104">
          <cell r="A104">
            <v>100</v>
          </cell>
          <cell r="B104" t="str">
            <v>100 and over</v>
          </cell>
          <cell r="C104">
            <v>1</v>
          </cell>
          <cell r="D104">
            <v>1680.46069335938</v>
          </cell>
          <cell r="E104">
            <v>1680.46069335938</v>
          </cell>
          <cell r="F104">
            <v>3732.10131835938</v>
          </cell>
          <cell r="G104">
            <v>3732.10131835938</v>
          </cell>
          <cell r="H104">
            <v>2.2208797931671098</v>
          </cell>
          <cell r="I104" t="e">
            <v>#NUM!</v>
          </cell>
          <cell r="J104" t="e">
            <v>#NUM!</v>
          </cell>
        </row>
      </sheetData>
      <sheetData sheetId="6"/>
      <sheetData sheetId="7" refreshError="1"/>
      <sheetData sheetId="8" refreshError="1"/>
      <sheetData sheetId="9"/>
      <sheetData sheetId="10"/>
      <sheetData sheetId="11"/>
      <sheetData sheetId="12"/>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hyperlink" Target="https://www.beckershospitalreview.com/finance/average-cost-per-inpatient-day-across-50-states.html"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9"/>
  <sheetViews>
    <sheetView topLeftCell="A10" workbookViewId="0"/>
  </sheetViews>
  <sheetFormatPr defaultRowHeight="15" x14ac:dyDescent="0.25"/>
  <sheetData>
    <row r="1" spans="1:6" x14ac:dyDescent="0.25">
      <c r="A1" s="1" t="s">
        <v>0</v>
      </c>
    </row>
    <row r="3" spans="1:6" ht="20.25" x14ac:dyDescent="0.3">
      <c r="F3" s="25" t="s">
        <v>15</v>
      </c>
    </row>
    <row r="5" spans="1:6" x14ac:dyDescent="0.25">
      <c r="F5" s="2" t="s">
        <v>1</v>
      </c>
    </row>
    <row r="6" spans="1:6" x14ac:dyDescent="0.25">
      <c r="F6" s="2" t="s">
        <v>2</v>
      </c>
    </row>
    <row r="7" spans="1:6" x14ac:dyDescent="0.25">
      <c r="F7" s="2" t="s">
        <v>3</v>
      </c>
    </row>
    <row r="8" spans="1:6" x14ac:dyDescent="0.25">
      <c r="F8" s="2" t="s">
        <v>4</v>
      </c>
    </row>
    <row r="10" spans="1:6" x14ac:dyDescent="0.25">
      <c r="F10" s="3" t="s">
        <v>14</v>
      </c>
    </row>
    <row r="12" spans="1:6" x14ac:dyDescent="0.25">
      <c r="C12" t="s">
        <v>5</v>
      </c>
    </row>
    <row r="13" spans="1:6" x14ac:dyDescent="0.25">
      <c r="C13" t="s">
        <v>6</v>
      </c>
    </row>
    <row r="15" spans="1:6" x14ac:dyDescent="0.25">
      <c r="C15" t="s">
        <v>7</v>
      </c>
    </row>
    <row r="19" spans="3:3" x14ac:dyDescent="0.25">
      <c r="C19" t="s">
        <v>8</v>
      </c>
    </row>
    <row r="20" spans="3:3" x14ac:dyDescent="0.25">
      <c r="C20" t="s">
        <v>9</v>
      </c>
    </row>
    <row r="22" spans="3:3" x14ac:dyDescent="0.25">
      <c r="C22" t="s">
        <v>10</v>
      </c>
    </row>
    <row r="27" spans="3:3" x14ac:dyDescent="0.25">
      <c r="C27" t="s">
        <v>11</v>
      </c>
    </row>
    <row r="28" spans="3:3" x14ac:dyDescent="0.25">
      <c r="C28" t="s">
        <v>12</v>
      </c>
    </row>
    <row r="29" spans="3:3" x14ac:dyDescent="0.25">
      <c r="C29" t="s">
        <v>13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34"/>
  <sheetViews>
    <sheetView tabSelected="1" workbookViewId="0">
      <selection activeCell="R2" sqref="R2"/>
    </sheetView>
  </sheetViews>
  <sheetFormatPr defaultRowHeight="12.75" x14ac:dyDescent="0.2"/>
  <cols>
    <col min="1" max="1" width="5.85546875" style="72" customWidth="1"/>
    <col min="2" max="2" width="4.7109375" style="72" customWidth="1"/>
    <col min="3" max="3" width="14.140625" style="72" customWidth="1"/>
    <col min="4" max="4" width="21.5703125" style="72" customWidth="1"/>
    <col min="5" max="5" width="9.140625" style="72"/>
    <col min="6" max="6" width="4" style="72" customWidth="1"/>
    <col min="7" max="7" width="5" style="72" customWidth="1"/>
    <col min="8" max="8" width="5.28515625" style="72" customWidth="1"/>
    <col min="9" max="9" width="15.7109375" style="72" customWidth="1"/>
    <col min="10" max="10" width="13.140625" style="72" customWidth="1"/>
    <col min="11" max="11" width="9.140625" style="72"/>
    <col min="12" max="12" width="5.140625" style="72" customWidth="1"/>
    <col min="13" max="16384" width="9.140625" style="72"/>
  </cols>
  <sheetData>
    <row r="1" spans="1:12" ht="15.75" x14ac:dyDescent="0.25">
      <c r="A1" s="71" t="s">
        <v>157</v>
      </c>
    </row>
    <row r="3" spans="1:12" ht="15" x14ac:dyDescent="0.25">
      <c r="B3" s="81" t="s">
        <v>146</v>
      </c>
      <c r="C3" s="82"/>
      <c r="D3" s="82"/>
      <c r="E3" s="82"/>
      <c r="F3" s="82"/>
      <c r="H3" s="83" t="s">
        <v>147</v>
      </c>
      <c r="I3" s="84"/>
      <c r="J3" s="84"/>
      <c r="K3" s="84"/>
      <c r="L3" s="84"/>
    </row>
    <row r="4" spans="1:12" ht="15" x14ac:dyDescent="0.25">
      <c r="B4" s="85"/>
      <c r="C4" s="85"/>
      <c r="D4" s="85"/>
      <c r="E4" s="85"/>
      <c r="F4" s="85"/>
      <c r="H4" s="86"/>
      <c r="I4" s="86"/>
      <c r="J4" s="86"/>
      <c r="K4" s="86"/>
      <c r="L4" s="86"/>
    </row>
    <row r="5" spans="1:12" ht="15" x14ac:dyDescent="0.25">
      <c r="B5" s="85"/>
      <c r="C5" s="87"/>
      <c r="D5" s="87" t="s">
        <v>43</v>
      </c>
      <c r="E5" s="88" t="s">
        <v>44</v>
      </c>
      <c r="F5" s="85"/>
      <c r="H5" s="86"/>
      <c r="I5" s="89"/>
      <c r="J5" s="89" t="s">
        <v>43</v>
      </c>
      <c r="K5" s="88" t="s">
        <v>44</v>
      </c>
      <c r="L5" s="86"/>
    </row>
    <row r="6" spans="1:12" ht="15" x14ac:dyDescent="0.25">
      <c r="B6" s="85"/>
      <c r="C6" s="87"/>
      <c r="D6" s="85"/>
      <c r="E6" s="85"/>
      <c r="F6" s="85"/>
      <c r="H6" s="86"/>
      <c r="I6" s="86"/>
      <c r="J6" s="86"/>
      <c r="K6" s="86"/>
      <c r="L6" s="86"/>
    </row>
    <row r="7" spans="1:12" ht="15" x14ac:dyDescent="0.25">
      <c r="B7" s="85"/>
      <c r="C7" s="90" t="s">
        <v>46</v>
      </c>
      <c r="D7" s="91">
        <f>FEIBAcost</f>
        <v>3241.8628930731556</v>
      </c>
      <c r="E7" s="92">
        <f>FEIBAQALY</f>
        <v>4.2985322254851717</v>
      </c>
      <c r="F7" s="93"/>
      <c r="H7" s="86"/>
      <c r="I7" s="90" t="s">
        <v>46</v>
      </c>
      <c r="J7" s="91">
        <f>Simulation!P1007</f>
        <v>17132.639630051781</v>
      </c>
      <c r="K7" s="92">
        <f>Simulation!O1007</f>
        <v>4.0273748831705278</v>
      </c>
      <c r="L7" s="96"/>
    </row>
    <row r="8" spans="1:12" ht="15" x14ac:dyDescent="0.25">
      <c r="B8" s="85"/>
      <c r="C8" s="90" t="s">
        <v>158</v>
      </c>
      <c r="D8" s="91">
        <f>rFVIIaCost</f>
        <v>7700.5188020264486</v>
      </c>
      <c r="E8" s="92">
        <f>rFVIIaQALY</f>
        <v>4.3137119068922383</v>
      </c>
      <c r="F8" s="93"/>
      <c r="H8" s="86"/>
      <c r="I8" s="90" t="s">
        <v>158</v>
      </c>
      <c r="J8" s="91">
        <f>Simulation!R1007</f>
        <v>39281.341060516897</v>
      </c>
      <c r="K8" s="92">
        <f>Simulation!Q1007</f>
        <v>4.2297345264576469</v>
      </c>
      <c r="L8" s="96"/>
    </row>
    <row r="9" spans="1:12" ht="15" x14ac:dyDescent="0.25">
      <c r="B9" s="85"/>
      <c r="C9" s="85" t="s">
        <v>150</v>
      </c>
      <c r="D9" s="91">
        <f>D8-D7</f>
        <v>4458.655908953293</v>
      </c>
      <c r="E9" s="92">
        <f>E8-E7</f>
        <v>1.5179681407066603E-2</v>
      </c>
      <c r="F9" s="93"/>
      <c r="H9" s="86"/>
      <c r="I9" s="85" t="s">
        <v>150</v>
      </c>
      <c r="J9" s="94">
        <f>J8-J7</f>
        <v>22148.701430465117</v>
      </c>
      <c r="K9" s="95">
        <f>K8-K7</f>
        <v>0.20235964328711908</v>
      </c>
      <c r="L9" s="96"/>
    </row>
    <row r="10" spans="1:12" ht="15" x14ac:dyDescent="0.25">
      <c r="B10" s="85"/>
      <c r="C10" s="85"/>
      <c r="D10" s="97"/>
      <c r="E10" s="98"/>
      <c r="F10" s="93"/>
      <c r="H10" s="86"/>
      <c r="I10" s="86"/>
      <c r="J10" s="99"/>
      <c r="K10" s="100"/>
      <c r="L10" s="96"/>
    </row>
    <row r="11" spans="1:12" ht="15" x14ac:dyDescent="0.25">
      <c r="B11" s="85"/>
      <c r="C11" s="85" t="s">
        <v>151</v>
      </c>
      <c r="D11" s="97"/>
      <c r="E11" s="98"/>
      <c r="F11" s="93"/>
      <c r="H11" s="85"/>
      <c r="I11" s="85" t="s">
        <v>151</v>
      </c>
      <c r="J11" s="97"/>
      <c r="K11" s="98"/>
      <c r="L11" s="93"/>
    </row>
    <row r="12" spans="1:12" ht="15" x14ac:dyDescent="0.25">
      <c r="B12" s="85"/>
      <c r="C12" s="90" t="s">
        <v>160</v>
      </c>
      <c r="D12" s="91">
        <f>D9/E9</f>
        <v>293725.26269738789</v>
      </c>
      <c r="E12" s="88" t="s">
        <v>153</v>
      </c>
      <c r="F12" s="85"/>
      <c r="H12" s="85"/>
      <c r="I12" s="90" t="s">
        <v>160</v>
      </c>
      <c r="J12" s="91">
        <f>J9/K9</f>
        <v>109452.16679908508</v>
      </c>
      <c r="K12" s="88" t="s">
        <v>153</v>
      </c>
      <c r="L12" s="85"/>
    </row>
    <row r="13" spans="1:12" ht="15" x14ac:dyDescent="0.25">
      <c r="B13" s="85"/>
      <c r="C13" s="85"/>
      <c r="D13" s="101"/>
      <c r="E13" s="85"/>
      <c r="F13" s="85"/>
      <c r="H13" s="85"/>
      <c r="I13" s="85"/>
      <c r="J13" s="101"/>
      <c r="K13" s="85"/>
      <c r="L13" s="85"/>
    </row>
    <row r="14" spans="1:12" ht="15" x14ac:dyDescent="0.25">
      <c r="B14" s="85"/>
      <c r="C14" s="85" t="s">
        <v>154</v>
      </c>
      <c r="D14" s="97"/>
      <c r="E14" s="98"/>
      <c r="F14" s="85"/>
      <c r="H14" s="85"/>
      <c r="I14" s="85" t="s">
        <v>154</v>
      </c>
      <c r="J14" s="97"/>
      <c r="K14" s="98"/>
      <c r="L14" s="85"/>
    </row>
    <row r="15" spans="1:12" ht="15" x14ac:dyDescent="0.25">
      <c r="B15" s="85"/>
      <c r="C15" s="85" t="s">
        <v>155</v>
      </c>
      <c r="D15" s="91">
        <f>50000</f>
        <v>50000</v>
      </c>
      <c r="E15" s="88" t="s">
        <v>153</v>
      </c>
      <c r="F15" s="85"/>
      <c r="H15" s="85"/>
      <c r="I15" s="85" t="s">
        <v>155</v>
      </c>
      <c r="J15" s="91">
        <v>50000</v>
      </c>
      <c r="K15" s="88" t="s">
        <v>153</v>
      </c>
      <c r="L15" s="85"/>
    </row>
    <row r="16" spans="1:12" ht="15" x14ac:dyDescent="0.25">
      <c r="B16" s="85"/>
      <c r="C16" s="90" t="s">
        <v>160</v>
      </c>
      <c r="D16" s="91">
        <f>D15*E9-D9</f>
        <v>-3699.6718385999629</v>
      </c>
      <c r="E16" s="88" t="s">
        <v>153</v>
      </c>
      <c r="F16" s="85"/>
      <c r="H16" s="85"/>
      <c r="I16" s="90" t="s">
        <v>160</v>
      </c>
      <c r="J16" s="91">
        <f>J15*K9-J9</f>
        <v>-12030.719266109163</v>
      </c>
      <c r="K16" s="88" t="s">
        <v>153</v>
      </c>
      <c r="L16" s="85"/>
    </row>
    <row r="17" spans="2:12" ht="15" x14ac:dyDescent="0.25">
      <c r="B17" s="85"/>
      <c r="C17" s="85"/>
      <c r="D17" s="101"/>
      <c r="E17" s="85"/>
      <c r="F17" s="85"/>
      <c r="H17" s="85"/>
      <c r="I17" s="85"/>
      <c r="J17" s="101"/>
      <c r="K17" s="85"/>
      <c r="L17" s="85"/>
    </row>
    <row r="19" spans="2:12" hidden="1" x14ac:dyDescent="0.2"/>
    <row r="20" spans="2:12" hidden="1" x14ac:dyDescent="0.2">
      <c r="B20" s="81" t="s">
        <v>156</v>
      </c>
      <c r="C20" s="82"/>
      <c r="D20" s="82"/>
      <c r="E20" s="82"/>
      <c r="F20" s="82"/>
    </row>
    <row r="21" spans="2:12" hidden="1" x14ac:dyDescent="0.2">
      <c r="B21" s="85"/>
      <c r="C21" s="85"/>
      <c r="D21" s="85"/>
      <c r="E21" s="85"/>
      <c r="F21" s="85"/>
    </row>
    <row r="22" spans="2:12" hidden="1" x14ac:dyDescent="0.2">
      <c r="B22" s="85"/>
      <c r="C22" s="87"/>
      <c r="D22" s="87" t="s">
        <v>43</v>
      </c>
      <c r="E22" s="88" t="s">
        <v>44</v>
      </c>
      <c r="F22" s="85"/>
    </row>
    <row r="23" spans="2:12" hidden="1" x14ac:dyDescent="0.2">
      <c r="B23" s="85"/>
      <c r="C23" s="85"/>
      <c r="D23" s="85"/>
      <c r="E23" s="85"/>
      <c r="F23" s="85"/>
    </row>
    <row r="24" spans="2:12" ht="15" hidden="1" x14ac:dyDescent="0.25">
      <c r="B24" s="85"/>
      <c r="C24" s="90" t="s">
        <v>148</v>
      </c>
      <c r="D24" s="91"/>
      <c r="E24" s="92"/>
      <c r="F24" s="93"/>
    </row>
    <row r="25" spans="2:12" ht="15" hidden="1" x14ac:dyDescent="0.25">
      <c r="B25" s="85"/>
      <c r="C25" s="90" t="s">
        <v>149</v>
      </c>
      <c r="D25" s="91"/>
      <c r="E25" s="92"/>
      <c r="F25" s="93"/>
    </row>
    <row r="26" spans="2:12" ht="15" hidden="1" x14ac:dyDescent="0.25">
      <c r="B26" s="85"/>
      <c r="C26" s="85" t="s">
        <v>150</v>
      </c>
      <c r="D26" s="91">
        <f>D25-D24</f>
        <v>0</v>
      </c>
      <c r="E26" s="92">
        <f>E25-E24</f>
        <v>0</v>
      </c>
      <c r="F26" s="93"/>
    </row>
    <row r="27" spans="2:12" ht="15" hidden="1" x14ac:dyDescent="0.25">
      <c r="B27" s="85"/>
      <c r="C27" s="85"/>
      <c r="D27" s="97"/>
      <c r="E27" s="98"/>
      <c r="F27" s="93"/>
    </row>
    <row r="28" spans="2:12" ht="15" hidden="1" x14ac:dyDescent="0.25">
      <c r="B28" s="85"/>
      <c r="C28" s="85" t="s">
        <v>151</v>
      </c>
      <c r="D28" s="97"/>
      <c r="E28" s="98"/>
      <c r="F28" s="93"/>
    </row>
    <row r="29" spans="2:12" ht="15" hidden="1" x14ac:dyDescent="0.25">
      <c r="B29" s="85"/>
      <c r="C29" s="90" t="s">
        <v>152</v>
      </c>
      <c r="D29" s="91" t="e">
        <f>D26/E26</f>
        <v>#DIV/0!</v>
      </c>
      <c r="E29" s="88" t="s">
        <v>153</v>
      </c>
      <c r="F29" s="85"/>
    </row>
    <row r="30" spans="2:12" ht="15" hidden="1" x14ac:dyDescent="0.25">
      <c r="B30" s="85"/>
      <c r="C30" s="85"/>
      <c r="D30" s="101"/>
      <c r="E30" s="85"/>
      <c r="F30" s="85"/>
    </row>
    <row r="31" spans="2:12" ht="15" hidden="1" x14ac:dyDescent="0.25">
      <c r="B31" s="85"/>
      <c r="C31" s="85" t="s">
        <v>154</v>
      </c>
      <c r="D31" s="97"/>
      <c r="E31" s="98"/>
      <c r="F31" s="85"/>
    </row>
    <row r="32" spans="2:12" ht="15" hidden="1" x14ac:dyDescent="0.25">
      <c r="B32" s="85"/>
      <c r="C32" s="85" t="s">
        <v>155</v>
      </c>
      <c r="D32" s="91">
        <f>50000</f>
        <v>50000</v>
      </c>
      <c r="E32" s="88" t="s">
        <v>153</v>
      </c>
      <c r="F32" s="85"/>
    </row>
    <row r="33" spans="2:6" ht="15" hidden="1" x14ac:dyDescent="0.25">
      <c r="B33" s="85"/>
      <c r="C33" s="90" t="s">
        <v>152</v>
      </c>
      <c r="D33" s="91">
        <f>D32*E26-D26</f>
        <v>0</v>
      </c>
      <c r="E33" s="88" t="s">
        <v>153</v>
      </c>
      <c r="F33" s="85"/>
    </row>
    <row r="34" spans="2:6" ht="15" hidden="1" x14ac:dyDescent="0.25">
      <c r="B34" s="85"/>
      <c r="C34" s="85"/>
      <c r="D34" s="101"/>
      <c r="E34" s="85"/>
      <c r="F34" s="85"/>
    </row>
  </sheetData>
  <dataValidations count="1">
    <dataValidation type="whole" allowBlank="1" showInputMessage="1" showErrorMessage="1" sqref="WVQ983032 I65528 JE65528 TA65528 ACW65528 AMS65528 AWO65528 BGK65528 BQG65528 CAC65528 CJY65528 CTU65528 DDQ65528 DNM65528 DXI65528 EHE65528 ERA65528 FAW65528 FKS65528 FUO65528 GEK65528 GOG65528 GYC65528 HHY65528 HRU65528 IBQ65528 ILM65528 IVI65528 JFE65528 JPA65528 JYW65528 KIS65528 KSO65528 LCK65528 LMG65528 LWC65528 MFY65528 MPU65528 MZQ65528 NJM65528 NTI65528 ODE65528 ONA65528 OWW65528 PGS65528 PQO65528 QAK65528 QKG65528 QUC65528 RDY65528 RNU65528 RXQ65528 SHM65528 SRI65528 TBE65528 TLA65528 TUW65528 UES65528 UOO65528 UYK65528 VIG65528 VSC65528 WBY65528 WLU65528 WVQ65528 I131064 JE131064 TA131064 ACW131064 AMS131064 AWO131064 BGK131064 BQG131064 CAC131064 CJY131064 CTU131064 DDQ131064 DNM131064 DXI131064 EHE131064 ERA131064 FAW131064 FKS131064 FUO131064 GEK131064 GOG131064 GYC131064 HHY131064 HRU131064 IBQ131064 ILM131064 IVI131064 JFE131064 JPA131064 JYW131064 KIS131064 KSO131064 LCK131064 LMG131064 LWC131064 MFY131064 MPU131064 MZQ131064 NJM131064 NTI131064 ODE131064 ONA131064 OWW131064 PGS131064 PQO131064 QAK131064 QKG131064 QUC131064 RDY131064 RNU131064 RXQ131064 SHM131064 SRI131064 TBE131064 TLA131064 TUW131064 UES131064 UOO131064 UYK131064 VIG131064 VSC131064 WBY131064 WLU131064 WVQ131064 I196600 JE196600 TA196600 ACW196600 AMS196600 AWO196600 BGK196600 BQG196600 CAC196600 CJY196600 CTU196600 DDQ196600 DNM196600 DXI196600 EHE196600 ERA196600 FAW196600 FKS196600 FUO196600 GEK196600 GOG196600 GYC196600 HHY196600 HRU196600 IBQ196600 ILM196600 IVI196600 JFE196600 JPA196600 JYW196600 KIS196600 KSO196600 LCK196600 LMG196600 LWC196600 MFY196600 MPU196600 MZQ196600 NJM196600 NTI196600 ODE196600 ONA196600 OWW196600 PGS196600 PQO196600 QAK196600 QKG196600 QUC196600 RDY196600 RNU196600 RXQ196600 SHM196600 SRI196600 TBE196600 TLA196600 TUW196600 UES196600 UOO196600 UYK196600 VIG196600 VSC196600 WBY196600 WLU196600 WVQ196600 I262136 JE262136 TA262136 ACW262136 AMS262136 AWO262136 BGK262136 BQG262136 CAC262136 CJY262136 CTU262136 DDQ262136 DNM262136 DXI262136 EHE262136 ERA262136 FAW262136 FKS262136 FUO262136 GEK262136 GOG262136 GYC262136 HHY262136 HRU262136 IBQ262136 ILM262136 IVI262136 JFE262136 JPA262136 JYW262136 KIS262136 KSO262136 LCK262136 LMG262136 LWC262136 MFY262136 MPU262136 MZQ262136 NJM262136 NTI262136 ODE262136 ONA262136 OWW262136 PGS262136 PQO262136 QAK262136 QKG262136 QUC262136 RDY262136 RNU262136 RXQ262136 SHM262136 SRI262136 TBE262136 TLA262136 TUW262136 UES262136 UOO262136 UYK262136 VIG262136 VSC262136 WBY262136 WLU262136 WVQ262136 I327672 JE327672 TA327672 ACW327672 AMS327672 AWO327672 BGK327672 BQG327672 CAC327672 CJY327672 CTU327672 DDQ327672 DNM327672 DXI327672 EHE327672 ERA327672 FAW327672 FKS327672 FUO327672 GEK327672 GOG327672 GYC327672 HHY327672 HRU327672 IBQ327672 ILM327672 IVI327672 JFE327672 JPA327672 JYW327672 KIS327672 KSO327672 LCK327672 LMG327672 LWC327672 MFY327672 MPU327672 MZQ327672 NJM327672 NTI327672 ODE327672 ONA327672 OWW327672 PGS327672 PQO327672 QAK327672 QKG327672 QUC327672 RDY327672 RNU327672 RXQ327672 SHM327672 SRI327672 TBE327672 TLA327672 TUW327672 UES327672 UOO327672 UYK327672 VIG327672 VSC327672 WBY327672 WLU327672 WVQ327672 I393208 JE393208 TA393208 ACW393208 AMS393208 AWO393208 BGK393208 BQG393208 CAC393208 CJY393208 CTU393208 DDQ393208 DNM393208 DXI393208 EHE393208 ERA393208 FAW393208 FKS393208 FUO393208 GEK393208 GOG393208 GYC393208 HHY393208 HRU393208 IBQ393208 ILM393208 IVI393208 JFE393208 JPA393208 JYW393208 KIS393208 KSO393208 LCK393208 LMG393208 LWC393208 MFY393208 MPU393208 MZQ393208 NJM393208 NTI393208 ODE393208 ONA393208 OWW393208 PGS393208 PQO393208 QAK393208 QKG393208 QUC393208 RDY393208 RNU393208 RXQ393208 SHM393208 SRI393208 TBE393208 TLA393208 TUW393208 UES393208 UOO393208 UYK393208 VIG393208 VSC393208 WBY393208 WLU393208 WVQ393208 I458744 JE458744 TA458744 ACW458744 AMS458744 AWO458744 BGK458744 BQG458744 CAC458744 CJY458744 CTU458744 DDQ458744 DNM458744 DXI458744 EHE458744 ERA458744 FAW458744 FKS458744 FUO458744 GEK458744 GOG458744 GYC458744 HHY458744 HRU458744 IBQ458744 ILM458744 IVI458744 JFE458744 JPA458744 JYW458744 KIS458744 KSO458744 LCK458744 LMG458744 LWC458744 MFY458744 MPU458744 MZQ458744 NJM458744 NTI458744 ODE458744 ONA458744 OWW458744 PGS458744 PQO458744 QAK458744 QKG458744 QUC458744 RDY458744 RNU458744 RXQ458744 SHM458744 SRI458744 TBE458744 TLA458744 TUW458744 UES458744 UOO458744 UYK458744 VIG458744 VSC458744 WBY458744 WLU458744 WVQ458744 I524280 JE524280 TA524280 ACW524280 AMS524280 AWO524280 BGK524280 BQG524280 CAC524280 CJY524280 CTU524280 DDQ524280 DNM524280 DXI524280 EHE524280 ERA524280 FAW524280 FKS524280 FUO524280 GEK524280 GOG524280 GYC524280 HHY524280 HRU524280 IBQ524280 ILM524280 IVI524280 JFE524280 JPA524280 JYW524280 KIS524280 KSO524280 LCK524280 LMG524280 LWC524280 MFY524280 MPU524280 MZQ524280 NJM524280 NTI524280 ODE524280 ONA524280 OWW524280 PGS524280 PQO524280 QAK524280 QKG524280 QUC524280 RDY524280 RNU524280 RXQ524280 SHM524280 SRI524280 TBE524280 TLA524280 TUW524280 UES524280 UOO524280 UYK524280 VIG524280 VSC524280 WBY524280 WLU524280 WVQ524280 I589816 JE589816 TA589816 ACW589816 AMS589816 AWO589816 BGK589816 BQG589816 CAC589816 CJY589816 CTU589816 DDQ589816 DNM589816 DXI589816 EHE589816 ERA589816 FAW589816 FKS589816 FUO589816 GEK589816 GOG589816 GYC589816 HHY589816 HRU589816 IBQ589816 ILM589816 IVI589816 JFE589816 JPA589816 JYW589816 KIS589816 KSO589816 LCK589816 LMG589816 LWC589816 MFY589816 MPU589816 MZQ589816 NJM589816 NTI589816 ODE589816 ONA589816 OWW589816 PGS589816 PQO589816 QAK589816 QKG589816 QUC589816 RDY589816 RNU589816 RXQ589816 SHM589816 SRI589816 TBE589816 TLA589816 TUW589816 UES589816 UOO589816 UYK589816 VIG589816 VSC589816 WBY589816 WLU589816 WVQ589816 I655352 JE655352 TA655352 ACW655352 AMS655352 AWO655352 BGK655352 BQG655352 CAC655352 CJY655352 CTU655352 DDQ655352 DNM655352 DXI655352 EHE655352 ERA655352 FAW655352 FKS655352 FUO655352 GEK655352 GOG655352 GYC655352 HHY655352 HRU655352 IBQ655352 ILM655352 IVI655352 JFE655352 JPA655352 JYW655352 KIS655352 KSO655352 LCK655352 LMG655352 LWC655352 MFY655352 MPU655352 MZQ655352 NJM655352 NTI655352 ODE655352 ONA655352 OWW655352 PGS655352 PQO655352 QAK655352 QKG655352 QUC655352 RDY655352 RNU655352 RXQ655352 SHM655352 SRI655352 TBE655352 TLA655352 TUW655352 UES655352 UOO655352 UYK655352 VIG655352 VSC655352 WBY655352 WLU655352 WVQ655352 I720888 JE720888 TA720888 ACW720888 AMS720888 AWO720888 BGK720888 BQG720888 CAC720888 CJY720888 CTU720888 DDQ720888 DNM720888 DXI720888 EHE720888 ERA720888 FAW720888 FKS720888 FUO720888 GEK720888 GOG720888 GYC720888 HHY720888 HRU720888 IBQ720888 ILM720888 IVI720888 JFE720888 JPA720888 JYW720888 KIS720888 KSO720888 LCK720888 LMG720888 LWC720888 MFY720888 MPU720888 MZQ720888 NJM720888 NTI720888 ODE720888 ONA720888 OWW720888 PGS720888 PQO720888 QAK720888 QKG720888 QUC720888 RDY720888 RNU720888 RXQ720888 SHM720888 SRI720888 TBE720888 TLA720888 TUW720888 UES720888 UOO720888 UYK720888 VIG720888 VSC720888 WBY720888 WLU720888 WVQ720888 I786424 JE786424 TA786424 ACW786424 AMS786424 AWO786424 BGK786424 BQG786424 CAC786424 CJY786424 CTU786424 DDQ786424 DNM786424 DXI786424 EHE786424 ERA786424 FAW786424 FKS786424 FUO786424 GEK786424 GOG786424 GYC786424 HHY786424 HRU786424 IBQ786424 ILM786424 IVI786424 JFE786424 JPA786424 JYW786424 KIS786424 KSO786424 LCK786424 LMG786424 LWC786424 MFY786424 MPU786424 MZQ786424 NJM786424 NTI786424 ODE786424 ONA786424 OWW786424 PGS786424 PQO786424 QAK786424 QKG786424 QUC786424 RDY786424 RNU786424 RXQ786424 SHM786424 SRI786424 TBE786424 TLA786424 TUW786424 UES786424 UOO786424 UYK786424 VIG786424 VSC786424 WBY786424 WLU786424 WVQ786424 I851960 JE851960 TA851960 ACW851960 AMS851960 AWO851960 BGK851960 BQG851960 CAC851960 CJY851960 CTU851960 DDQ851960 DNM851960 DXI851960 EHE851960 ERA851960 FAW851960 FKS851960 FUO851960 GEK851960 GOG851960 GYC851960 HHY851960 HRU851960 IBQ851960 ILM851960 IVI851960 JFE851960 JPA851960 JYW851960 KIS851960 KSO851960 LCK851960 LMG851960 LWC851960 MFY851960 MPU851960 MZQ851960 NJM851960 NTI851960 ODE851960 ONA851960 OWW851960 PGS851960 PQO851960 QAK851960 QKG851960 QUC851960 RDY851960 RNU851960 RXQ851960 SHM851960 SRI851960 TBE851960 TLA851960 TUW851960 UES851960 UOO851960 UYK851960 VIG851960 VSC851960 WBY851960 WLU851960 WVQ851960 I917496 JE917496 TA917496 ACW917496 AMS917496 AWO917496 BGK917496 BQG917496 CAC917496 CJY917496 CTU917496 DDQ917496 DNM917496 DXI917496 EHE917496 ERA917496 FAW917496 FKS917496 FUO917496 GEK917496 GOG917496 GYC917496 HHY917496 HRU917496 IBQ917496 ILM917496 IVI917496 JFE917496 JPA917496 JYW917496 KIS917496 KSO917496 LCK917496 LMG917496 LWC917496 MFY917496 MPU917496 MZQ917496 NJM917496 NTI917496 ODE917496 ONA917496 OWW917496 PGS917496 PQO917496 QAK917496 QKG917496 QUC917496 RDY917496 RNU917496 RXQ917496 SHM917496 SRI917496 TBE917496 TLA917496 TUW917496 UES917496 UOO917496 UYK917496 VIG917496 VSC917496 WBY917496 WLU917496 WVQ917496 I983032 JE983032 TA983032 ACW983032 AMS983032 AWO983032 BGK983032 BQG983032 CAC983032 CJY983032 CTU983032 DDQ983032 DNM983032 DXI983032 EHE983032 ERA983032 FAW983032 FKS983032 FUO983032 GEK983032 GOG983032 GYC983032 HHY983032 HRU983032 IBQ983032 ILM983032 IVI983032 JFE983032 JPA983032 JYW983032 KIS983032 KSO983032 LCK983032 LMG983032 LWC983032 MFY983032 MPU983032 MZQ983032 NJM983032 NTI983032 ODE983032 ONA983032 OWW983032 PGS983032 PQO983032 QAK983032 QKG983032 QUC983032 RDY983032 RNU983032 RXQ983032 SHM983032 SRI983032 TBE983032 TLA983032 TUW983032 UES983032 UOO983032 UYK983032 VIG983032 VSC983032 WBY983032 WLU983032">
      <formula1>40</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Analysis">
                <anchor moveWithCells="1" sizeWithCells="1">
                  <from>
                    <xdr:col>9</xdr:col>
                    <xdr:colOff>504825</xdr:colOff>
                    <xdr:row>2</xdr:row>
                    <xdr:rowOff>47625</xdr:rowOff>
                  </from>
                  <to>
                    <xdr:col>11</xdr:col>
                    <xdr:colOff>466725</xdr:colOff>
                    <xdr:row>3</xdr:row>
                    <xdr:rowOff>123825</xdr:rowOff>
                  </to>
                </anchor>
              </controlPr>
            </control>
          </mc:Choice>
        </mc:AlternateContent>
        <mc:AlternateContent xmlns:mc="http://schemas.openxmlformats.org/markup-compatibility/2006">
          <mc:Choice Requires="x14">
            <control shapeId="10256" r:id="rId5" name="Option Button 16">
              <controlPr defaultSize="0" autoFill="0" autoLine="0" autoPict="0" macro="[0]!Deterministic_Click">
                <anchor moveWithCells="1">
                  <from>
                    <xdr:col>1</xdr:col>
                    <xdr:colOff>142875</xdr:colOff>
                    <xdr:row>36</xdr:row>
                    <xdr:rowOff>57150</xdr:rowOff>
                  </from>
                  <to>
                    <xdr:col>2</xdr:col>
                    <xdr:colOff>914400</xdr:colOff>
                    <xdr:row>37</xdr:row>
                    <xdr:rowOff>104775</xdr:rowOff>
                  </to>
                </anchor>
              </controlPr>
            </control>
          </mc:Choice>
        </mc:AlternateContent>
        <mc:AlternateContent xmlns:mc="http://schemas.openxmlformats.org/markup-compatibility/2006">
          <mc:Choice Requires="x14">
            <control shapeId="10257" r:id="rId6" name="Option Button 17">
              <controlPr defaultSize="0" autoFill="0" autoLine="0" autoPict="0" macro="[0]!Probabilistic_Click">
                <anchor moveWithCells="1">
                  <from>
                    <xdr:col>1</xdr:col>
                    <xdr:colOff>133350</xdr:colOff>
                    <xdr:row>38</xdr:row>
                    <xdr:rowOff>9525</xdr:rowOff>
                  </from>
                  <to>
                    <xdr:col>2</xdr:col>
                    <xdr:colOff>904875</xdr:colOff>
                    <xdr:row>39</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8"/>
  <sheetViews>
    <sheetView workbookViewId="0">
      <selection activeCell="O25" sqref="O25"/>
    </sheetView>
  </sheetViews>
  <sheetFormatPr defaultRowHeight="15" x14ac:dyDescent="0.25"/>
  <sheetData>
    <row r="1" spans="1:1" ht="15.75" x14ac:dyDescent="0.25">
      <c r="A1" s="37" t="s">
        <v>51</v>
      </c>
    </row>
    <row r="2" spans="1:1" x14ac:dyDescent="0.25">
      <c r="A2" s="38" t="s">
        <v>52</v>
      </c>
    </row>
    <row r="4" spans="1:1" x14ac:dyDescent="0.25">
      <c r="A4" s="38"/>
    </row>
    <row r="15" spans="1:1" x14ac:dyDescent="0.25">
      <c r="A15" t="s">
        <v>24</v>
      </c>
    </row>
    <row r="16" spans="1:1" x14ac:dyDescent="0.25">
      <c r="A16" t="s">
        <v>25</v>
      </c>
    </row>
    <row r="17" spans="1:1" x14ac:dyDescent="0.25">
      <c r="A17" t="s">
        <v>26</v>
      </c>
    </row>
    <row r="18" spans="1:1" x14ac:dyDescent="0.25">
      <c r="A18" s="5" t="s">
        <v>27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24"/>
  <sheetViews>
    <sheetView workbookViewId="0">
      <selection activeCell="A6" sqref="A6"/>
    </sheetView>
  </sheetViews>
  <sheetFormatPr defaultRowHeight="15" x14ac:dyDescent="0.25"/>
  <cols>
    <col min="1" max="1" width="17.7109375" bestFit="1" customWidth="1"/>
    <col min="2" max="2" width="27.7109375" bestFit="1" customWidth="1"/>
    <col min="3" max="3" width="26.7109375" bestFit="1" customWidth="1"/>
    <col min="4" max="4" width="17.28515625" bestFit="1" customWidth="1"/>
    <col min="5" max="5" width="8.140625" bestFit="1" customWidth="1"/>
  </cols>
  <sheetData>
    <row r="1" spans="1:5" ht="21" x14ac:dyDescent="0.35">
      <c r="A1" s="39" t="s">
        <v>56</v>
      </c>
    </row>
    <row r="2" spans="1:5" s="40" customFormat="1" ht="18.75" x14ac:dyDescent="0.3">
      <c r="A2" s="41" t="s">
        <v>57</v>
      </c>
      <c r="B2" s="41" t="s">
        <v>58</v>
      </c>
      <c r="C2" s="41" t="s">
        <v>59</v>
      </c>
      <c r="D2" s="41" t="s">
        <v>60</v>
      </c>
      <c r="E2" s="41" t="s">
        <v>61</v>
      </c>
    </row>
    <row r="3" spans="1:5" ht="60" x14ac:dyDescent="0.25">
      <c r="A3" s="42" t="s">
        <v>70</v>
      </c>
      <c r="B3" s="50">
        <v>42935</v>
      </c>
      <c r="C3" s="42" t="s">
        <v>62</v>
      </c>
      <c r="D3" s="42"/>
      <c r="E3" s="42"/>
    </row>
    <row r="4" spans="1:5" ht="30" x14ac:dyDescent="0.25">
      <c r="A4" s="42" t="s">
        <v>70</v>
      </c>
      <c r="B4" s="50">
        <v>42936</v>
      </c>
      <c r="C4" s="42" t="s">
        <v>63</v>
      </c>
      <c r="D4" s="42"/>
      <c r="E4" s="42"/>
    </row>
    <row r="5" spans="1:5" ht="30" x14ac:dyDescent="0.25">
      <c r="A5" s="42" t="s">
        <v>69</v>
      </c>
      <c r="B5" s="50">
        <v>42936</v>
      </c>
      <c r="C5" s="42" t="s">
        <v>64</v>
      </c>
      <c r="D5" s="42"/>
      <c r="E5" s="42"/>
    </row>
    <row r="6" spans="1:5" ht="30" x14ac:dyDescent="0.25">
      <c r="A6" s="42" t="s">
        <v>68</v>
      </c>
      <c r="B6" s="42"/>
      <c r="C6" s="42" t="s">
        <v>65</v>
      </c>
      <c r="D6" s="42"/>
      <c r="E6" s="42"/>
    </row>
    <row r="7" spans="1:5" x14ac:dyDescent="0.25">
      <c r="A7" s="42" t="s">
        <v>67</v>
      </c>
      <c r="B7" s="42"/>
      <c r="C7" s="42" t="s">
        <v>66</v>
      </c>
      <c r="D7" s="42"/>
      <c r="E7" s="42"/>
    </row>
    <row r="8" spans="1:5" x14ac:dyDescent="0.25">
      <c r="A8" s="42"/>
      <c r="B8" s="42"/>
      <c r="C8" s="42"/>
      <c r="D8" s="42"/>
      <c r="E8" s="42"/>
    </row>
    <row r="9" spans="1:5" x14ac:dyDescent="0.25">
      <c r="A9" s="42"/>
      <c r="B9" s="42"/>
      <c r="C9" s="42"/>
      <c r="D9" s="42"/>
      <c r="E9" s="42"/>
    </row>
    <row r="10" spans="1:5" x14ac:dyDescent="0.25">
      <c r="A10" s="42"/>
      <c r="B10" s="42"/>
      <c r="C10" s="42"/>
      <c r="D10" s="42"/>
      <c r="E10" s="42"/>
    </row>
    <row r="11" spans="1:5" x14ac:dyDescent="0.25">
      <c r="A11" s="42"/>
      <c r="B11" s="42"/>
      <c r="C11" s="42"/>
      <c r="D11" s="42"/>
      <c r="E11" s="42"/>
    </row>
    <row r="12" spans="1:5" x14ac:dyDescent="0.25">
      <c r="A12" s="42"/>
      <c r="B12" s="42"/>
      <c r="C12" s="42"/>
      <c r="D12" s="42"/>
      <c r="E12" s="42"/>
    </row>
    <row r="13" spans="1:5" x14ac:dyDescent="0.25">
      <c r="A13" s="42"/>
      <c r="B13" s="42"/>
      <c r="C13" s="42"/>
      <c r="D13" s="42"/>
      <c r="E13" s="42"/>
    </row>
    <row r="14" spans="1:5" x14ac:dyDescent="0.25">
      <c r="A14" s="42"/>
      <c r="B14" s="42"/>
      <c r="C14" s="42"/>
      <c r="D14" s="42"/>
      <c r="E14" s="42"/>
    </row>
    <row r="15" spans="1:5" x14ac:dyDescent="0.25">
      <c r="A15" s="42"/>
      <c r="B15" s="42"/>
      <c r="C15" s="42"/>
      <c r="D15" s="42"/>
      <c r="E15" s="42"/>
    </row>
    <row r="16" spans="1:5" x14ac:dyDescent="0.25">
      <c r="A16" s="42"/>
      <c r="B16" s="42"/>
      <c r="C16" s="42"/>
      <c r="D16" s="42"/>
      <c r="E16" s="42"/>
    </row>
    <row r="17" spans="1:5" x14ac:dyDescent="0.25">
      <c r="A17" s="42"/>
      <c r="B17" s="42"/>
      <c r="C17" s="42"/>
      <c r="D17" s="42"/>
      <c r="E17" s="42"/>
    </row>
    <row r="18" spans="1:5" x14ac:dyDescent="0.25">
      <c r="A18" s="42"/>
      <c r="B18" s="42"/>
      <c r="C18" s="42"/>
      <c r="D18" s="42"/>
      <c r="E18" s="42"/>
    </row>
    <row r="19" spans="1:5" x14ac:dyDescent="0.25">
      <c r="A19" s="42"/>
      <c r="B19" s="42"/>
      <c r="C19" s="42"/>
      <c r="D19" s="42"/>
      <c r="E19" s="42"/>
    </row>
    <row r="20" spans="1:5" x14ac:dyDescent="0.25">
      <c r="A20" s="42"/>
      <c r="B20" s="42"/>
      <c r="C20" s="42"/>
      <c r="D20" s="42"/>
      <c r="E20" s="42"/>
    </row>
    <row r="21" spans="1:5" x14ac:dyDescent="0.25">
      <c r="A21" s="42"/>
      <c r="B21" s="42"/>
      <c r="C21" s="42"/>
      <c r="D21" s="42"/>
      <c r="E21" s="42"/>
    </row>
    <row r="22" spans="1:5" x14ac:dyDescent="0.25">
      <c r="A22" s="42"/>
      <c r="B22" s="42"/>
      <c r="C22" s="42"/>
      <c r="D22" s="42"/>
      <c r="E22" s="42"/>
    </row>
    <row r="23" spans="1:5" x14ac:dyDescent="0.25">
      <c r="A23" s="42"/>
      <c r="B23" s="42"/>
      <c r="C23" s="42"/>
      <c r="D23" s="42"/>
      <c r="E23" s="42"/>
    </row>
    <row r="24" spans="1:5" x14ac:dyDescent="0.25">
      <c r="A24" s="42"/>
      <c r="B24" s="42"/>
      <c r="C24" s="42"/>
      <c r="D24" s="42"/>
      <c r="E24" s="4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43"/>
  <sheetViews>
    <sheetView workbookViewId="0">
      <pane ySplit="5" topLeftCell="A6" activePane="bottomLeft" state="frozen"/>
      <selection pane="bottomLeft" activeCell="B3" sqref="B3"/>
    </sheetView>
  </sheetViews>
  <sheetFormatPr defaultColWidth="8.85546875" defaultRowHeight="15" x14ac:dyDescent="0.25"/>
  <cols>
    <col min="1" max="1" width="27.42578125" style="5" customWidth="1"/>
    <col min="2" max="2" width="13.7109375" style="5" bestFit="1" customWidth="1"/>
    <col min="3" max="3" width="17.28515625" style="5" customWidth="1"/>
    <col min="4" max="4" width="12.85546875" bestFit="1" customWidth="1"/>
    <col min="5" max="5" width="9.28515625" customWidth="1"/>
    <col min="6" max="6" width="11.28515625" bestFit="1" customWidth="1"/>
    <col min="7" max="7" width="6.28515625" bestFit="1" customWidth="1"/>
    <col min="8" max="8" width="7.85546875" customWidth="1"/>
    <col min="9" max="9" width="15.5703125" customWidth="1"/>
    <col min="10" max="10" width="21.85546875" bestFit="1" customWidth="1"/>
    <col min="11" max="12" width="12" bestFit="1" customWidth="1"/>
    <col min="256" max="257" width="11" customWidth="1"/>
    <col min="258" max="258" width="55.85546875" customWidth="1"/>
    <col min="260" max="260" width="12" bestFit="1" customWidth="1"/>
    <col min="261" max="261" width="9.42578125" customWidth="1"/>
    <col min="512" max="513" width="11" customWidth="1"/>
    <col min="514" max="514" width="55.85546875" customWidth="1"/>
    <col min="516" max="516" width="12" bestFit="1" customWidth="1"/>
    <col min="517" max="517" width="9.42578125" customWidth="1"/>
    <col min="768" max="769" width="11" customWidth="1"/>
    <col min="770" max="770" width="55.85546875" customWidth="1"/>
    <col min="772" max="772" width="12" bestFit="1" customWidth="1"/>
    <col min="773" max="773" width="9.42578125" customWidth="1"/>
    <col min="1024" max="1025" width="11" customWidth="1"/>
    <col min="1026" max="1026" width="55.85546875" customWidth="1"/>
    <col min="1028" max="1028" width="12" bestFit="1" customWidth="1"/>
    <col min="1029" max="1029" width="9.42578125" customWidth="1"/>
    <col min="1280" max="1281" width="11" customWidth="1"/>
    <col min="1282" max="1282" width="55.85546875" customWidth="1"/>
    <col min="1284" max="1284" width="12" bestFit="1" customWidth="1"/>
    <col min="1285" max="1285" width="9.42578125" customWidth="1"/>
    <col min="1536" max="1537" width="11" customWidth="1"/>
    <col min="1538" max="1538" width="55.85546875" customWidth="1"/>
    <col min="1540" max="1540" width="12" bestFit="1" customWidth="1"/>
    <col min="1541" max="1541" width="9.42578125" customWidth="1"/>
    <col min="1792" max="1793" width="11" customWidth="1"/>
    <col min="1794" max="1794" width="55.85546875" customWidth="1"/>
    <col min="1796" max="1796" width="12" bestFit="1" customWidth="1"/>
    <col min="1797" max="1797" width="9.42578125" customWidth="1"/>
    <col min="2048" max="2049" width="11" customWidth="1"/>
    <col min="2050" max="2050" width="55.85546875" customWidth="1"/>
    <col min="2052" max="2052" width="12" bestFit="1" customWidth="1"/>
    <col min="2053" max="2053" width="9.42578125" customWidth="1"/>
    <col min="2304" max="2305" width="11" customWidth="1"/>
    <col min="2306" max="2306" width="55.85546875" customWidth="1"/>
    <col min="2308" max="2308" width="12" bestFit="1" customWidth="1"/>
    <col min="2309" max="2309" width="9.42578125" customWidth="1"/>
    <col min="2560" max="2561" width="11" customWidth="1"/>
    <col min="2562" max="2562" width="55.85546875" customWidth="1"/>
    <col min="2564" max="2564" width="12" bestFit="1" customWidth="1"/>
    <col min="2565" max="2565" width="9.42578125" customWidth="1"/>
    <col min="2816" max="2817" width="11" customWidth="1"/>
    <col min="2818" max="2818" width="55.85546875" customWidth="1"/>
    <col min="2820" max="2820" width="12" bestFit="1" customWidth="1"/>
    <col min="2821" max="2821" width="9.42578125" customWidth="1"/>
    <col min="3072" max="3073" width="11" customWidth="1"/>
    <col min="3074" max="3074" width="55.85546875" customWidth="1"/>
    <col min="3076" max="3076" width="12" bestFit="1" customWidth="1"/>
    <col min="3077" max="3077" width="9.42578125" customWidth="1"/>
    <col min="3328" max="3329" width="11" customWidth="1"/>
    <col min="3330" max="3330" width="55.85546875" customWidth="1"/>
    <col min="3332" max="3332" width="12" bestFit="1" customWidth="1"/>
    <col min="3333" max="3333" width="9.42578125" customWidth="1"/>
    <col min="3584" max="3585" width="11" customWidth="1"/>
    <col min="3586" max="3586" width="55.85546875" customWidth="1"/>
    <col min="3588" max="3588" width="12" bestFit="1" customWidth="1"/>
    <col min="3589" max="3589" width="9.42578125" customWidth="1"/>
    <col min="3840" max="3841" width="11" customWidth="1"/>
    <col min="3842" max="3842" width="55.85546875" customWidth="1"/>
    <col min="3844" max="3844" width="12" bestFit="1" customWidth="1"/>
    <col min="3845" max="3845" width="9.42578125" customWidth="1"/>
    <col min="4096" max="4097" width="11" customWidth="1"/>
    <col min="4098" max="4098" width="55.85546875" customWidth="1"/>
    <col min="4100" max="4100" width="12" bestFit="1" customWidth="1"/>
    <col min="4101" max="4101" width="9.42578125" customWidth="1"/>
    <col min="4352" max="4353" width="11" customWidth="1"/>
    <col min="4354" max="4354" width="55.85546875" customWidth="1"/>
    <col min="4356" max="4356" width="12" bestFit="1" customWidth="1"/>
    <col min="4357" max="4357" width="9.42578125" customWidth="1"/>
    <col min="4608" max="4609" width="11" customWidth="1"/>
    <col min="4610" max="4610" width="55.85546875" customWidth="1"/>
    <col min="4612" max="4612" width="12" bestFit="1" customWidth="1"/>
    <col min="4613" max="4613" width="9.42578125" customWidth="1"/>
    <col min="4864" max="4865" width="11" customWidth="1"/>
    <col min="4866" max="4866" width="55.85546875" customWidth="1"/>
    <col min="4868" max="4868" width="12" bestFit="1" customWidth="1"/>
    <col min="4869" max="4869" width="9.42578125" customWidth="1"/>
    <col min="5120" max="5121" width="11" customWidth="1"/>
    <col min="5122" max="5122" width="55.85546875" customWidth="1"/>
    <col min="5124" max="5124" width="12" bestFit="1" customWidth="1"/>
    <col min="5125" max="5125" width="9.42578125" customWidth="1"/>
    <col min="5376" max="5377" width="11" customWidth="1"/>
    <col min="5378" max="5378" width="55.85546875" customWidth="1"/>
    <col min="5380" max="5380" width="12" bestFit="1" customWidth="1"/>
    <col min="5381" max="5381" width="9.42578125" customWidth="1"/>
    <col min="5632" max="5633" width="11" customWidth="1"/>
    <col min="5634" max="5634" width="55.85546875" customWidth="1"/>
    <col min="5636" max="5636" width="12" bestFit="1" customWidth="1"/>
    <col min="5637" max="5637" width="9.42578125" customWidth="1"/>
    <col min="5888" max="5889" width="11" customWidth="1"/>
    <col min="5890" max="5890" width="55.85546875" customWidth="1"/>
    <col min="5892" max="5892" width="12" bestFit="1" customWidth="1"/>
    <col min="5893" max="5893" width="9.42578125" customWidth="1"/>
    <col min="6144" max="6145" width="11" customWidth="1"/>
    <col min="6146" max="6146" width="55.85546875" customWidth="1"/>
    <col min="6148" max="6148" width="12" bestFit="1" customWidth="1"/>
    <col min="6149" max="6149" width="9.42578125" customWidth="1"/>
    <col min="6400" max="6401" width="11" customWidth="1"/>
    <col min="6402" max="6402" width="55.85546875" customWidth="1"/>
    <col min="6404" max="6404" width="12" bestFit="1" customWidth="1"/>
    <col min="6405" max="6405" width="9.42578125" customWidth="1"/>
    <col min="6656" max="6657" width="11" customWidth="1"/>
    <col min="6658" max="6658" width="55.85546875" customWidth="1"/>
    <col min="6660" max="6660" width="12" bestFit="1" customWidth="1"/>
    <col min="6661" max="6661" width="9.42578125" customWidth="1"/>
    <col min="6912" max="6913" width="11" customWidth="1"/>
    <col min="6914" max="6914" width="55.85546875" customWidth="1"/>
    <col min="6916" max="6916" width="12" bestFit="1" customWidth="1"/>
    <col min="6917" max="6917" width="9.42578125" customWidth="1"/>
    <col min="7168" max="7169" width="11" customWidth="1"/>
    <col min="7170" max="7170" width="55.85546875" customWidth="1"/>
    <col min="7172" max="7172" width="12" bestFit="1" customWidth="1"/>
    <col min="7173" max="7173" width="9.42578125" customWidth="1"/>
    <col min="7424" max="7425" width="11" customWidth="1"/>
    <col min="7426" max="7426" width="55.85546875" customWidth="1"/>
    <col min="7428" max="7428" width="12" bestFit="1" customWidth="1"/>
    <col min="7429" max="7429" width="9.42578125" customWidth="1"/>
    <col min="7680" max="7681" width="11" customWidth="1"/>
    <col min="7682" max="7682" width="55.85546875" customWidth="1"/>
    <col min="7684" max="7684" width="12" bestFit="1" customWidth="1"/>
    <col min="7685" max="7685" width="9.42578125" customWidth="1"/>
    <col min="7936" max="7937" width="11" customWidth="1"/>
    <col min="7938" max="7938" width="55.85546875" customWidth="1"/>
    <col min="7940" max="7940" width="12" bestFit="1" customWidth="1"/>
    <col min="7941" max="7941" width="9.42578125" customWidth="1"/>
    <col min="8192" max="8193" width="11" customWidth="1"/>
    <col min="8194" max="8194" width="55.85546875" customWidth="1"/>
    <col min="8196" max="8196" width="12" bestFit="1" customWidth="1"/>
    <col min="8197" max="8197" width="9.42578125" customWidth="1"/>
    <col min="8448" max="8449" width="11" customWidth="1"/>
    <col min="8450" max="8450" width="55.85546875" customWidth="1"/>
    <col min="8452" max="8452" width="12" bestFit="1" customWidth="1"/>
    <col min="8453" max="8453" width="9.42578125" customWidth="1"/>
    <col min="8704" max="8705" width="11" customWidth="1"/>
    <col min="8706" max="8706" width="55.85546875" customWidth="1"/>
    <col min="8708" max="8708" width="12" bestFit="1" customWidth="1"/>
    <col min="8709" max="8709" width="9.42578125" customWidth="1"/>
    <col min="8960" max="8961" width="11" customWidth="1"/>
    <col min="8962" max="8962" width="55.85546875" customWidth="1"/>
    <col min="8964" max="8964" width="12" bestFit="1" customWidth="1"/>
    <col min="8965" max="8965" width="9.42578125" customWidth="1"/>
    <col min="9216" max="9217" width="11" customWidth="1"/>
    <col min="9218" max="9218" width="55.85546875" customWidth="1"/>
    <col min="9220" max="9220" width="12" bestFit="1" customWidth="1"/>
    <col min="9221" max="9221" width="9.42578125" customWidth="1"/>
    <col min="9472" max="9473" width="11" customWidth="1"/>
    <col min="9474" max="9474" width="55.85546875" customWidth="1"/>
    <col min="9476" max="9476" width="12" bestFit="1" customWidth="1"/>
    <col min="9477" max="9477" width="9.42578125" customWidth="1"/>
    <col min="9728" max="9729" width="11" customWidth="1"/>
    <col min="9730" max="9730" width="55.85546875" customWidth="1"/>
    <col min="9732" max="9732" width="12" bestFit="1" customWidth="1"/>
    <col min="9733" max="9733" width="9.42578125" customWidth="1"/>
    <col min="9984" max="9985" width="11" customWidth="1"/>
    <col min="9986" max="9986" width="55.85546875" customWidth="1"/>
    <col min="9988" max="9988" width="12" bestFit="1" customWidth="1"/>
    <col min="9989" max="9989" width="9.42578125" customWidth="1"/>
    <col min="10240" max="10241" width="11" customWidth="1"/>
    <col min="10242" max="10242" width="55.85546875" customWidth="1"/>
    <col min="10244" max="10244" width="12" bestFit="1" customWidth="1"/>
    <col min="10245" max="10245" width="9.42578125" customWidth="1"/>
    <col min="10496" max="10497" width="11" customWidth="1"/>
    <col min="10498" max="10498" width="55.85546875" customWidth="1"/>
    <col min="10500" max="10500" width="12" bestFit="1" customWidth="1"/>
    <col min="10501" max="10501" width="9.42578125" customWidth="1"/>
    <col min="10752" max="10753" width="11" customWidth="1"/>
    <col min="10754" max="10754" width="55.85546875" customWidth="1"/>
    <col min="10756" max="10756" width="12" bestFit="1" customWidth="1"/>
    <col min="10757" max="10757" width="9.42578125" customWidth="1"/>
    <col min="11008" max="11009" width="11" customWidth="1"/>
    <col min="11010" max="11010" width="55.85546875" customWidth="1"/>
    <col min="11012" max="11012" width="12" bestFit="1" customWidth="1"/>
    <col min="11013" max="11013" width="9.42578125" customWidth="1"/>
    <col min="11264" max="11265" width="11" customWidth="1"/>
    <col min="11266" max="11266" width="55.85546875" customWidth="1"/>
    <col min="11268" max="11268" width="12" bestFit="1" customWidth="1"/>
    <col min="11269" max="11269" width="9.42578125" customWidth="1"/>
    <col min="11520" max="11521" width="11" customWidth="1"/>
    <col min="11522" max="11522" width="55.85546875" customWidth="1"/>
    <col min="11524" max="11524" width="12" bestFit="1" customWidth="1"/>
    <col min="11525" max="11525" width="9.42578125" customWidth="1"/>
    <col min="11776" max="11777" width="11" customWidth="1"/>
    <col min="11778" max="11778" width="55.85546875" customWidth="1"/>
    <col min="11780" max="11780" width="12" bestFit="1" customWidth="1"/>
    <col min="11781" max="11781" width="9.42578125" customWidth="1"/>
    <col min="12032" max="12033" width="11" customWidth="1"/>
    <col min="12034" max="12034" width="55.85546875" customWidth="1"/>
    <col min="12036" max="12036" width="12" bestFit="1" customWidth="1"/>
    <col min="12037" max="12037" width="9.42578125" customWidth="1"/>
    <col min="12288" max="12289" width="11" customWidth="1"/>
    <col min="12290" max="12290" width="55.85546875" customWidth="1"/>
    <col min="12292" max="12292" width="12" bestFit="1" customWidth="1"/>
    <col min="12293" max="12293" width="9.42578125" customWidth="1"/>
    <col min="12544" max="12545" width="11" customWidth="1"/>
    <col min="12546" max="12546" width="55.85546875" customWidth="1"/>
    <col min="12548" max="12548" width="12" bestFit="1" customWidth="1"/>
    <col min="12549" max="12549" width="9.42578125" customWidth="1"/>
    <col min="12800" max="12801" width="11" customWidth="1"/>
    <col min="12802" max="12802" width="55.85546875" customWidth="1"/>
    <col min="12804" max="12804" width="12" bestFit="1" customWidth="1"/>
    <col min="12805" max="12805" width="9.42578125" customWidth="1"/>
    <col min="13056" max="13057" width="11" customWidth="1"/>
    <col min="13058" max="13058" width="55.85546875" customWidth="1"/>
    <col min="13060" max="13060" width="12" bestFit="1" customWidth="1"/>
    <col min="13061" max="13061" width="9.42578125" customWidth="1"/>
    <col min="13312" max="13313" width="11" customWidth="1"/>
    <col min="13314" max="13314" width="55.85546875" customWidth="1"/>
    <col min="13316" max="13316" width="12" bestFit="1" customWidth="1"/>
    <col min="13317" max="13317" width="9.42578125" customWidth="1"/>
    <col min="13568" max="13569" width="11" customWidth="1"/>
    <col min="13570" max="13570" width="55.85546875" customWidth="1"/>
    <col min="13572" max="13572" width="12" bestFit="1" customWidth="1"/>
    <col min="13573" max="13573" width="9.42578125" customWidth="1"/>
    <col min="13824" max="13825" width="11" customWidth="1"/>
    <col min="13826" max="13826" width="55.85546875" customWidth="1"/>
    <col min="13828" max="13828" width="12" bestFit="1" customWidth="1"/>
    <col min="13829" max="13829" width="9.42578125" customWidth="1"/>
    <col min="14080" max="14081" width="11" customWidth="1"/>
    <col min="14082" max="14082" width="55.85546875" customWidth="1"/>
    <col min="14084" max="14084" width="12" bestFit="1" customWidth="1"/>
    <col min="14085" max="14085" width="9.42578125" customWidth="1"/>
    <col min="14336" max="14337" width="11" customWidth="1"/>
    <col min="14338" max="14338" width="55.85546875" customWidth="1"/>
    <col min="14340" max="14340" width="12" bestFit="1" customWidth="1"/>
    <col min="14341" max="14341" width="9.42578125" customWidth="1"/>
    <col min="14592" max="14593" width="11" customWidth="1"/>
    <col min="14594" max="14594" width="55.85546875" customWidth="1"/>
    <col min="14596" max="14596" width="12" bestFit="1" customWidth="1"/>
    <col min="14597" max="14597" width="9.42578125" customWidth="1"/>
    <col min="14848" max="14849" width="11" customWidth="1"/>
    <col min="14850" max="14850" width="55.85546875" customWidth="1"/>
    <col min="14852" max="14852" width="12" bestFit="1" customWidth="1"/>
    <col min="14853" max="14853" width="9.42578125" customWidth="1"/>
    <col min="15104" max="15105" width="11" customWidth="1"/>
    <col min="15106" max="15106" width="55.85546875" customWidth="1"/>
    <col min="15108" max="15108" width="12" bestFit="1" customWidth="1"/>
    <col min="15109" max="15109" width="9.42578125" customWidth="1"/>
    <col min="15360" max="15361" width="11" customWidth="1"/>
    <col min="15362" max="15362" width="55.85546875" customWidth="1"/>
    <col min="15364" max="15364" width="12" bestFit="1" customWidth="1"/>
    <col min="15365" max="15365" width="9.42578125" customWidth="1"/>
    <col min="15616" max="15617" width="11" customWidth="1"/>
    <col min="15618" max="15618" width="55.85546875" customWidth="1"/>
    <col min="15620" max="15620" width="12" bestFit="1" customWidth="1"/>
    <col min="15621" max="15621" width="9.42578125" customWidth="1"/>
    <col min="15872" max="15873" width="11" customWidth="1"/>
    <col min="15874" max="15874" width="55.85546875" customWidth="1"/>
    <col min="15876" max="15876" width="12" bestFit="1" customWidth="1"/>
    <col min="15877" max="15877" width="9.42578125" customWidth="1"/>
    <col min="16128" max="16129" width="11" customWidth="1"/>
    <col min="16130" max="16130" width="55.85546875" customWidth="1"/>
    <col min="16132" max="16132" width="12" bestFit="1" customWidth="1"/>
    <col min="16133" max="16133" width="9.42578125" customWidth="1"/>
  </cols>
  <sheetData>
    <row r="1" spans="1:13" ht="15.75" x14ac:dyDescent="0.25">
      <c r="A1" s="4" t="s">
        <v>23</v>
      </c>
    </row>
    <row r="2" spans="1:13" ht="15.75" thickBot="1" x14ac:dyDescent="0.3"/>
    <row r="3" spans="1:13" ht="16.5" thickTop="1" thickBot="1" x14ac:dyDescent="0.3">
      <c r="B3" s="6">
        <v>0</v>
      </c>
      <c r="C3" s="7" t="s">
        <v>16</v>
      </c>
    </row>
    <row r="4" spans="1:13" ht="15.75" thickTop="1" x14ac:dyDescent="0.25"/>
    <row r="5" spans="1:13" x14ac:dyDescent="0.25">
      <c r="A5" s="8" t="s">
        <v>28</v>
      </c>
      <c r="B5" s="26" t="s">
        <v>29</v>
      </c>
      <c r="C5" s="8" t="s">
        <v>30</v>
      </c>
      <c r="D5" s="8" t="s">
        <v>31</v>
      </c>
      <c r="E5" s="8" t="s">
        <v>22</v>
      </c>
      <c r="F5" s="8" t="s">
        <v>17</v>
      </c>
      <c r="G5" s="8" t="s">
        <v>32</v>
      </c>
      <c r="H5" s="8" t="s">
        <v>21</v>
      </c>
      <c r="I5" s="9" t="s">
        <v>18</v>
      </c>
      <c r="J5" s="9" t="s">
        <v>54</v>
      </c>
      <c r="K5" s="9" t="s">
        <v>55</v>
      </c>
    </row>
    <row r="6" spans="1:13" x14ac:dyDescent="0.25">
      <c r="A6" s="10" t="s">
        <v>19</v>
      </c>
    </row>
    <row r="7" spans="1:13" x14ac:dyDescent="0.25">
      <c r="A7" s="11" t="s">
        <v>20</v>
      </c>
    </row>
    <row r="9" spans="1:13" x14ac:dyDescent="0.25">
      <c r="A9" s="27" t="s">
        <v>33</v>
      </c>
      <c r="D9" s="13"/>
      <c r="E9" s="14"/>
      <c r="F9" s="13"/>
      <c r="G9" s="13"/>
      <c r="H9" s="13"/>
      <c r="I9" s="15"/>
    </row>
    <row r="10" spans="1:13" s="5" customFormat="1" ht="12.75" x14ac:dyDescent="0.2">
      <c r="A10" s="44" t="s">
        <v>92</v>
      </c>
      <c r="B10" s="16"/>
      <c r="C10" s="10"/>
      <c r="D10" s="17"/>
      <c r="E10" s="18"/>
      <c r="F10" s="18"/>
      <c r="G10" s="18"/>
      <c r="H10" s="18"/>
      <c r="I10" s="19"/>
      <c r="J10" s="19"/>
      <c r="K10" s="5" t="s">
        <v>79</v>
      </c>
      <c r="L10" s="5" t="s">
        <v>72</v>
      </c>
      <c r="M10" s="5" t="s">
        <v>75</v>
      </c>
    </row>
    <row r="11" spans="1:13" s="5" customFormat="1" x14ac:dyDescent="0.25">
      <c r="A11" s="10" t="s">
        <v>84</v>
      </c>
      <c r="B11" s="29">
        <f t="shared" ref="B11:B16" si="0">IF(prob=0, D11,C11)</f>
        <v>4.348375336410637E-3</v>
      </c>
      <c r="C11" s="30">
        <f ca="1">BETAINV(RAND(),G11,H11)</f>
        <v>3.2069527034706238E-7</v>
      </c>
      <c r="D11" s="31">
        <f>M11</f>
        <v>4.348375336410637E-3</v>
      </c>
      <c r="E11" s="32"/>
      <c r="F11" s="33" t="s">
        <v>21</v>
      </c>
      <c r="G11" s="33">
        <f>26*M11</f>
        <v>0.11305775874667656</v>
      </c>
      <c r="H11" s="33">
        <f>26-G11</f>
        <v>25.886942241253323</v>
      </c>
      <c r="I11" s="19" t="s">
        <v>53</v>
      </c>
      <c r="J11" s="19" t="s">
        <v>71</v>
      </c>
      <c r="K11">
        <f>1/26</f>
        <v>3.8461538461538464E-2</v>
      </c>
      <c r="L11" s="5">
        <f>-LN(1-K11)/(9)</f>
        <v>4.357857017031252E-3</v>
      </c>
      <c r="M11" s="5">
        <f>1-EXP(-L11*(1))</f>
        <v>4.348375336410637E-3</v>
      </c>
    </row>
    <row r="12" spans="1:13" s="5" customFormat="1" x14ac:dyDescent="0.25">
      <c r="A12" s="10" t="s">
        <v>85</v>
      </c>
      <c r="B12" s="29">
        <f t="shared" si="0"/>
        <v>1.212345257692593E-2</v>
      </c>
      <c r="C12" s="30">
        <f ca="1">BETAINV(RAND(),G12,H12)</f>
        <v>5.7847057112639932E-3</v>
      </c>
      <c r="D12" s="31">
        <f>M12</f>
        <v>1.212345257692593E-2</v>
      </c>
      <c r="E12" s="32"/>
      <c r="F12" s="33" t="s">
        <v>21</v>
      </c>
      <c r="G12" s="33">
        <f>26*M12</f>
        <v>0.31520976700007419</v>
      </c>
      <c r="H12" s="33">
        <f>63-G12</f>
        <v>62.684790232999923</v>
      </c>
      <c r="I12" s="19" t="s">
        <v>76</v>
      </c>
      <c r="J12" s="19" t="s">
        <v>87</v>
      </c>
      <c r="K12">
        <f>3/63</f>
        <v>4.7619047619047616E-2</v>
      </c>
      <c r="L12" s="5">
        <f>-LN(1-K12)/(4)</f>
        <v>1.2197541042358014E-2</v>
      </c>
      <c r="M12" s="5">
        <f>1-EXP(-L12*(1))</f>
        <v>1.212345257692593E-2</v>
      </c>
    </row>
    <row r="13" spans="1:13" s="5" customFormat="1" x14ac:dyDescent="0.25">
      <c r="A13" s="10" t="s">
        <v>81</v>
      </c>
      <c r="B13" s="29">
        <f t="shared" si="0"/>
        <v>0.88</v>
      </c>
      <c r="C13" s="30">
        <f ca="1">BETAINV(RAND(),G13,H13)</f>
        <v>0.4359144728158344</v>
      </c>
      <c r="D13" s="31">
        <f>44/50</f>
        <v>0.88</v>
      </c>
      <c r="E13" s="32"/>
      <c r="F13" s="33" t="s">
        <v>21</v>
      </c>
      <c r="G13" s="33">
        <f>50*M13</f>
        <v>20.571690436172879</v>
      </c>
      <c r="H13" s="33">
        <f>50-G13</f>
        <v>29.428309563827121</v>
      </c>
      <c r="I13" s="19" t="s">
        <v>53</v>
      </c>
      <c r="J13" s="43" t="s">
        <v>73</v>
      </c>
      <c r="K13">
        <f>44/50</f>
        <v>0.88</v>
      </c>
      <c r="L13" s="5">
        <f>-LN(1-K13)/(4)</f>
        <v>0.53006588405002275</v>
      </c>
      <c r="M13" s="5">
        <f>1-EXP(-L13*(1))</f>
        <v>0.41143380872345758</v>
      </c>
    </row>
    <row r="14" spans="1:13" s="5" customFormat="1" x14ac:dyDescent="0.25">
      <c r="A14" s="10" t="s">
        <v>82</v>
      </c>
      <c r="B14" s="29">
        <f>IF(prob=0, D14,C14)</f>
        <v>0.48530934396182324</v>
      </c>
      <c r="C14" s="30">
        <f ca="1">BETAINV(RAND(),G14,H14)</f>
        <v>0.50789512693313754</v>
      </c>
      <c r="D14" s="31">
        <f>M14</f>
        <v>0.48530934396182324</v>
      </c>
      <c r="E14" s="32"/>
      <c r="F14" s="33" t="s">
        <v>21</v>
      </c>
      <c r="G14" s="33">
        <f>50*M14</f>
        <v>24.265467198091162</v>
      </c>
      <c r="H14" s="33">
        <f>57-G14</f>
        <v>32.734532801908841</v>
      </c>
      <c r="I14" s="19" t="s">
        <v>76</v>
      </c>
      <c r="J14" s="43" t="s">
        <v>78</v>
      </c>
      <c r="K14">
        <f>53/57</f>
        <v>0.92982456140350878</v>
      </c>
      <c r="L14" s="5">
        <f>-LN(1-K14)/(4)</f>
        <v>0.66418922667866487</v>
      </c>
      <c r="M14" s="5">
        <f>1-EXP(-L14*(1))</f>
        <v>0.48530934396182324</v>
      </c>
    </row>
    <row r="15" spans="1:13" s="5" customFormat="1" x14ac:dyDescent="0.25">
      <c r="A15" s="10" t="s">
        <v>86</v>
      </c>
      <c r="B15" s="29">
        <f t="shared" si="0"/>
        <v>5.7876147667268452E-4</v>
      </c>
      <c r="C15" s="30">
        <f ca="1">BETAINV(RAND(),G15,H15)</f>
        <v>3.2847040790022875E-14</v>
      </c>
      <c r="D15" s="31">
        <f>M15</f>
        <v>5.7876147667268452E-4</v>
      </c>
      <c r="E15" s="32"/>
      <c r="F15" s="33" t="s">
        <v>21</v>
      </c>
      <c r="G15" s="33">
        <f>50*M15</f>
        <v>2.8938073833634226E-2</v>
      </c>
      <c r="H15" s="33">
        <f>63-G15</f>
        <v>62.971061926166364</v>
      </c>
      <c r="I15" s="19" t="s">
        <v>76</v>
      </c>
      <c r="J15" s="43" t="s">
        <v>98</v>
      </c>
      <c r="K15">
        <f>12/63</f>
        <v>0.19047619047619047</v>
      </c>
      <c r="L15" s="5">
        <f>-LN(1-K15)/(365)</f>
        <v>5.7892902374577233E-4</v>
      </c>
      <c r="M15" s="5">
        <f>1-EXP(-L15*(1))</f>
        <v>5.7876147667268452E-4</v>
      </c>
    </row>
    <row r="16" spans="1:13" s="5" customFormat="1" x14ac:dyDescent="0.25">
      <c r="A16" s="10" t="s">
        <v>94</v>
      </c>
      <c r="B16" s="29">
        <f t="shared" si="0"/>
        <v>0.11507286318691667</v>
      </c>
      <c r="C16" s="30">
        <f ca="1">1-(C13+C11+C15)</f>
        <v>0.5640852064888624</v>
      </c>
      <c r="D16" s="31">
        <f>1-(D13+D11+D15)</f>
        <v>0.11507286318691667</v>
      </c>
      <c r="E16" s="32"/>
      <c r="F16" s="33"/>
      <c r="G16" s="33"/>
      <c r="H16" s="33"/>
      <c r="I16" s="19"/>
      <c r="J16" s="19"/>
      <c r="K16"/>
      <c r="M16"/>
    </row>
    <row r="17" spans="1:13" s="5" customFormat="1" x14ac:dyDescent="0.25">
      <c r="A17" s="10"/>
      <c r="B17" s="16"/>
      <c r="C17" s="10"/>
      <c r="D17" s="19"/>
      <c r="E17" s="20"/>
      <c r="F17" s="18"/>
      <c r="G17" s="18"/>
      <c r="H17" s="18"/>
      <c r="I17" s="19"/>
      <c r="K17"/>
      <c r="M17"/>
    </row>
    <row r="18" spans="1:13" s="5" customFormat="1" x14ac:dyDescent="0.25">
      <c r="A18" s="10"/>
      <c r="B18" s="16"/>
      <c r="C18" s="10"/>
      <c r="D18" s="19"/>
      <c r="E18" s="20"/>
      <c r="F18" s="18"/>
      <c r="G18" s="18"/>
      <c r="H18" s="18"/>
      <c r="I18" s="19"/>
      <c r="K18"/>
      <c r="M18"/>
    </row>
    <row r="19" spans="1:13" s="5" customFormat="1" ht="12.75" x14ac:dyDescent="0.2">
      <c r="A19" s="44" t="s">
        <v>77</v>
      </c>
      <c r="B19" s="16"/>
      <c r="C19" s="10"/>
      <c r="D19" s="17"/>
      <c r="E19" s="18"/>
      <c r="F19" s="18"/>
      <c r="G19" s="18"/>
      <c r="H19" s="18"/>
      <c r="I19" s="19"/>
      <c r="J19" s="19"/>
      <c r="K19" s="5" t="s">
        <v>74</v>
      </c>
      <c r="L19" s="5" t="s">
        <v>72</v>
      </c>
      <c r="M19" s="5" t="s">
        <v>75</v>
      </c>
    </row>
    <row r="20" spans="1:13" s="5" customFormat="1" hidden="1" x14ac:dyDescent="0.25">
      <c r="A20" s="10" t="s">
        <v>89</v>
      </c>
      <c r="B20" s="29">
        <f>IF(prob=0, D20,C20)</f>
        <v>4.348375336410637E-3</v>
      </c>
      <c r="C20" s="30">
        <f ca="1">BETAINV(RAND(),G20,H20)</f>
        <v>3.2806658274386891E-3</v>
      </c>
      <c r="D20" s="31">
        <f>M20</f>
        <v>4.348375336410637E-3</v>
      </c>
      <c r="E20" s="32"/>
      <c r="F20" s="33" t="s">
        <v>21</v>
      </c>
      <c r="G20" s="33">
        <f>26*M20</f>
        <v>0.11305775874667656</v>
      </c>
      <c r="H20" s="33">
        <f>26-G20</f>
        <v>25.886942241253323</v>
      </c>
      <c r="I20" s="19" t="s">
        <v>53</v>
      </c>
      <c r="J20" s="19" t="s">
        <v>71</v>
      </c>
      <c r="K20">
        <f>1/26</f>
        <v>3.8461538461538464E-2</v>
      </c>
      <c r="L20" s="5">
        <f>-LN(1-K20)/(9)</f>
        <v>4.357857017031252E-3</v>
      </c>
      <c r="M20" s="5">
        <f>1-EXP(-L20*(1))</f>
        <v>4.348375336410637E-3</v>
      </c>
    </row>
    <row r="21" spans="1:13" s="5" customFormat="1" x14ac:dyDescent="0.25">
      <c r="A21" s="10" t="s">
        <v>90</v>
      </c>
      <c r="B21" s="29">
        <f>IF(prob=0, D21,C21)</f>
        <v>1.9250028410851328E-2</v>
      </c>
      <c r="C21" s="30">
        <f ca="1">BETAINV(RAND(),G21,H21)</f>
        <v>4.1119256183703426E-5</v>
      </c>
      <c r="D21" s="31">
        <f>M21</f>
        <v>1.9250028410851328E-2</v>
      </c>
      <c r="E21" s="32"/>
      <c r="F21" s="33" t="s">
        <v>21</v>
      </c>
      <c r="G21" s="33">
        <f>26*M21</f>
        <v>0.50050073868213452</v>
      </c>
      <c r="H21" s="33">
        <f>174-G21</f>
        <v>173.49949926131788</v>
      </c>
      <c r="I21" s="19" t="s">
        <v>76</v>
      </c>
      <c r="J21" s="43" t="s">
        <v>91</v>
      </c>
      <c r="K21">
        <f>5/174</f>
        <v>2.8735632183908046E-2</v>
      </c>
      <c r="L21" s="5">
        <f>-LN(1-K21)/(1.5)</f>
        <v>1.9437722860970386E-2</v>
      </c>
      <c r="M21" s="5">
        <f>1-EXP(-L21*(1))</f>
        <v>1.9250028410851328E-2</v>
      </c>
    </row>
    <row r="22" spans="1:13" s="5" customFormat="1" x14ac:dyDescent="0.25">
      <c r="A22" s="10" t="s">
        <v>80</v>
      </c>
      <c r="B22" s="29">
        <f>IF(prob=0, D22,C22)</f>
        <v>0.93</v>
      </c>
      <c r="C22" s="30">
        <f ca="1">BETAINV(RAND(),G22,H22)</f>
        <v>0.77949513228962486</v>
      </c>
      <c r="D22" s="31">
        <f>0.93</f>
        <v>0.93</v>
      </c>
      <c r="E22" s="32"/>
      <c r="F22" s="33" t="s">
        <v>21</v>
      </c>
      <c r="G22" s="33">
        <f>50*M22</f>
        <v>41.493320024842319</v>
      </c>
      <c r="H22" s="33">
        <f>57-G22</f>
        <v>15.506679975157681</v>
      </c>
      <c r="I22" s="19" t="s">
        <v>76</v>
      </c>
      <c r="J22" s="43" t="s">
        <v>83</v>
      </c>
      <c r="K22">
        <f>53/57</f>
        <v>0.92982456140350878</v>
      </c>
      <c r="L22" s="5">
        <f>-LN(1-K22)/(1.5)</f>
        <v>1.7711712711431062</v>
      </c>
      <c r="M22" s="5">
        <f>1-EXP(-L22*(1))</f>
        <v>0.82986640049684635</v>
      </c>
    </row>
    <row r="23" spans="1:13" s="5" customFormat="1" x14ac:dyDescent="0.25">
      <c r="A23" s="10" t="s">
        <v>88</v>
      </c>
      <c r="B23" s="29">
        <f>IF(prob=0, D23,C23)</f>
        <v>4.9938637959690002E-4</v>
      </c>
      <c r="C23" s="30">
        <f ca="1">BETAINV(RAND(),G23,H23)</f>
        <v>2.3654752555228079E-23</v>
      </c>
      <c r="D23" s="31">
        <f>M23</f>
        <v>4.9938637959690002E-4</v>
      </c>
      <c r="E23" s="32"/>
      <c r="F23" s="33" t="s">
        <v>21</v>
      </c>
      <c r="G23" s="33">
        <f>50*M23</f>
        <v>2.4969318979845001E-2</v>
      </c>
      <c r="H23" s="33">
        <f>174-G23</f>
        <v>173.97503068102014</v>
      </c>
      <c r="I23" s="19" t="s">
        <v>76</v>
      </c>
      <c r="J23" s="43" t="s">
        <v>97</v>
      </c>
      <c r="K23">
        <f>29/174</f>
        <v>0.16666666666666666</v>
      </c>
      <c r="L23" s="5">
        <f>-LN(1-K23)/(365)</f>
        <v>4.9951111450398519E-4</v>
      </c>
      <c r="M23" s="5">
        <f>1-EXP(-L23*(1))</f>
        <v>4.9938637959690002E-4</v>
      </c>
    </row>
    <row r="24" spans="1:13" s="5" customFormat="1" x14ac:dyDescent="0.25">
      <c r="A24" s="10" t="s">
        <v>95</v>
      </c>
      <c r="B24" s="29">
        <f>IF(prob=0, D24,C24)</f>
        <v>5.0250585209551724E-2</v>
      </c>
      <c r="C24" s="30">
        <f ca="1">1-(C22+C21+C23)</f>
        <v>0.22046374845419148</v>
      </c>
      <c r="D24" s="31">
        <f>1-(D22+D21+D23)</f>
        <v>5.0250585209551724E-2</v>
      </c>
      <c r="E24" s="32"/>
      <c r="F24" s="33"/>
      <c r="G24" s="33"/>
      <c r="H24" s="33"/>
      <c r="I24" s="19"/>
      <c r="J24" s="19"/>
      <c r="K24"/>
      <c r="M24"/>
    </row>
    <row r="25" spans="1:13" s="5" customFormat="1" x14ac:dyDescent="0.25">
      <c r="A25" s="10"/>
      <c r="B25" s="16"/>
      <c r="C25" s="10"/>
      <c r="D25" s="19"/>
      <c r="E25" s="20"/>
      <c r="F25" s="18"/>
      <c r="G25" s="18"/>
      <c r="H25" s="18"/>
      <c r="I25" s="19"/>
      <c r="K25"/>
      <c r="M25"/>
    </row>
    <row r="26" spans="1:13" s="5" customFormat="1" x14ac:dyDescent="0.25">
      <c r="F26" s="21"/>
      <c r="G26" s="21"/>
      <c r="M26"/>
    </row>
    <row r="27" spans="1:13" s="5" customFormat="1" x14ac:dyDescent="0.25">
      <c r="A27" s="28" t="s">
        <v>34</v>
      </c>
      <c r="M27"/>
    </row>
    <row r="28" spans="1:13" x14ac:dyDescent="0.25">
      <c r="A28" s="11"/>
      <c r="B28" s="22"/>
      <c r="C28" s="11"/>
      <c r="D28" s="23"/>
      <c r="E28" s="17"/>
      <c r="F28" s="18"/>
      <c r="G28" s="18"/>
      <c r="H28" s="18"/>
      <c r="K28" s="5"/>
      <c r="L28" s="5"/>
    </row>
    <row r="29" spans="1:13" x14ac:dyDescent="0.25">
      <c r="A29" s="11" t="s">
        <v>35</v>
      </c>
      <c r="B29" s="29">
        <f>IF(prob=0, D29,C29)</f>
        <v>24920</v>
      </c>
      <c r="C29" s="30">
        <f ca="1">_xlfn.GAMMA.INV(RAND(),G29,H29)</f>
        <v>23828.071370640773</v>
      </c>
      <c r="D29" s="31">
        <v>24920</v>
      </c>
      <c r="E29" s="32">
        <f>D29*0.15</f>
        <v>3738</v>
      </c>
      <c r="F29" s="33" t="s">
        <v>136</v>
      </c>
      <c r="G29" s="33">
        <f>(D29/E29)^2</f>
        <v>44.44444444444445</v>
      </c>
      <c r="H29" s="33">
        <f>(E29^2)/D29</f>
        <v>560.70000000000005</v>
      </c>
      <c r="J29" t="s">
        <v>140</v>
      </c>
      <c r="K29" s="80" t="s">
        <v>142</v>
      </c>
      <c r="L29" s="5"/>
    </row>
    <row r="30" spans="1:13" x14ac:dyDescent="0.25">
      <c r="A30" s="11" t="s">
        <v>99</v>
      </c>
      <c r="B30" s="29">
        <f>IF(prob=0, D30,C30)</f>
        <v>141120</v>
      </c>
      <c r="C30" s="74">
        <f ca="1">_xlfn.GAMMA.INV(RAND(),G30,H30)</f>
        <v>157088.75004155628</v>
      </c>
      <c r="D30" s="31">
        <v>141120</v>
      </c>
      <c r="E30" s="75">
        <f>D30*0.15</f>
        <v>21168</v>
      </c>
      <c r="F30" s="33" t="s">
        <v>136</v>
      </c>
      <c r="G30" s="76">
        <f>(D30/E30)^2</f>
        <v>44.44444444444445</v>
      </c>
      <c r="H30" s="76">
        <f>(E30^2)/D30</f>
        <v>3175.2</v>
      </c>
      <c r="J30" t="s">
        <v>141</v>
      </c>
      <c r="K30" s="73" t="s">
        <v>143</v>
      </c>
      <c r="L30" s="5"/>
    </row>
    <row r="31" spans="1:13" x14ac:dyDescent="0.25">
      <c r="A31" s="11" t="s">
        <v>135</v>
      </c>
      <c r="B31" s="29">
        <f>IF(prob=0, D31,C31)</f>
        <v>1949.36</v>
      </c>
      <c r="C31" s="74">
        <f ca="1">_xlfn.GAMMA.INV(RAND(),G31,H31)</f>
        <v>2174.2832970845243</v>
      </c>
      <c r="D31" s="31">
        <v>1949.36</v>
      </c>
      <c r="E31" s="75">
        <f>D31*0.15</f>
        <v>292.404</v>
      </c>
      <c r="F31" s="33" t="s">
        <v>136</v>
      </c>
      <c r="G31" s="76">
        <f>(D31/E31)^2</f>
        <v>44.444444444444436</v>
      </c>
      <c r="H31" s="76">
        <f>(E31^2)/D31</f>
        <v>43.860600000000005</v>
      </c>
      <c r="K31" s="73" t="s">
        <v>144</v>
      </c>
    </row>
    <row r="32" spans="1:13" x14ac:dyDescent="0.25">
      <c r="A32" s="11" t="s">
        <v>137</v>
      </c>
      <c r="B32" s="29">
        <f>IF(prob=0, D32,C32)</f>
        <v>5046.53</v>
      </c>
      <c r="C32" s="74">
        <f ca="1">_xlfn.GAMMA.INV(RAND(),G32,H32)</f>
        <v>5537.3314747999166</v>
      </c>
      <c r="D32" s="31">
        <v>5046.53</v>
      </c>
      <c r="E32" s="75">
        <f>D32*0.15</f>
        <v>756.97949999999992</v>
      </c>
      <c r="F32" s="33" t="s">
        <v>136</v>
      </c>
      <c r="G32" s="76">
        <f>(D32/E32)^2</f>
        <v>44.44444444444445</v>
      </c>
      <c r="H32" s="76">
        <f>(E32^2)/D32</f>
        <v>113.54692499999997</v>
      </c>
      <c r="I32" s="70" t="s">
        <v>138</v>
      </c>
      <c r="J32" t="s">
        <v>139</v>
      </c>
      <c r="K32" s="73" t="s">
        <v>145</v>
      </c>
    </row>
    <row r="33" spans="1:10" x14ac:dyDescent="0.25">
      <c r="A33" s="11"/>
      <c r="B33" s="22"/>
      <c r="C33" s="11"/>
      <c r="D33" s="23"/>
      <c r="E33" s="17"/>
      <c r="F33" s="18"/>
      <c r="G33" s="18"/>
      <c r="H33" s="18"/>
    </row>
    <row r="34" spans="1:10" x14ac:dyDescent="0.25">
      <c r="A34" s="28" t="s">
        <v>37</v>
      </c>
      <c r="F34" s="24"/>
    </row>
    <row r="35" spans="1:10" x14ac:dyDescent="0.25">
      <c r="A35" s="12"/>
      <c r="F35" s="24"/>
    </row>
    <row r="36" spans="1:10" x14ac:dyDescent="0.25">
      <c r="A36" s="5" t="s">
        <v>38</v>
      </c>
      <c r="B36" s="29">
        <f t="shared" ref="B36:B43" si="1">IF(prob=0, D36,C36)</f>
        <v>0.61899999999999999</v>
      </c>
      <c r="C36" s="45">
        <f t="shared" ref="C36:C41" ca="1" si="2">BETAINV(RAND(),G36,H36)</f>
        <v>0.48238286056517993</v>
      </c>
      <c r="D36" s="31">
        <v>0.61899999999999999</v>
      </c>
      <c r="E36" s="32">
        <v>0.1</v>
      </c>
      <c r="F36" s="33" t="s">
        <v>21</v>
      </c>
      <c r="G36" s="45">
        <f t="shared" ref="G36:G43" si="3">D36*(D36*(1-D36)/(E36^2)-1)</f>
        <v>13.979434099999997</v>
      </c>
      <c r="H36" s="45">
        <f t="shared" ref="H36:H43" si="4">D36*(1-D36)/(E36^2)-1-G36</f>
        <v>8.6044658999999992</v>
      </c>
      <c r="I36" t="s">
        <v>100</v>
      </c>
      <c r="J36" t="s">
        <v>101</v>
      </c>
    </row>
    <row r="37" spans="1:10" x14ac:dyDescent="0.25">
      <c r="A37" s="5" t="s">
        <v>103</v>
      </c>
      <c r="B37" s="29">
        <f t="shared" si="1"/>
        <v>0.65</v>
      </c>
      <c r="C37" s="45">
        <f t="shared" ca="1" si="2"/>
        <v>0.62977300509349243</v>
      </c>
      <c r="D37" s="31">
        <v>0.65</v>
      </c>
      <c r="E37" s="32">
        <v>0.1</v>
      </c>
      <c r="F37" s="33" t="s">
        <v>21</v>
      </c>
      <c r="G37" s="45">
        <f t="shared" si="3"/>
        <v>14.137499999999996</v>
      </c>
      <c r="H37" s="45">
        <f t="shared" si="4"/>
        <v>7.6124999999999972</v>
      </c>
      <c r="I37" t="s">
        <v>104</v>
      </c>
      <c r="J37" t="s">
        <v>105</v>
      </c>
    </row>
    <row r="38" spans="1:10" x14ac:dyDescent="0.25">
      <c r="A38" s="5" t="s">
        <v>39</v>
      </c>
      <c r="B38" s="29">
        <f t="shared" si="1"/>
        <v>0.86599999999999999</v>
      </c>
      <c r="C38" s="45">
        <f t="shared" ca="1" si="2"/>
        <v>0.72966155775418873</v>
      </c>
      <c r="D38" s="31">
        <v>0.86599999999999999</v>
      </c>
      <c r="E38" s="32">
        <v>0.1</v>
      </c>
      <c r="F38" s="33" t="s">
        <v>21</v>
      </c>
      <c r="G38" s="45">
        <f t="shared" si="3"/>
        <v>9.1834103999999979</v>
      </c>
      <c r="H38" s="45">
        <f t="shared" si="4"/>
        <v>1.4209896000000004</v>
      </c>
      <c r="I38" t="s">
        <v>100</v>
      </c>
      <c r="J38" t="s">
        <v>102</v>
      </c>
    </row>
    <row r="39" spans="1:10" x14ac:dyDescent="0.25">
      <c r="A39" s="5" t="s">
        <v>114</v>
      </c>
      <c r="B39" s="29">
        <f t="shared" si="1"/>
        <v>0.84</v>
      </c>
      <c r="C39" s="45">
        <f t="shared" ca="1" si="2"/>
        <v>0.82579489709418652</v>
      </c>
      <c r="D39" s="31">
        <v>0.84</v>
      </c>
      <c r="E39" s="32">
        <v>0.05</v>
      </c>
      <c r="F39" s="33" t="s">
        <v>21</v>
      </c>
      <c r="G39" s="45">
        <f t="shared" si="3"/>
        <v>44.318399999999997</v>
      </c>
      <c r="H39" s="45">
        <f t="shared" si="4"/>
        <v>8.4416000000000011</v>
      </c>
      <c r="I39" t="s">
        <v>115</v>
      </c>
      <c r="J39" t="s">
        <v>116</v>
      </c>
    </row>
    <row r="40" spans="1:10" x14ac:dyDescent="0.25">
      <c r="A40" s="5" t="s">
        <v>40</v>
      </c>
      <c r="B40" s="29">
        <f t="shared" si="1"/>
        <v>0.84</v>
      </c>
      <c r="C40" s="45">
        <f t="shared" ca="1" si="2"/>
        <v>0.97360427636873581</v>
      </c>
      <c r="D40" s="31">
        <v>0.84</v>
      </c>
      <c r="E40" s="32">
        <v>0.1</v>
      </c>
      <c r="F40" s="33" t="s">
        <v>21</v>
      </c>
      <c r="G40" s="45">
        <f t="shared" si="3"/>
        <v>10.449599999999998</v>
      </c>
      <c r="H40" s="45">
        <f t="shared" si="4"/>
        <v>1.9904000000000011</v>
      </c>
      <c r="I40" t="s">
        <v>104</v>
      </c>
      <c r="J40" t="s">
        <v>106</v>
      </c>
    </row>
    <row r="41" spans="1:10" x14ac:dyDescent="0.25">
      <c r="A41" s="5" t="s">
        <v>107</v>
      </c>
      <c r="B41" s="29">
        <f t="shared" si="1"/>
        <v>0.86280000000000001</v>
      </c>
      <c r="C41" s="45" t="e">
        <f t="shared" ca="1" si="2"/>
        <v>#NUM!</v>
      </c>
      <c r="D41" s="31">
        <v>0.86280000000000001</v>
      </c>
      <c r="E41" s="32">
        <v>0.05</v>
      </c>
      <c r="F41" s="33" t="s">
        <v>21</v>
      </c>
      <c r="G41" s="45"/>
      <c r="H41" s="45">
        <f t="shared" si="4"/>
        <v>46.350463999999988</v>
      </c>
      <c r="I41" t="s">
        <v>109</v>
      </c>
      <c r="J41" t="s">
        <v>108</v>
      </c>
    </row>
    <row r="42" spans="1:10" x14ac:dyDescent="0.25">
      <c r="A42" s="5" t="s">
        <v>110</v>
      </c>
      <c r="B42" s="29">
        <f t="shared" si="1"/>
        <v>0.86280000000000001</v>
      </c>
      <c r="C42" s="45">
        <v>0.77449999999999997</v>
      </c>
      <c r="D42" s="31">
        <v>0.86280000000000001</v>
      </c>
      <c r="E42" s="32">
        <v>1.4999999999999999E-2</v>
      </c>
      <c r="F42" s="33" t="s">
        <v>21</v>
      </c>
      <c r="G42" s="45">
        <f t="shared" si="3"/>
        <v>453.07031488000001</v>
      </c>
      <c r="H42" s="45">
        <f t="shared" si="4"/>
        <v>72.045951786666649</v>
      </c>
      <c r="I42" t="s">
        <v>109</v>
      </c>
      <c r="J42" t="s">
        <v>112</v>
      </c>
    </row>
    <row r="43" spans="1:10" x14ac:dyDescent="0.25">
      <c r="A43" s="5" t="s">
        <v>111</v>
      </c>
      <c r="B43" s="29">
        <f t="shared" si="1"/>
        <v>0.86280000000000001</v>
      </c>
      <c r="C43" s="45">
        <v>0.67520000000000002</v>
      </c>
      <c r="D43" s="31">
        <v>0.86280000000000001</v>
      </c>
      <c r="E43" s="32">
        <v>0.03</v>
      </c>
      <c r="F43" s="33" t="s">
        <v>21</v>
      </c>
      <c r="G43" s="45">
        <f t="shared" si="3"/>
        <v>112.62047871999999</v>
      </c>
      <c r="H43" s="45">
        <f t="shared" si="4"/>
        <v>17.908587946666671</v>
      </c>
      <c r="I43" t="s">
        <v>109</v>
      </c>
      <c r="J43" t="s">
        <v>113</v>
      </c>
    </row>
  </sheetData>
  <hyperlinks>
    <hyperlink ref="I32" r:id="rId1"/>
  </hyperlinks>
  <pageMargins left="0.7" right="0.7" top="0.75" bottom="0.75" header="0.3" footer="0.3"/>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
  <sheetViews>
    <sheetView workbookViewId="0">
      <selection activeCell="H10" sqref="H10"/>
    </sheetView>
  </sheetViews>
  <sheetFormatPr defaultRowHeight="15" x14ac:dyDescent="0.25"/>
  <cols>
    <col min="3" max="3" width="13.42578125" bestFit="1" customWidth="1"/>
    <col min="4" max="4" width="11.42578125" bestFit="1" customWidth="1"/>
    <col min="5" max="5" width="13.42578125" bestFit="1" customWidth="1"/>
    <col min="6" max="6" width="13.42578125" customWidth="1"/>
    <col min="8" max="8" width="10" bestFit="1" customWidth="1"/>
    <col min="9" max="9" width="14.5703125" bestFit="1" customWidth="1"/>
    <col min="10" max="10" width="12" bestFit="1" customWidth="1"/>
  </cols>
  <sheetData>
    <row r="1" spans="1:10" ht="15.75" x14ac:dyDescent="0.25">
      <c r="A1" s="34" t="s">
        <v>45</v>
      </c>
      <c r="B1" s="34"/>
    </row>
    <row r="2" spans="1:10" ht="15.75" x14ac:dyDescent="0.25">
      <c r="A2" s="34"/>
      <c r="B2" s="34"/>
    </row>
    <row r="3" spans="1:10" x14ac:dyDescent="0.25">
      <c r="C3" s="35" t="s">
        <v>46</v>
      </c>
      <c r="D3" s="35"/>
      <c r="E3" s="36"/>
      <c r="F3" s="36"/>
      <c r="G3" s="35"/>
      <c r="H3" s="36"/>
      <c r="I3" s="36"/>
      <c r="J3" s="36"/>
    </row>
    <row r="4" spans="1:10" x14ac:dyDescent="0.25">
      <c r="A4" s="8" t="s">
        <v>41</v>
      </c>
      <c r="B4" s="8"/>
      <c r="C4" s="8" t="s">
        <v>47</v>
      </c>
      <c r="D4" s="8" t="s">
        <v>48</v>
      </c>
      <c r="E4" s="8" t="s">
        <v>49</v>
      </c>
      <c r="F4" s="8" t="s">
        <v>93</v>
      </c>
      <c r="G4" s="8" t="s">
        <v>42</v>
      </c>
      <c r="H4" s="8" t="s">
        <v>43</v>
      </c>
      <c r="I4" s="8" t="s">
        <v>96</v>
      </c>
      <c r="J4" s="8" t="s">
        <v>44</v>
      </c>
    </row>
    <row r="5" spans="1:10" x14ac:dyDescent="0.25">
      <c r="A5">
        <v>0</v>
      </c>
      <c r="C5">
        <v>1000</v>
      </c>
      <c r="G5" s="48">
        <f>SUM(C5:F5)</f>
        <v>1000</v>
      </c>
    </row>
    <row r="6" spans="1:10" x14ac:dyDescent="0.25">
      <c r="A6">
        <v>1</v>
      </c>
      <c r="C6" s="46">
        <f>C5*pContBleedFEIBA</f>
        <v>115.07286318691668</v>
      </c>
      <c r="D6" s="46">
        <f>C5*pThrombosisFEIBA+D5</f>
        <v>4.348375336410637</v>
      </c>
      <c r="E6" s="46">
        <f>C5*pStopBleedFEIBA+E5</f>
        <v>880</v>
      </c>
      <c r="F6" s="46">
        <f>C5*pDeathFEIBA+F5</f>
        <v>0.57876147667268452</v>
      </c>
      <c r="G6" s="47">
        <f>SUM(B6:F6)</f>
        <v>1000</v>
      </c>
      <c r="H6" s="46">
        <f>IF(A6=1,C6*(cBleedingCont+ cFEIBA) + D6*cICUday + E6*0 + F6*0,C6*(cBleedingCont) + D6*cICUday)</f>
        <v>3113878.3937864681</v>
      </c>
      <c r="I6" s="46">
        <f>SUM(C6:E6)</f>
        <v>999.42123852332736</v>
      </c>
      <c r="J6" s="46">
        <f>(C6*uBleedingCont + D6*uThrombosis + E6*uBleedingStop)</f>
        <v>840.52999635408082</v>
      </c>
    </row>
    <row r="7" spans="1:10" x14ac:dyDescent="0.25">
      <c r="A7">
        <v>2</v>
      </c>
      <c r="C7" s="46">
        <f>C6*pContBleedFEIBA</f>
        <v>13.241763842034842</v>
      </c>
      <c r="D7" s="46">
        <f>C6*pThrombosisFEIBA+D6</f>
        <v>4.8487553365827809</v>
      </c>
      <c r="E7" s="46">
        <f>C6*pStopBleedFEIBA+E6</f>
        <v>981.26411960448672</v>
      </c>
      <c r="F7" s="46">
        <f>C6*pDeathFEIBA+F6</f>
        <v>0.64536121689569825</v>
      </c>
      <c r="G7" s="46">
        <f>SUM(B7:F7)</f>
        <v>1000</v>
      </c>
      <c r="H7" s="77">
        <f>IF(A7=1,C7*(cBleedingCont+ cFEIBA) + D7*cICUday + E7*0 + F7*0,C7*(cBleedingCont) + D7*cICUday)</f>
        <v>50282.35403183414</v>
      </c>
      <c r="I7" s="46">
        <f>SUM(C7:E7)</f>
        <v>999.35463878310429</v>
      </c>
      <c r="J7" s="46">
        <f>(C7*uBleedingCont + D7*uThrombosis + E7*uBleedingStop)</f>
        <v>862.45482855753767</v>
      </c>
    </row>
    <row r="8" spans="1:10" x14ac:dyDescent="0.25">
      <c r="A8">
        <v>3</v>
      </c>
      <c r="C8" s="46">
        <f>C7*pContBleedFEIBA</f>
        <v>1.5237676789479355</v>
      </c>
      <c r="D8" s="46">
        <f>C7*pThrombosisFEIBA+D7</f>
        <v>4.9063354958840595</v>
      </c>
      <c r="E8" s="46">
        <f>C7*pStopBleedFEIBA+E7</f>
        <v>992.91687178547738</v>
      </c>
      <c r="F8" s="46">
        <f>C7*pDeathFEIBA+F7</f>
        <v>0.65302503969066528</v>
      </c>
      <c r="G8" s="46">
        <f>SUM(B8:F8)</f>
        <v>1000</v>
      </c>
      <c r="H8" s="77">
        <f>IF(A8=1,C8*(cBleedingCont+ cFEIBA) + D8*cICUday + E8*0 + F8*0,C8*(cBleedingCont) + D8*cICUday)</f>
        <v>27730.34103267773</v>
      </c>
      <c r="I8" s="46">
        <f>SUM(C8:E8)</f>
        <v>999.34697496030935</v>
      </c>
      <c r="J8" s="46">
        <f>(C8*uBleedingCont + D8*uThrombosis + E8*uBleedingStop)</f>
        <v>864.97778177408213</v>
      </c>
    </row>
    <row r="9" spans="1:10" x14ac:dyDescent="0.25">
      <c r="A9">
        <v>4</v>
      </c>
      <c r="C9" s="46">
        <f>C8*pContBleedFEIBA</f>
        <v>0.17534430964822134</v>
      </c>
      <c r="D9" s="46">
        <f>C8*pThrombosisFEIBA+D8</f>
        <v>4.9129614096776164</v>
      </c>
      <c r="E9" s="46">
        <f>C8*pStopBleedFEIBA+E8</f>
        <v>994.25778734295159</v>
      </c>
      <c r="F9" s="46">
        <f>C8*pDeathFEIBA+F8</f>
        <v>0.6539069377226393</v>
      </c>
      <c r="G9" s="46">
        <f>SUM(B9:F9)</f>
        <v>1000.0000000000001</v>
      </c>
      <c r="H9" s="77">
        <f>IF(A9=1,C9*(cBleedingCont+ cFEIBA) + D9*cICUday + E9*0 + F9*0,C9*(cBleedingCont) + D9*cICUday)</f>
        <v>25135.216326236237</v>
      </c>
      <c r="I9" s="46">
        <f>SUM(C9:E9)</f>
        <v>999.34609306227742</v>
      </c>
      <c r="J9" s="46">
        <f>(C9*uBleedingCont + D9*uThrombosis + E9*uBleedingStop)</f>
        <v>865.26810522439655</v>
      </c>
    </row>
    <row r="10" spans="1:10" x14ac:dyDescent="0.25">
      <c r="A10">
        <v>5</v>
      </c>
      <c r="C10" s="46">
        <f>C9*pContBleedFEIBA</f>
        <v>2.0177371754754127E-2</v>
      </c>
      <c r="D10" s="46">
        <f>C9*pThrombosisFEIBA+D9</f>
        <v>4.9137238725490704</v>
      </c>
      <c r="E10" s="46">
        <f>C9*pStopBleedFEIBA+E9</f>
        <v>994.41209033544203</v>
      </c>
      <c r="F10" s="46">
        <f>C9*pDeathFEIBA+F9</f>
        <v>0.65400842025421746</v>
      </c>
      <c r="G10" s="46">
        <f>SUM(B10:F10)</f>
        <v>1000</v>
      </c>
      <c r="H10" s="77">
        <f>IF(A10=1,C10*(cBleedingCont+ cFEIBA) + D10*cICUday + E10*0 + F10*0,C10*(cBleedingCont) + D10*cICUday)</f>
        <v>24836.587895938908</v>
      </c>
      <c r="I10" s="46">
        <f>SUM(C10:E10)</f>
        <v>999.34599157974583</v>
      </c>
      <c r="J10" s="46">
        <f>(C10*uBleedingCont + D10*uThrombosis + E10*uBleedingStop)</f>
        <v>865.30151357507464</v>
      </c>
    </row>
    <row r="11" spans="1:10" x14ac:dyDescent="0.25">
      <c r="H11" t="s">
        <v>117</v>
      </c>
      <c r="I11" t="s">
        <v>119</v>
      </c>
      <c r="J11" t="s">
        <v>118</v>
      </c>
    </row>
    <row r="12" spans="1:10" x14ac:dyDescent="0.25">
      <c r="H12" s="46">
        <f>SUM(H6:H10)/1000</f>
        <v>3241.8628930731556</v>
      </c>
      <c r="I12" s="46">
        <f>SUM(I6:I10)/1000</f>
        <v>4.9968149369087644</v>
      </c>
      <c r="J12" s="46">
        <f>SUM(J6:J10)/1000</f>
        <v>4.2985322254851717</v>
      </c>
    </row>
    <row r="15" spans="1:10" x14ac:dyDescent="0.25">
      <c r="F15" s="73"/>
    </row>
    <row r="16" spans="1:10" x14ac:dyDescent="0.25">
      <c r="F16" s="73"/>
    </row>
    <row r="17" spans="6:6" x14ac:dyDescent="0.25">
      <c r="F17" s="73"/>
    </row>
    <row r="18" spans="6:6" x14ac:dyDescent="0.25">
      <c r="F18" s="73"/>
    </row>
    <row r="19" spans="6:6" x14ac:dyDescent="0.25">
      <c r="F19" s="7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2"/>
  <sheetViews>
    <sheetView workbookViewId="0">
      <selection activeCell="H6" sqref="H6:H10"/>
    </sheetView>
  </sheetViews>
  <sheetFormatPr defaultRowHeight="15" x14ac:dyDescent="0.25"/>
  <cols>
    <col min="3" max="3" width="13.42578125" bestFit="1" customWidth="1"/>
    <col min="4" max="4" width="11.42578125" bestFit="1" customWidth="1"/>
    <col min="5" max="5" width="13.42578125" bestFit="1" customWidth="1"/>
    <col min="6" max="6" width="13.42578125" customWidth="1"/>
    <col min="8" max="8" width="11.140625" customWidth="1"/>
    <col min="9" max="9" width="15" customWidth="1"/>
    <col min="10" max="10" width="11.42578125" customWidth="1"/>
  </cols>
  <sheetData>
    <row r="1" spans="1:10" ht="15.75" x14ac:dyDescent="0.25">
      <c r="A1" s="34" t="s">
        <v>50</v>
      </c>
      <c r="B1" s="34"/>
    </row>
    <row r="2" spans="1:10" ht="15.75" x14ac:dyDescent="0.25">
      <c r="A2" s="34"/>
      <c r="B2" s="34"/>
    </row>
    <row r="3" spans="1:10" x14ac:dyDescent="0.25">
      <c r="C3" s="35" t="s">
        <v>77</v>
      </c>
      <c r="D3" s="35"/>
      <c r="E3" s="36"/>
      <c r="F3" s="36"/>
      <c r="G3" s="35"/>
      <c r="H3" s="36"/>
      <c r="I3" s="36"/>
      <c r="J3" s="36"/>
    </row>
    <row r="4" spans="1:10" x14ac:dyDescent="0.25">
      <c r="A4" s="8" t="s">
        <v>41</v>
      </c>
      <c r="B4" s="8"/>
      <c r="C4" s="8" t="s">
        <v>47</v>
      </c>
      <c r="D4" s="8" t="s">
        <v>48</v>
      </c>
      <c r="E4" s="8" t="s">
        <v>49</v>
      </c>
      <c r="F4" s="8" t="s">
        <v>93</v>
      </c>
      <c r="G4" s="8" t="s">
        <v>42</v>
      </c>
      <c r="H4" s="8" t="s">
        <v>43</v>
      </c>
      <c r="I4" s="8" t="s">
        <v>96</v>
      </c>
      <c r="J4" s="8" t="s">
        <v>44</v>
      </c>
    </row>
    <row r="5" spans="1:10" x14ac:dyDescent="0.25">
      <c r="A5">
        <v>0</v>
      </c>
      <c r="C5">
        <v>1000</v>
      </c>
      <c r="G5" s="49">
        <f>SUM(C5:F5)</f>
        <v>1000</v>
      </c>
    </row>
    <row r="6" spans="1:10" x14ac:dyDescent="0.25">
      <c r="A6">
        <v>1</v>
      </c>
      <c r="C6" s="49">
        <f>C5*pContBleedrFVIIa</f>
        <v>50.250585209551723</v>
      </c>
      <c r="D6" s="49">
        <f>C5*pThrombosisrFVIIa2+D5</f>
        <v>19.250028410851328</v>
      </c>
      <c r="E6" s="49">
        <f>C5*pStopBleedrFVIIa+E5</f>
        <v>930</v>
      </c>
      <c r="F6" s="49">
        <f>C5*pDeathrFVIIa+F5</f>
        <v>0.49938637959690002</v>
      </c>
      <c r="G6" s="49">
        <f>SUM(B6:F6)</f>
        <v>1000</v>
      </c>
      <c r="H6" s="49">
        <f>IF(A6=1, C6*(cBleedingCont + crFVIIa) + D6*cICUday + E6*0 + F6*0, C6*(cBleedingCont ) + D6*cICUday + E6*0 + F6*0)</f>
        <v>7286464.911432243</v>
      </c>
      <c r="I6" s="49">
        <f>SUM(C6:E6)</f>
        <v>999.5006136204031</v>
      </c>
      <c r="J6" s="49">
        <f>(C6*uBleedingCont + D6*uThrombosis + E6*uBleedingStop)</f>
        <v>854.21290425132372</v>
      </c>
    </row>
    <row r="7" spans="1:10" x14ac:dyDescent="0.25">
      <c r="A7">
        <v>2</v>
      </c>
      <c r="C7" s="49">
        <f>C6*pContBleedrFVIIa</f>
        <v>2.5251213139024182</v>
      </c>
      <c r="D7" s="49">
        <f>C6*pThrombosisrFVIIa2+D6</f>
        <v>20.217353603797104</v>
      </c>
      <c r="E7" s="49">
        <f>C6*pStopBleedrFVIIa+E6</f>
        <v>976.7330442448831</v>
      </c>
      <c r="F7" s="49">
        <f>C6*pDeathrFVIIa+F6</f>
        <v>0.52448083741732354</v>
      </c>
      <c r="G7" s="49">
        <f>SUM(B7:F7)</f>
        <v>999.99999999999989</v>
      </c>
      <c r="H7" s="78">
        <f>IF(A7=1, C7*(cBleedingCont + crFVIIa) + D7*cICUday + E7*0 + F7*0, C7*(cBleedingCont ) + D7*cICUday + E7*0 + F7*0)</f>
        <v>106949.85196663901</v>
      </c>
      <c r="I7" s="49">
        <f>SUM(C7:E7)</f>
        <v>999.4755191625826</v>
      </c>
      <c r="J7" s="49">
        <f>(C7*uBleedingCont + D7*uThrombosis + E7*uBleedingStop)</f>
        <v>864.47472219729491</v>
      </c>
    </row>
    <row r="8" spans="1:10" x14ac:dyDescent="0.25">
      <c r="A8">
        <v>3</v>
      </c>
      <c r="C8" s="49">
        <f>C7*pContBleedrFVIIa</f>
        <v>0.12688882374870866</v>
      </c>
      <c r="D8" s="49">
        <f>C7*pThrombosisrFVIIa2+D7</f>
        <v>20.265962260830573</v>
      </c>
      <c r="E8" s="49">
        <f>C7*pStopBleedrFVIIa+E7</f>
        <v>979.0814070668124</v>
      </c>
      <c r="F8" s="49">
        <f>C7*pDeathrFVIIa+F7</f>
        <v>0.52574184860831619</v>
      </c>
      <c r="G8" s="49">
        <f>SUM(B8:F8)</f>
        <v>1000</v>
      </c>
      <c r="H8" s="78">
        <f>IF(A8=1, C8*(cBleedingCont + crFVIIa) + D8*cICUday + E8*0 + F8*0, C8*(cBleedingCont ) + D8*cICUday + E8*0 + F8*0)</f>
        <v>102520.1385256121</v>
      </c>
      <c r="I8" s="49">
        <f>SUM(C8:E8)</f>
        <v>999.47425815139172</v>
      </c>
      <c r="J8" s="49">
        <f>(C8*uBleedingCont + D8*uThrombosis + E8*uBleedingStop)</f>
        <v>864.99038455439393</v>
      </c>
    </row>
    <row r="9" spans="1:10" x14ac:dyDescent="0.25">
      <c r="A9">
        <v>4</v>
      </c>
      <c r="C9" s="49">
        <f>C8*pContBleedrFVIIa</f>
        <v>6.3762376499242749E-3</v>
      </c>
      <c r="D9" s="49">
        <f>C8*pThrombosisrFVIIa2+D8</f>
        <v>20.268404874292756</v>
      </c>
      <c r="E9" s="49">
        <f>C8*pStopBleedrFVIIa+E8</f>
        <v>979.19941367289869</v>
      </c>
      <c r="F9" s="49">
        <f>C8*pDeathrFVIIa+F8</f>
        <v>0.52580521515861933</v>
      </c>
      <c r="G9" s="49">
        <f>SUM(B9:F9)</f>
        <v>1000</v>
      </c>
      <c r="H9" s="78">
        <f>IF(A9=1, C9*(cBleedingCont + crFVIIa) + D9*cICUday + E9*0 + F9*0, C9*(cBleedingCont ) + D9*cICUday + E9*0 + F9*0)</f>
        <v>102297.54283288987</v>
      </c>
      <c r="I9" s="49">
        <f>SUM(C9:E9)</f>
        <v>999.47419478484142</v>
      </c>
      <c r="J9" s="49">
        <f>(C9*uBleedingCont + D9*uThrombosis + E9*uBleedingStop)</f>
        <v>865.01629688960861</v>
      </c>
    </row>
    <row r="10" spans="1:10" x14ac:dyDescent="0.25">
      <c r="A10">
        <v>5</v>
      </c>
      <c r="C10" s="49">
        <f>C9*pContBleedrFVIIa</f>
        <v>3.2040967334387161E-4</v>
      </c>
      <c r="D10" s="49">
        <f>C9*pThrombosisrFVIIa2+D9</f>
        <v>20.268527617048672</v>
      </c>
      <c r="E10" s="49">
        <f>C9*pStopBleedrFVIIa+E9</f>
        <v>979.20534357391307</v>
      </c>
      <c r="F10" s="49">
        <f>C9*pDeathrFVIIa+F9</f>
        <v>0.52580839936485479</v>
      </c>
      <c r="G10" s="49">
        <f>SUM(B10:F10)</f>
        <v>1000</v>
      </c>
      <c r="H10" s="78">
        <f>IF(A10=1, C10*(cBleedingCont + crFVIIa) + D10*cICUday + E10*0 + F10*0, C10*(cBleedingCont ) + D10*cICUday + E10*0 + F10*0)</f>
        <v>102286.35726906547</v>
      </c>
      <c r="I10" s="49">
        <f>SUM(C10:E10)</f>
        <v>999.47419160063509</v>
      </c>
      <c r="J10" s="49">
        <f>(C10*uBleedingCont + D10*uThrombosis + E10*uBleedingStop)</f>
        <v>865.01759899961723</v>
      </c>
    </row>
    <row r="11" spans="1:10" x14ac:dyDescent="0.25">
      <c r="H11" t="s">
        <v>120</v>
      </c>
      <c r="I11" t="s">
        <v>121</v>
      </c>
      <c r="J11" t="s">
        <v>122</v>
      </c>
    </row>
    <row r="12" spans="1:10" x14ac:dyDescent="0.25">
      <c r="H12" s="46">
        <f>SUM(H6:H10)/1000</f>
        <v>7700.5188020264486</v>
      </c>
      <c r="I12" s="46">
        <f>SUM(I6:I10)/1000</f>
        <v>4.9973987773198543</v>
      </c>
      <c r="J12" s="46">
        <f>SUM(J6:J10)/1000</f>
        <v>4.3137119068922383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J1007"/>
  <sheetViews>
    <sheetView topLeftCell="T1" workbookViewId="0">
      <selection activeCell="AE83" sqref="AE83:AG83"/>
    </sheetView>
  </sheetViews>
  <sheetFormatPr defaultRowHeight="15" x14ac:dyDescent="0.25"/>
  <cols>
    <col min="2" max="2" width="4.7109375" style="51" customWidth="1"/>
    <col min="3" max="3" width="17.7109375" style="24" customWidth="1"/>
    <col min="4" max="4" width="16.5703125" style="24" bestFit="1" customWidth="1"/>
    <col min="5" max="5" width="12.28515625" style="24" bestFit="1" customWidth="1"/>
    <col min="6" max="6" width="11.7109375" style="24" bestFit="1" customWidth="1"/>
    <col min="7" max="7" width="16.140625" style="24" bestFit="1" customWidth="1"/>
    <col min="8" max="8" width="15.5703125" style="24" bestFit="1" customWidth="1"/>
    <col min="9" max="9" width="13.85546875" style="53" customWidth="1"/>
    <col min="10" max="10" width="12.7109375" style="53" bestFit="1" customWidth="1"/>
    <col min="11" max="11" width="13.85546875" style="24" customWidth="1"/>
    <col min="12" max="12" width="13.140625" style="24" bestFit="1" customWidth="1"/>
    <col min="13" max="13" width="11.5703125" style="24" bestFit="1" customWidth="1"/>
    <col min="14" max="14" width="4.7109375" style="51" customWidth="1"/>
    <col min="15" max="15" width="9.28515625" style="53" bestFit="1" customWidth="1"/>
    <col min="16" max="16" width="9.28515625" style="54" bestFit="1" customWidth="1"/>
    <col min="17" max="20" width="9.28515625" style="54" customWidth="1"/>
    <col min="21" max="21" width="1.7109375" style="51" customWidth="1"/>
    <col min="22" max="22" width="12.42578125" style="55" customWidth="1"/>
    <col min="23" max="23" width="11.42578125" style="59" customWidth="1"/>
    <col min="24" max="24" width="10.7109375" style="59" customWidth="1"/>
    <col min="25" max="25" width="2.7109375" style="51" customWidth="1"/>
    <col min="28" max="28" width="12" bestFit="1" customWidth="1"/>
    <col min="29" max="29" width="2.42578125" style="56" customWidth="1"/>
    <col min="33" max="33" width="12" bestFit="1" customWidth="1"/>
    <col min="34" max="34" width="2.42578125" style="51" customWidth="1"/>
  </cols>
  <sheetData>
    <row r="1" spans="1:140" x14ac:dyDescent="0.25">
      <c r="C1" s="52" t="s">
        <v>123</v>
      </c>
      <c r="O1" s="53" t="s">
        <v>124</v>
      </c>
      <c r="W1" s="55" t="s">
        <v>125</v>
      </c>
      <c r="X1" s="73">
        <v>200000</v>
      </c>
    </row>
    <row r="2" spans="1:140" x14ac:dyDescent="0.25">
      <c r="C2" s="57" t="s">
        <v>126</v>
      </c>
      <c r="I2" s="57" t="s">
        <v>127</v>
      </c>
      <c r="K2" s="57" t="s">
        <v>128</v>
      </c>
      <c r="O2" s="53" t="s">
        <v>46</v>
      </c>
      <c r="P2" s="58"/>
      <c r="Q2" s="53" t="s">
        <v>77</v>
      </c>
      <c r="R2" s="58"/>
      <c r="S2" s="53" t="s">
        <v>129</v>
      </c>
      <c r="T2" s="58"/>
      <c r="V2" s="55" t="s">
        <v>130</v>
      </c>
      <c r="X2" s="73"/>
      <c r="Z2" t="s">
        <v>131</v>
      </c>
      <c r="AD2" t="s">
        <v>132</v>
      </c>
    </row>
    <row r="3" spans="1:140" s="60" customFormat="1" x14ac:dyDescent="0.25">
      <c r="B3" s="61"/>
      <c r="C3" s="62" t="s">
        <v>84</v>
      </c>
      <c r="D3" s="62" t="s">
        <v>89</v>
      </c>
      <c r="E3" s="63" t="s">
        <v>86</v>
      </c>
      <c r="F3" s="63" t="s">
        <v>88</v>
      </c>
      <c r="G3" s="10" t="s">
        <v>94</v>
      </c>
      <c r="H3" s="10" t="s">
        <v>95</v>
      </c>
      <c r="I3" s="64" t="s">
        <v>135</v>
      </c>
      <c r="J3" s="64" t="s">
        <v>36</v>
      </c>
      <c r="K3" s="63" t="s">
        <v>38</v>
      </c>
      <c r="L3" s="63" t="s">
        <v>39</v>
      </c>
      <c r="M3" s="63" t="s">
        <v>40</v>
      </c>
      <c r="N3" s="61"/>
      <c r="O3" s="64" t="s">
        <v>44</v>
      </c>
      <c r="P3" s="54" t="s">
        <v>43</v>
      </c>
      <c r="Q3" s="64" t="s">
        <v>44</v>
      </c>
      <c r="R3" s="54" t="s">
        <v>43</v>
      </c>
      <c r="S3" s="64" t="s">
        <v>44</v>
      </c>
      <c r="T3" s="54" t="s">
        <v>43</v>
      </c>
      <c r="U3" s="61"/>
      <c r="V3" s="53" t="s">
        <v>46</v>
      </c>
      <c r="W3" s="53" t="s">
        <v>77</v>
      </c>
      <c r="X3" s="55" t="s">
        <v>159</v>
      </c>
      <c r="Y3" s="61"/>
      <c r="Z3" s="53" t="s">
        <v>46</v>
      </c>
      <c r="AA3" s="53" t="s">
        <v>77</v>
      </c>
      <c r="AB3" s="53" t="s">
        <v>134</v>
      </c>
      <c r="AC3" s="56"/>
      <c r="AD3" s="60" t="s">
        <v>125</v>
      </c>
      <c r="AE3" s="53" t="s">
        <v>46</v>
      </c>
      <c r="AF3" s="53" t="s">
        <v>77</v>
      </c>
      <c r="AG3" s="53" t="s">
        <v>134</v>
      </c>
      <c r="AH3" s="61"/>
    </row>
    <row r="4" spans="1:140" x14ac:dyDescent="0.25">
      <c r="C4" s="65">
        <f>pThrombosisFEIBA</f>
        <v>4.348375336410637E-3</v>
      </c>
      <c r="D4" s="65">
        <f>pThrombosisrFVIIa2</f>
        <v>1.9250028410851328E-2</v>
      </c>
      <c r="E4" s="65">
        <f>pDeathFEIBA</f>
        <v>5.7876147667268452E-4</v>
      </c>
      <c r="F4" s="65">
        <f>pDeathrFVIIa</f>
        <v>4.9938637959690002E-4</v>
      </c>
      <c r="G4" s="65">
        <f>pContBleedFEIBA</f>
        <v>0.11507286318691667</v>
      </c>
      <c r="H4" s="65">
        <f>pContBleedrFVIIa</f>
        <v>5.0250585209551724E-2</v>
      </c>
      <c r="I4" s="66">
        <f>cBleedingCont</f>
        <v>1949.36</v>
      </c>
      <c r="J4" s="66">
        <f>cICUday</f>
        <v>5046.53</v>
      </c>
      <c r="K4" s="65">
        <f>uBleedingCont</f>
        <v>0.65</v>
      </c>
      <c r="L4" s="65">
        <f>uBleedingStop</f>
        <v>0.86599999999999999</v>
      </c>
      <c r="M4" s="65">
        <f>uThrombosis</f>
        <v>0.84</v>
      </c>
      <c r="O4" s="66">
        <f>FEIBAQALY</f>
        <v>4.2985322254851717</v>
      </c>
      <c r="P4" s="67">
        <f>FEIBAcost</f>
        <v>3241.8628930731556</v>
      </c>
      <c r="Q4" s="67">
        <f>rFVIIaQALY</f>
        <v>4.3137119068922383</v>
      </c>
      <c r="R4" s="67">
        <f>rFVIIaCost</f>
        <v>7700.5188020264486</v>
      </c>
      <c r="S4" s="67">
        <f>Q4-O4</f>
        <v>1.5179681407066603E-2</v>
      </c>
      <c r="T4" s="67">
        <f>R4 -P4</f>
        <v>4458.655908953293</v>
      </c>
      <c r="V4" s="102">
        <f>O4*cRatio - P4</f>
        <v>856464.58220396121</v>
      </c>
      <c r="W4" s="79">
        <f>Q4*cRatio -R4</f>
        <v>855041.86257642123</v>
      </c>
      <c r="X4" s="79">
        <f>S4*cRatio - T4</f>
        <v>-1422.7196275399724</v>
      </c>
      <c r="Z4" s="68">
        <f>AVERAGE(Z6:Z1005)</f>
        <v>0.33500000000000002</v>
      </c>
      <c r="AA4" s="68">
        <f>AVERAGE(AA6:AA1005)</f>
        <v>0.66500000000000004</v>
      </c>
      <c r="AB4" s="68">
        <f>AVERAGE(AB6:AB1005)</f>
        <v>0.66500000000000004</v>
      </c>
      <c r="AE4" s="60"/>
      <c r="CO4" s="60"/>
      <c r="CP4" s="60"/>
      <c r="CQ4" s="60"/>
      <c r="CR4" s="60"/>
      <c r="CS4" s="60"/>
      <c r="CT4" s="60"/>
      <c r="CU4" s="60"/>
      <c r="CV4" s="60"/>
      <c r="CW4" s="60"/>
      <c r="CX4" s="60"/>
      <c r="CY4" s="60"/>
      <c r="CZ4" s="60"/>
      <c r="DA4" s="60"/>
      <c r="DB4" s="60"/>
      <c r="DC4" s="60"/>
      <c r="DD4" s="60"/>
      <c r="DE4" s="60"/>
      <c r="DF4" s="60"/>
      <c r="DG4" s="60"/>
      <c r="DH4" s="60"/>
      <c r="DI4" s="60"/>
      <c r="DJ4" s="60"/>
      <c r="DK4" s="60"/>
      <c r="DL4" s="60"/>
      <c r="DM4" s="60"/>
      <c r="DN4" s="60"/>
      <c r="DO4" s="60"/>
      <c r="DP4" s="60"/>
      <c r="DQ4" s="60"/>
      <c r="DR4" s="60"/>
      <c r="DS4" s="60"/>
      <c r="DT4" s="60"/>
      <c r="DU4" s="60"/>
      <c r="DV4" s="60"/>
      <c r="DW4" s="60"/>
      <c r="DX4" s="60"/>
      <c r="DY4" s="60"/>
      <c r="DZ4" s="60"/>
      <c r="EA4" s="60"/>
      <c r="EB4" s="60"/>
      <c r="EC4" s="60"/>
      <c r="ED4" s="60"/>
      <c r="EE4" s="60"/>
      <c r="EF4" s="60"/>
      <c r="EG4" s="60"/>
      <c r="EH4" s="60"/>
      <c r="EI4" s="60"/>
      <c r="EJ4" s="60"/>
    </row>
    <row r="5" spans="1:140" x14ac:dyDescent="0.25">
      <c r="A5" t="s">
        <v>133</v>
      </c>
      <c r="V5"/>
      <c r="W5"/>
      <c r="X5"/>
    </row>
    <row r="6" spans="1:140" x14ac:dyDescent="0.25">
      <c r="A6">
        <v>1</v>
      </c>
      <c r="C6" s="24">
        <v>7.3391683856118544E-7</v>
      </c>
      <c r="D6" s="24">
        <v>4.3951200379009115E-4</v>
      </c>
      <c r="E6" s="24">
        <v>2.2621259224788432E-31</v>
      </c>
      <c r="F6" s="24">
        <v>3.2086555634691649E-12</v>
      </c>
      <c r="G6" s="24">
        <v>0.65979817086451953</v>
      </c>
      <c r="H6" s="24">
        <v>0.255258521772743</v>
      </c>
      <c r="I6" s="53">
        <v>1842.2093957527179</v>
      </c>
      <c r="J6" s="53">
        <v>4583.6061941188491</v>
      </c>
      <c r="K6" s="24">
        <v>0.7202547722645124</v>
      </c>
      <c r="L6" s="24">
        <v>0.8873904324265065</v>
      </c>
      <c r="M6" s="24">
        <v>0.98657465597871397</v>
      </c>
      <c r="O6" s="53">
        <v>4.153336792868906</v>
      </c>
      <c r="P6" s="54">
        <v>19577.549406204038</v>
      </c>
      <c r="Q6" s="54">
        <v>4.3800014862683367</v>
      </c>
      <c r="R6" s="54">
        <v>35835.216107366745</v>
      </c>
      <c r="S6" s="54">
        <v>0.22666469339943074</v>
      </c>
      <c r="T6" s="54">
        <v>16257.666701162707</v>
      </c>
      <c r="V6" s="69">
        <f>O6*cRatio-P6</f>
        <v>811089.80916757719</v>
      </c>
      <c r="W6" s="69">
        <f>Q6*cRatio-R6</f>
        <v>840165.08114630065</v>
      </c>
      <c r="X6" s="69">
        <f>S6*cRatio-T6</f>
        <v>29075.271978723438</v>
      </c>
      <c r="Z6" s="68">
        <f>IF(MAX(V6:W6)=V6,1,0)</f>
        <v>0</v>
      </c>
      <c r="AA6" s="68">
        <f>IF(MAX(V6:W6)=W6,1,0)</f>
        <v>1</v>
      </c>
      <c r="AB6" s="68">
        <f>IF(X6&gt;0,1,0)</f>
        <v>1</v>
      </c>
      <c r="AD6">
        <v>0</v>
      </c>
      <c r="AE6">
        <v>0.99299999999999999</v>
      </c>
      <c r="AF6">
        <v>7.0000000000000001E-3</v>
      </c>
      <c r="AG6">
        <v>7.0000000000000001E-3</v>
      </c>
    </row>
    <row r="7" spans="1:140" x14ac:dyDescent="0.25">
      <c r="A7">
        <v>2</v>
      </c>
      <c r="C7" s="24">
        <v>5.3994531251198383E-7</v>
      </c>
      <c r="D7" s="24">
        <v>7.7004199822491935E-4</v>
      </c>
      <c r="E7" s="24">
        <v>3.0682284580730499E-13</v>
      </c>
      <c r="F7" s="24">
        <v>3.7732692481640129E-7</v>
      </c>
      <c r="G7" s="24">
        <v>0.54991413251116683</v>
      </c>
      <c r="H7" s="24">
        <v>0.28812227937474433</v>
      </c>
      <c r="I7" s="53">
        <v>1966.5322307444371</v>
      </c>
      <c r="J7" s="53">
        <v>6052.0138930996109</v>
      </c>
      <c r="K7" s="24">
        <v>0.77057853367185425</v>
      </c>
      <c r="L7" s="24">
        <v>0.91241040581512689</v>
      </c>
      <c r="M7" s="24">
        <v>0.80788316220744483</v>
      </c>
      <c r="O7" s="53">
        <v>4.3974762178891202</v>
      </c>
      <c r="P7" s="54">
        <v>13156.168532967629</v>
      </c>
      <c r="Q7" s="54">
        <v>4.5042397073212967</v>
      </c>
      <c r="R7" s="54">
        <v>40401.659255719052</v>
      </c>
      <c r="S7" s="54">
        <v>0.10676348943217651</v>
      </c>
      <c r="T7" s="54">
        <v>27245.490722751423</v>
      </c>
      <c r="V7" s="69">
        <f>O7*cRatio-P7</f>
        <v>866339.07504485641</v>
      </c>
      <c r="W7" s="69">
        <f>Q7*cRatio-R7</f>
        <v>860446.28220854036</v>
      </c>
      <c r="X7" s="69">
        <f t="shared" ref="X7:X70" si="0">S7*cRatio-T7</f>
        <v>-5892.7928363161227</v>
      </c>
      <c r="Z7" s="68">
        <f>IF(MAX(V7:W7)=V7,1,0)</f>
        <v>1</v>
      </c>
      <c r="AA7" s="68">
        <f>IF(MAX(V7:W7)=W7,1,0)</f>
        <v>0</v>
      </c>
      <c r="AB7" s="68">
        <f t="shared" ref="AB7:AB70" si="1">IF(X7&gt;0,1,0)</f>
        <v>0</v>
      </c>
      <c r="AD7">
        <v>100</v>
      </c>
      <c r="AE7">
        <v>0.99299999999999999</v>
      </c>
      <c r="AF7">
        <v>7.0000000000000001E-3</v>
      </c>
      <c r="AG7">
        <v>7.0000000000000001E-3</v>
      </c>
    </row>
    <row r="8" spans="1:140" x14ac:dyDescent="0.25">
      <c r="A8">
        <v>3</v>
      </c>
      <c r="C8" s="24">
        <v>5.5544726347565687E-8</v>
      </c>
      <c r="D8" s="24">
        <v>4.4174411641575208E-4</v>
      </c>
      <c r="E8" s="24">
        <v>1.4493137216516392E-16</v>
      </c>
      <c r="F8" s="24">
        <v>1.0411443408071247E-21</v>
      </c>
      <c r="G8" s="24">
        <v>0.61873489039509066</v>
      </c>
      <c r="H8" s="24">
        <v>0.25898123360766967</v>
      </c>
      <c r="I8" s="53">
        <v>1733.0035810375061</v>
      </c>
      <c r="J8" s="53">
        <v>4641.908582606532</v>
      </c>
      <c r="K8" s="24">
        <v>0.69002421126306401</v>
      </c>
      <c r="L8" s="24">
        <v>0.91267539061767411</v>
      </c>
      <c r="M8" s="24">
        <v>0.89649327785135002</v>
      </c>
      <c r="O8" s="53">
        <v>4.234814336973165</v>
      </c>
      <c r="P8" s="54">
        <v>16910.242709480994</v>
      </c>
      <c r="Q8" s="54">
        <v>4.4856076078448339</v>
      </c>
      <c r="R8" s="54">
        <v>35576.804787240981</v>
      </c>
      <c r="S8" s="54">
        <v>0.25079327087166892</v>
      </c>
      <c r="T8" s="54">
        <v>18666.562077759987</v>
      </c>
      <c r="V8" s="69">
        <f>O8*cRatio-P8</f>
        <v>830052.62468515197</v>
      </c>
      <c r="W8" s="69">
        <f>Q8*cRatio-R8</f>
        <v>861544.71678172587</v>
      </c>
      <c r="X8" s="69">
        <f t="shared" si="0"/>
        <v>31492.092096573793</v>
      </c>
      <c r="Z8" s="68">
        <f>IF(MAX(V8:W8)=V8,1,0)</f>
        <v>0</v>
      </c>
      <c r="AA8" s="68">
        <f>IF(MAX(V8:W8)=W8,1,0)</f>
        <v>1</v>
      </c>
      <c r="AB8" s="68">
        <f t="shared" si="1"/>
        <v>1</v>
      </c>
      <c r="AD8">
        <v>200</v>
      </c>
      <c r="AE8">
        <v>0.99299999999999999</v>
      </c>
      <c r="AF8">
        <v>7.0000000000000001E-3</v>
      </c>
      <c r="AG8">
        <v>7.0000000000000001E-3</v>
      </c>
    </row>
    <row r="9" spans="1:140" x14ac:dyDescent="0.25">
      <c r="A9">
        <v>4</v>
      </c>
      <c r="C9" s="24">
        <v>3.5063448550201715E-2</v>
      </c>
      <c r="D9" s="24">
        <v>2.4241875975932192E-3</v>
      </c>
      <c r="E9" s="24">
        <v>2.2875770112790178E-15</v>
      </c>
      <c r="F9" s="24">
        <v>4.4408920985006262E-15</v>
      </c>
      <c r="G9" s="24">
        <v>0.51155266176259384</v>
      </c>
      <c r="H9" s="24">
        <v>0.25935048642008407</v>
      </c>
      <c r="I9" s="53">
        <v>1909.6769995924619</v>
      </c>
      <c r="J9" s="53">
        <v>4892.3979737081563</v>
      </c>
      <c r="K9" s="24">
        <v>0.64800036739552569</v>
      </c>
      <c r="L9" s="24">
        <v>0.97598533529883924</v>
      </c>
      <c r="M9" s="24">
        <v>0.85180440678915681</v>
      </c>
      <c r="O9" s="53">
        <v>4.5128970148371659</v>
      </c>
      <c r="P9" s="54">
        <v>15387.915199421512</v>
      </c>
      <c r="Q9" s="54">
        <v>4.7633220631546083</v>
      </c>
      <c r="R9" s="54">
        <v>32745.820771117287</v>
      </c>
      <c r="S9" s="54">
        <v>0.25042504831744239</v>
      </c>
      <c r="T9" s="54">
        <v>17357.905571695774</v>
      </c>
      <c r="V9" s="69">
        <f>O9*cRatio-P9</f>
        <v>887191.48776801175</v>
      </c>
      <c r="W9" s="69">
        <f>Q9*cRatio-R9</f>
        <v>919918.59185980447</v>
      </c>
      <c r="X9" s="69">
        <f t="shared" si="0"/>
        <v>32727.104091792702</v>
      </c>
      <c r="Z9" s="68">
        <f>IF(MAX(V9:W9)=V9,1,0)</f>
        <v>0</v>
      </c>
      <c r="AA9" s="68">
        <f>IF(MAX(V9:W9)=W9,1,0)</f>
        <v>1</v>
      </c>
      <c r="AB9" s="68">
        <f t="shared" si="1"/>
        <v>1</v>
      </c>
      <c r="AD9">
        <v>300</v>
      </c>
      <c r="AE9">
        <v>0.99299999999999999</v>
      </c>
      <c r="AF9">
        <v>7.0000000000000001E-3</v>
      </c>
      <c r="AG9">
        <v>7.0000000000000001E-3</v>
      </c>
    </row>
    <row r="10" spans="1:140" x14ac:dyDescent="0.25">
      <c r="A10">
        <v>5</v>
      </c>
      <c r="C10" s="24">
        <v>1.8896021338943303E-4</v>
      </c>
      <c r="D10" s="24">
        <v>9.5164966727433284E-4</v>
      </c>
      <c r="E10" s="24">
        <v>2.2196404950844961E-3</v>
      </c>
      <c r="F10" s="24">
        <v>4.3528464067176461E-23</v>
      </c>
      <c r="G10" s="24">
        <v>0.46372589257911978</v>
      </c>
      <c r="H10" s="24">
        <v>0.23721453575736551</v>
      </c>
      <c r="I10" s="53">
        <v>1496.5154278518885</v>
      </c>
      <c r="J10" s="53">
        <v>4812.4274410110283</v>
      </c>
      <c r="K10" s="24">
        <v>0.68573218448780193</v>
      </c>
      <c r="L10" s="24">
        <v>0.78665950783674898</v>
      </c>
      <c r="M10" s="24">
        <v>0.8669047127386672</v>
      </c>
      <c r="O10" s="53">
        <v>3.834488014032797</v>
      </c>
      <c r="P10" s="54">
        <v>13254.966283360343</v>
      </c>
      <c r="Q10" s="54">
        <v>3.9024037289589959</v>
      </c>
      <c r="R10" s="54">
        <v>37005.930278944426</v>
      </c>
      <c r="S10" s="54">
        <v>6.7915714926198856E-2</v>
      </c>
      <c r="T10" s="54">
        <v>23750.963995584083</v>
      </c>
      <c r="V10" s="69">
        <f t="shared" ref="V10:V73" si="2">O10*cRatio-P10</f>
        <v>753642.63652319903</v>
      </c>
      <c r="W10" s="69">
        <f t="shared" ref="W10:W73" si="3">Q10*cRatio-R10</f>
        <v>743474.81551285472</v>
      </c>
      <c r="X10" s="69">
        <f t="shared" si="0"/>
        <v>-10167.821010344313</v>
      </c>
      <c r="Z10" s="68">
        <f t="shared" ref="Z10:Z73" si="4">IF(MAX(V10:W10)=V10,1,0)</f>
        <v>1</v>
      </c>
      <c r="AA10" s="68">
        <f t="shared" ref="AA10:AA73" si="5">IF(MAX(V10:W10)=W10,1,0)</f>
        <v>0</v>
      </c>
      <c r="AB10" s="68">
        <f t="shared" si="1"/>
        <v>0</v>
      </c>
      <c r="AD10">
        <v>400</v>
      </c>
      <c r="AE10">
        <v>0.99299999999999999</v>
      </c>
      <c r="AF10">
        <v>7.0000000000000001E-3</v>
      </c>
      <c r="AG10">
        <v>7.0000000000000001E-3</v>
      </c>
    </row>
    <row r="11" spans="1:140" x14ac:dyDescent="0.25">
      <c r="A11">
        <v>6</v>
      </c>
      <c r="C11" s="24">
        <v>5.251954858420671E-5</v>
      </c>
      <c r="D11" s="24">
        <v>2.2320483590571272E-4</v>
      </c>
      <c r="E11" s="24">
        <v>8.824965161191188E-18</v>
      </c>
      <c r="F11" s="24">
        <v>2.248774935023392E-66</v>
      </c>
      <c r="G11" s="24">
        <v>0.44009885188190934</v>
      </c>
      <c r="H11" s="24">
        <v>0.27514235273259935</v>
      </c>
      <c r="I11" s="53">
        <v>2028.2680898318681</v>
      </c>
      <c r="J11" s="53">
        <v>4604.8831993275853</v>
      </c>
      <c r="K11" s="24">
        <v>0.68357205339592686</v>
      </c>
      <c r="L11" s="24">
        <v>0.74394304578803949</v>
      </c>
      <c r="M11" s="24">
        <v>0.8438086193544343</v>
      </c>
      <c r="O11" s="53">
        <v>3.6730849033586828</v>
      </c>
      <c r="P11" s="54">
        <v>11736.147671812367</v>
      </c>
      <c r="Q11" s="54">
        <v>3.6969777714612246</v>
      </c>
      <c r="R11" s="54">
        <v>41080.659214512707</v>
      </c>
      <c r="S11" s="54">
        <v>2.3892868102541875E-2</v>
      </c>
      <c r="T11" s="54">
        <v>29344.51154270034</v>
      </c>
      <c r="V11" s="69">
        <f t="shared" si="2"/>
        <v>722880.8329999242</v>
      </c>
      <c r="W11" s="69">
        <f t="shared" si="3"/>
        <v>698314.89507773228</v>
      </c>
      <c r="X11" s="69">
        <f t="shared" si="0"/>
        <v>-24565.937922191966</v>
      </c>
      <c r="Z11" s="68">
        <f t="shared" si="4"/>
        <v>1</v>
      </c>
      <c r="AA11" s="68">
        <f t="shared" si="5"/>
        <v>0</v>
      </c>
      <c r="AB11" s="68">
        <f t="shared" si="1"/>
        <v>0</v>
      </c>
      <c r="AD11">
        <v>500</v>
      </c>
      <c r="AE11">
        <v>0.99299999999999999</v>
      </c>
      <c r="AF11">
        <v>7.0000000000000001E-3</v>
      </c>
      <c r="AG11">
        <v>7.0000000000000001E-3</v>
      </c>
    </row>
    <row r="12" spans="1:140" x14ac:dyDescent="0.25">
      <c r="A12">
        <v>7</v>
      </c>
      <c r="C12" s="24">
        <v>1.5806292381342936E-10</v>
      </c>
      <c r="D12" s="24">
        <v>3.9935894643259348E-4</v>
      </c>
      <c r="E12" s="24">
        <v>1.6629841947946034E-10</v>
      </c>
      <c r="F12" s="24">
        <v>3.3771985208375099E-11</v>
      </c>
      <c r="G12" s="24">
        <v>0.62673660614261339</v>
      </c>
      <c r="H12" s="24">
        <v>0.30407281906393047</v>
      </c>
      <c r="I12" s="53">
        <v>2565.4960304866249</v>
      </c>
      <c r="J12" s="53">
        <v>4344.5578715307065</v>
      </c>
      <c r="K12" s="24">
        <v>0.66138786206740563</v>
      </c>
      <c r="L12" s="24">
        <v>0.97025128689290352</v>
      </c>
      <c r="M12" s="24">
        <v>0.94613374304956133</v>
      </c>
      <c r="O12" s="53">
        <v>4.3828010012421519</v>
      </c>
      <c r="P12" s="54">
        <v>23993.46797655589</v>
      </c>
      <c r="Q12" s="54">
        <v>4.716591775213403</v>
      </c>
      <c r="R12" s="54">
        <v>47172.423728029098</v>
      </c>
      <c r="S12" s="54">
        <v>0.33379077397125112</v>
      </c>
      <c r="T12" s="54">
        <v>23178.955751473208</v>
      </c>
      <c r="V12" s="69">
        <f t="shared" si="2"/>
        <v>852566.73227187444</v>
      </c>
      <c r="W12" s="69">
        <f t="shared" si="3"/>
        <v>896145.93131465151</v>
      </c>
      <c r="X12" s="69">
        <f t="shared" si="0"/>
        <v>43579.199042777014</v>
      </c>
      <c r="Z12" s="68">
        <f t="shared" si="4"/>
        <v>0</v>
      </c>
      <c r="AA12" s="68">
        <f t="shared" si="5"/>
        <v>1</v>
      </c>
      <c r="AB12" s="68">
        <f t="shared" si="1"/>
        <v>1</v>
      </c>
      <c r="AD12">
        <v>600</v>
      </c>
      <c r="AE12">
        <v>0.99299999999999999</v>
      </c>
      <c r="AF12">
        <v>7.0000000000000001E-3</v>
      </c>
      <c r="AG12">
        <v>7.0000000000000001E-3</v>
      </c>
    </row>
    <row r="13" spans="1:140" x14ac:dyDescent="0.25">
      <c r="A13">
        <v>8</v>
      </c>
      <c r="C13" s="24">
        <v>2.6295696048905914E-2</v>
      </c>
      <c r="D13" s="24">
        <v>8.6748229519627573E-3</v>
      </c>
      <c r="E13" s="24">
        <v>1.2671575688738557E-7</v>
      </c>
      <c r="F13" s="24">
        <v>2.4402952392144073E-7</v>
      </c>
      <c r="G13" s="24">
        <v>0.45207047957177049</v>
      </c>
      <c r="H13" s="24">
        <v>0.32975465848072771</v>
      </c>
      <c r="I13" s="53">
        <v>2485.0382394576209</v>
      </c>
      <c r="J13" s="53">
        <v>5105.2075018203004</v>
      </c>
      <c r="K13" s="24">
        <v>0.56835616633702002</v>
      </c>
      <c r="L13" s="24">
        <v>0.84849092717888108</v>
      </c>
      <c r="M13" s="24">
        <v>0.72379920567458023</v>
      </c>
      <c r="O13" s="53">
        <v>3.9906154920751629</v>
      </c>
      <c r="P13" s="54">
        <v>12829.355322180008</v>
      </c>
      <c r="Q13" s="54">
        <v>4.0978884780202378</v>
      </c>
      <c r="R13" s="54">
        <v>36201.562456648273</v>
      </c>
      <c r="S13" s="54">
        <v>0.10727298594507495</v>
      </c>
      <c r="T13" s="54">
        <v>23372.207134468263</v>
      </c>
      <c r="V13" s="69">
        <f t="shared" si="2"/>
        <v>785293.74309285264</v>
      </c>
      <c r="W13" s="69">
        <f t="shared" si="3"/>
        <v>783376.13314739917</v>
      </c>
      <c r="X13" s="69">
        <f t="shared" si="0"/>
        <v>-1917.6099454532741</v>
      </c>
      <c r="Z13" s="68">
        <f t="shared" si="4"/>
        <v>1</v>
      </c>
      <c r="AA13" s="68">
        <f t="shared" si="5"/>
        <v>0</v>
      </c>
      <c r="AB13" s="68">
        <f t="shared" si="1"/>
        <v>0</v>
      </c>
      <c r="AD13">
        <v>700</v>
      </c>
      <c r="AE13">
        <v>0.99299999999999999</v>
      </c>
      <c r="AF13">
        <v>7.0000000000000001E-3</v>
      </c>
      <c r="AG13">
        <v>7.0000000000000001E-3</v>
      </c>
    </row>
    <row r="14" spans="1:140" x14ac:dyDescent="0.25">
      <c r="A14">
        <v>9</v>
      </c>
      <c r="C14" s="24">
        <v>3.5465650702326767E-8</v>
      </c>
      <c r="D14" s="24">
        <v>2.6702737878934728E-5</v>
      </c>
      <c r="E14" s="24">
        <v>5.1692768899400649E-23</v>
      </c>
      <c r="F14" s="24">
        <v>1.0870981574506722E-4</v>
      </c>
      <c r="G14" s="24">
        <v>0.60528013396553604</v>
      </c>
      <c r="H14" s="24">
        <v>0.26432629609802627</v>
      </c>
      <c r="I14" s="53">
        <v>1973.2971372196555</v>
      </c>
      <c r="J14" s="53">
        <v>4988.5619495248629</v>
      </c>
      <c r="K14" s="24">
        <v>0.66965559290928489</v>
      </c>
      <c r="L14" s="24">
        <v>0.95121178884302804</v>
      </c>
      <c r="M14" s="24">
        <v>0.88577453530564654</v>
      </c>
      <c r="O14" s="53">
        <v>4.359385114729089</v>
      </c>
      <c r="P14" s="54">
        <v>22307.002530033049</v>
      </c>
      <c r="Q14" s="54">
        <v>4.65436343667632</v>
      </c>
      <c r="R14" s="54">
        <v>32059.207543063661</v>
      </c>
      <c r="S14" s="54">
        <v>0.29497832194723106</v>
      </c>
      <c r="T14" s="54">
        <v>9752.2050130306125</v>
      </c>
      <c r="V14" s="69">
        <f t="shared" si="2"/>
        <v>849570.02041578479</v>
      </c>
      <c r="W14" s="69">
        <f t="shared" si="3"/>
        <v>898813.47979220038</v>
      </c>
      <c r="X14" s="69">
        <f t="shared" si="0"/>
        <v>49243.459376415602</v>
      </c>
      <c r="Z14" s="68">
        <f t="shared" si="4"/>
        <v>0</v>
      </c>
      <c r="AA14" s="68">
        <f t="shared" si="5"/>
        <v>1</v>
      </c>
      <c r="AB14" s="68">
        <f t="shared" si="1"/>
        <v>1</v>
      </c>
      <c r="AD14">
        <v>800</v>
      </c>
      <c r="AE14">
        <v>0.99299999999999999</v>
      </c>
      <c r="AF14">
        <v>7.0000000000000001E-3</v>
      </c>
      <c r="AG14">
        <v>7.0000000000000001E-3</v>
      </c>
    </row>
    <row r="15" spans="1:140" x14ac:dyDescent="0.25">
      <c r="A15">
        <v>10</v>
      </c>
      <c r="C15" s="24">
        <v>8.342057937231216E-7</v>
      </c>
      <c r="D15" s="24">
        <v>1.1685859249027842E-4</v>
      </c>
      <c r="E15" s="24">
        <v>6.710898882452021E-3</v>
      </c>
      <c r="F15" s="24">
        <v>4.2837914849296635E-30</v>
      </c>
      <c r="G15" s="24">
        <v>0.49850328722552617</v>
      </c>
      <c r="H15" s="24">
        <v>0.30062140466170362</v>
      </c>
      <c r="I15" s="53">
        <v>1415.8991278543187</v>
      </c>
      <c r="J15" s="53">
        <v>4690.3530388351401</v>
      </c>
      <c r="K15" s="24">
        <v>0.80733711501399097</v>
      </c>
      <c r="L15" s="24">
        <v>0.87479346184684892</v>
      </c>
      <c r="M15" s="24">
        <v>0.74815289610824953</v>
      </c>
      <c r="O15" s="53">
        <v>4.2617238728621452</v>
      </c>
      <c r="P15" s="54">
        <v>15132.665391338585</v>
      </c>
      <c r="Q15" s="54">
        <v>4.3449462876535065</v>
      </c>
      <c r="R15" s="54">
        <v>43242.184945045679</v>
      </c>
      <c r="S15" s="54">
        <v>8.3222414791361388E-2</v>
      </c>
      <c r="T15" s="54">
        <v>28109.519553707094</v>
      </c>
      <c r="V15" s="69">
        <f t="shared" si="2"/>
        <v>837212.10918109037</v>
      </c>
      <c r="W15" s="69">
        <f t="shared" si="3"/>
        <v>825747.07258565561</v>
      </c>
      <c r="X15" s="69">
        <f t="shared" si="0"/>
        <v>-11465.036595434816</v>
      </c>
      <c r="Z15" s="68">
        <f t="shared" si="4"/>
        <v>1</v>
      </c>
      <c r="AA15" s="68">
        <f t="shared" si="5"/>
        <v>0</v>
      </c>
      <c r="AB15" s="68">
        <f t="shared" si="1"/>
        <v>0</v>
      </c>
      <c r="AD15">
        <v>900</v>
      </c>
      <c r="AE15">
        <v>0.99299999999999999</v>
      </c>
      <c r="AF15">
        <v>7.0000000000000001E-3</v>
      </c>
      <c r="AG15">
        <v>7.0000000000000001E-3</v>
      </c>
    </row>
    <row r="16" spans="1:140" x14ac:dyDescent="0.25">
      <c r="A16">
        <v>11</v>
      </c>
      <c r="C16" s="24">
        <v>2.2476109570065785E-9</v>
      </c>
      <c r="D16" s="24">
        <v>7.9195672682857293E-4</v>
      </c>
      <c r="E16" s="24">
        <v>5.4340768933023886E-32</v>
      </c>
      <c r="F16" s="24">
        <v>4.1113876682078179E-63</v>
      </c>
      <c r="G16" s="24">
        <v>0.63301637974704406</v>
      </c>
      <c r="H16" s="24">
        <v>0.26314098742411673</v>
      </c>
      <c r="I16" s="53">
        <v>1679.6889663367938</v>
      </c>
      <c r="J16" s="53">
        <v>5213.6479781147846</v>
      </c>
      <c r="K16" s="24">
        <v>0.50049290815883507</v>
      </c>
      <c r="L16" s="24">
        <v>0.95527889306034441</v>
      </c>
      <c r="M16" s="24">
        <v>0.57254859577733663</v>
      </c>
      <c r="O16" s="53">
        <v>4.0716614618160305</v>
      </c>
      <c r="P16" s="54">
        <v>15588.83730834999</v>
      </c>
      <c r="Q16" s="54">
        <v>4.6122799363706228</v>
      </c>
      <c r="R16" s="54">
        <v>33095.462272166915</v>
      </c>
      <c r="S16" s="54">
        <v>0.54061847455459233</v>
      </c>
      <c r="T16" s="54">
        <v>17506.624963816925</v>
      </c>
      <c r="V16" s="69">
        <f t="shared" si="2"/>
        <v>798743.45505485614</v>
      </c>
      <c r="W16" s="69">
        <f t="shared" si="3"/>
        <v>889360.52500195755</v>
      </c>
      <c r="X16" s="69">
        <f t="shared" si="0"/>
        <v>90617.06994710154</v>
      </c>
      <c r="Z16" s="68">
        <f t="shared" si="4"/>
        <v>0</v>
      </c>
      <c r="AA16" s="68">
        <f t="shared" si="5"/>
        <v>1</v>
      </c>
      <c r="AB16" s="68">
        <f t="shared" si="1"/>
        <v>1</v>
      </c>
      <c r="AD16">
        <v>1000</v>
      </c>
      <c r="AE16">
        <v>0.99299999999999999</v>
      </c>
      <c r="AF16">
        <v>7.0000000000000001E-3</v>
      </c>
      <c r="AG16">
        <v>7.0000000000000001E-3</v>
      </c>
    </row>
    <row r="17" spans="1:33" x14ac:dyDescent="0.25">
      <c r="A17">
        <v>12</v>
      </c>
      <c r="C17" s="24">
        <v>1.0202441272373395E-5</v>
      </c>
      <c r="D17" s="24">
        <v>4.8641797297993561E-3</v>
      </c>
      <c r="E17" s="24">
        <v>2.539684689519577E-57</v>
      </c>
      <c r="F17" s="24">
        <v>5.2135350148141413E-8</v>
      </c>
      <c r="G17" s="24">
        <v>0.5781309996590227</v>
      </c>
      <c r="H17" s="24">
        <v>0.30963543521130399</v>
      </c>
      <c r="I17" s="53">
        <v>2542.2931473215008</v>
      </c>
      <c r="J17" s="53">
        <v>5111.7795555886532</v>
      </c>
      <c r="K17" s="24">
        <v>0.75441412598335622</v>
      </c>
      <c r="L17" s="24">
        <v>0.95220593748198723</v>
      </c>
      <c r="M17" s="24">
        <v>0.87525529838483085</v>
      </c>
      <c r="O17" s="53">
        <v>4.5074741154068123</v>
      </c>
      <c r="P17" s="54">
        <v>16420.019258605476</v>
      </c>
      <c r="Q17" s="54">
        <v>4.6701018135035754</v>
      </c>
      <c r="R17" s="54">
        <v>47196.107008762629</v>
      </c>
      <c r="S17" s="54">
        <v>0.16262769809676314</v>
      </c>
      <c r="T17" s="54">
        <v>30776.087750157152</v>
      </c>
      <c r="V17" s="69">
        <f t="shared" si="2"/>
        <v>885074.80382275698</v>
      </c>
      <c r="W17" s="69">
        <f t="shared" si="3"/>
        <v>886824.25569195242</v>
      </c>
      <c r="X17" s="69">
        <f t="shared" si="0"/>
        <v>1749.4518691954763</v>
      </c>
      <c r="Z17" s="68">
        <f t="shared" si="4"/>
        <v>0</v>
      </c>
      <c r="AA17" s="68">
        <f t="shared" si="5"/>
        <v>1</v>
      </c>
      <c r="AB17" s="68">
        <f t="shared" si="1"/>
        <v>1</v>
      </c>
      <c r="AD17">
        <v>1500</v>
      </c>
      <c r="AE17">
        <v>0.99199999999999999</v>
      </c>
      <c r="AF17">
        <v>8.0000000000000002E-3</v>
      </c>
      <c r="AG17">
        <v>8.0000000000000002E-3</v>
      </c>
    </row>
    <row r="18" spans="1:33" x14ac:dyDescent="0.25">
      <c r="A18">
        <v>13</v>
      </c>
      <c r="C18" s="24">
        <v>1.4013991892795064E-3</v>
      </c>
      <c r="D18" s="24">
        <v>8.2952440842596102E-4</v>
      </c>
      <c r="E18" s="24">
        <v>6.7148873257965714E-46</v>
      </c>
      <c r="F18" s="24">
        <v>4.8849813083506888E-14</v>
      </c>
      <c r="G18" s="24">
        <v>0.69011246032657936</v>
      </c>
      <c r="H18" s="24">
        <v>0.24925841731569132</v>
      </c>
      <c r="I18" s="53">
        <v>1894.8575607044238</v>
      </c>
      <c r="J18" s="53">
        <v>4890.7757213771911</v>
      </c>
      <c r="K18" s="24">
        <v>0.78120349502485331</v>
      </c>
      <c r="L18" s="24">
        <v>0.80283143029863491</v>
      </c>
      <c r="M18" s="24">
        <v>0.89559465818028361</v>
      </c>
      <c r="O18" s="53">
        <v>3.9748410410941459</v>
      </c>
      <c r="P18" s="54">
        <v>17071.019057759997</v>
      </c>
      <c r="Q18" s="54">
        <v>4.0074617251204616</v>
      </c>
      <c r="R18" s="54">
        <v>31255.902248635946</v>
      </c>
      <c r="S18" s="54">
        <v>3.2620684026315683E-2</v>
      </c>
      <c r="T18" s="54">
        <v>14184.883190875949</v>
      </c>
      <c r="V18" s="69">
        <f t="shared" si="2"/>
        <v>777897.18916106923</v>
      </c>
      <c r="W18" s="69">
        <f t="shared" si="3"/>
        <v>770236.44277545647</v>
      </c>
      <c r="X18" s="69">
        <f t="shared" si="0"/>
        <v>-7660.7463856128124</v>
      </c>
      <c r="Z18" s="68">
        <f t="shared" si="4"/>
        <v>1</v>
      </c>
      <c r="AA18" s="68">
        <f t="shared" si="5"/>
        <v>0</v>
      </c>
      <c r="AB18" s="68">
        <f t="shared" si="1"/>
        <v>0</v>
      </c>
      <c r="AD18">
        <v>2000</v>
      </c>
      <c r="AE18">
        <v>0.99099999999999999</v>
      </c>
      <c r="AF18">
        <v>8.9999999999999993E-3</v>
      </c>
      <c r="AG18">
        <v>8.9999999999999993E-3</v>
      </c>
    </row>
    <row r="19" spans="1:33" x14ac:dyDescent="0.25">
      <c r="A19">
        <v>14</v>
      </c>
      <c r="C19" s="24">
        <v>8.3264086429854604E-10</v>
      </c>
      <c r="D19" s="24">
        <v>8.2448931499245961E-4</v>
      </c>
      <c r="E19" s="24">
        <v>3.7847494423855191E-45</v>
      </c>
      <c r="F19" s="24">
        <v>6.5340669086477732E-7</v>
      </c>
      <c r="G19" s="24">
        <v>0.70315005246657813</v>
      </c>
      <c r="H19" s="24">
        <v>0.29813905243894623</v>
      </c>
      <c r="I19" s="53">
        <v>2045.892647907021</v>
      </c>
      <c r="J19" s="53">
        <v>5140.0031172754661</v>
      </c>
      <c r="K19" s="24">
        <v>0.64011483624711718</v>
      </c>
      <c r="L19" s="24">
        <v>0.95569415577878647</v>
      </c>
      <c r="M19" s="24">
        <v>0.72167793268149905</v>
      </c>
      <c r="O19" s="53">
        <v>4.1594434945739049</v>
      </c>
      <c r="P19" s="54">
        <v>17429.113828277048</v>
      </c>
      <c r="Q19" s="54">
        <v>4.6434715261439683</v>
      </c>
      <c r="R19" s="54">
        <v>49739.558816628502</v>
      </c>
      <c r="S19" s="54">
        <v>0.48402803157006336</v>
      </c>
      <c r="T19" s="54">
        <v>32310.444988351454</v>
      </c>
      <c r="V19" s="69">
        <f t="shared" si="2"/>
        <v>814459.58508650388</v>
      </c>
      <c r="W19" s="69">
        <f t="shared" si="3"/>
        <v>878954.74641216511</v>
      </c>
      <c r="X19" s="69">
        <f t="shared" si="0"/>
        <v>64495.161325661211</v>
      </c>
      <c r="Z19" s="68">
        <f t="shared" si="4"/>
        <v>0</v>
      </c>
      <c r="AA19" s="68">
        <f t="shared" si="5"/>
        <v>1</v>
      </c>
      <c r="AB19" s="68">
        <f t="shared" si="1"/>
        <v>1</v>
      </c>
      <c r="AD19">
        <v>2500</v>
      </c>
      <c r="AE19">
        <v>0.99</v>
      </c>
      <c r="AF19">
        <v>0.01</v>
      </c>
      <c r="AG19">
        <v>0.01</v>
      </c>
    </row>
    <row r="20" spans="1:33" x14ac:dyDescent="0.25">
      <c r="A20">
        <v>15</v>
      </c>
      <c r="C20" s="24">
        <v>1.7998798624637491E-2</v>
      </c>
      <c r="D20" s="24">
        <v>1.444307615054985E-3</v>
      </c>
      <c r="E20" s="24">
        <v>2.6818594900390735E-8</v>
      </c>
      <c r="F20" s="24">
        <v>1.747133587230867E-32</v>
      </c>
      <c r="G20" s="24">
        <v>0.62833230796594131</v>
      </c>
      <c r="H20" s="24">
        <v>0.30054243669266201</v>
      </c>
      <c r="I20" s="53">
        <v>2245.949504312724</v>
      </c>
      <c r="J20" s="53">
        <v>5323.1846785076314</v>
      </c>
      <c r="K20" s="24">
        <v>0.63715522497124033</v>
      </c>
      <c r="L20" s="24">
        <v>0.96941224684756777</v>
      </c>
      <c r="M20" s="24">
        <v>0.92356002003193827</v>
      </c>
      <c r="O20" s="53">
        <v>4.3326509828511393</v>
      </c>
      <c r="P20" s="54">
        <v>22188.935895241888</v>
      </c>
      <c r="Q20" s="54">
        <v>4.7042145153190793</v>
      </c>
      <c r="R20" s="54">
        <v>50205.339234845967</v>
      </c>
      <c r="S20" s="54">
        <v>0.37156353246794005</v>
      </c>
      <c r="T20" s="54">
        <v>28016.40333960408</v>
      </c>
      <c r="V20" s="69">
        <f t="shared" si="2"/>
        <v>844341.26067498594</v>
      </c>
      <c r="W20" s="69">
        <f t="shared" si="3"/>
        <v>890637.56382896996</v>
      </c>
      <c r="X20" s="69">
        <f t="shared" si="0"/>
        <v>46296.303153983928</v>
      </c>
      <c r="Z20" s="68">
        <f t="shared" si="4"/>
        <v>0</v>
      </c>
      <c r="AA20" s="68">
        <f t="shared" si="5"/>
        <v>1</v>
      </c>
      <c r="AB20" s="68">
        <f t="shared" si="1"/>
        <v>1</v>
      </c>
      <c r="AD20">
        <v>3000</v>
      </c>
      <c r="AE20">
        <v>0.98899999999999999</v>
      </c>
      <c r="AF20">
        <v>1.0999999999999999E-2</v>
      </c>
      <c r="AG20">
        <v>1.0999999999999999E-2</v>
      </c>
    </row>
    <row r="21" spans="1:33" x14ac:dyDescent="0.25">
      <c r="A21">
        <v>16</v>
      </c>
      <c r="C21" s="24">
        <v>7.2961463416391092E-3</v>
      </c>
      <c r="D21" s="24">
        <v>1.1923561394148307E-3</v>
      </c>
      <c r="E21" s="24">
        <v>4.2401342001094597E-34</v>
      </c>
      <c r="F21" s="24">
        <v>4.4929804321469646E-10</v>
      </c>
      <c r="G21" s="24">
        <v>0.53346580304768487</v>
      </c>
      <c r="H21" s="24">
        <v>0.36394325673768224</v>
      </c>
      <c r="I21" s="53">
        <v>2002.0677859716554</v>
      </c>
      <c r="J21" s="53">
        <v>4966.6154836158075</v>
      </c>
      <c r="K21" s="24">
        <v>0.83870626353057842</v>
      </c>
      <c r="L21" s="24">
        <v>0.95757350705802524</v>
      </c>
      <c r="M21" s="24">
        <v>0.92695515296744591</v>
      </c>
      <c r="O21" s="53">
        <v>4.6559490414012652</v>
      </c>
      <c r="P21" s="54">
        <v>15840.601287339001</v>
      </c>
      <c r="Q21" s="54">
        <v>4.7200331915900939</v>
      </c>
      <c r="R21" s="54">
        <v>59089.292762902973</v>
      </c>
      <c r="S21" s="54">
        <v>6.4084150188828737E-2</v>
      </c>
      <c r="T21" s="54">
        <v>43248.691475563974</v>
      </c>
      <c r="V21" s="69">
        <f t="shared" si="2"/>
        <v>915349.20699291409</v>
      </c>
      <c r="W21" s="69">
        <f t="shared" si="3"/>
        <v>884917.34555511572</v>
      </c>
      <c r="X21" s="69">
        <f t="shared" si="0"/>
        <v>-30431.861437798227</v>
      </c>
      <c r="Z21" s="68">
        <f t="shared" si="4"/>
        <v>1</v>
      </c>
      <c r="AA21" s="68">
        <f t="shared" si="5"/>
        <v>0</v>
      </c>
      <c r="AB21" s="68">
        <f t="shared" si="1"/>
        <v>0</v>
      </c>
      <c r="AD21">
        <v>3500</v>
      </c>
      <c r="AE21">
        <v>0.98799999999999999</v>
      </c>
      <c r="AF21">
        <v>1.2E-2</v>
      </c>
      <c r="AG21">
        <v>1.2E-2</v>
      </c>
    </row>
    <row r="22" spans="1:33" x14ac:dyDescent="0.25">
      <c r="A22">
        <v>17</v>
      </c>
      <c r="C22" s="24">
        <v>8.8182687083069774E-22</v>
      </c>
      <c r="D22" s="24">
        <v>7.2981458545924604E-4</v>
      </c>
      <c r="E22" s="24">
        <v>2.425600321557686E-2</v>
      </c>
      <c r="F22" s="24">
        <v>3.3362201889985954E-13</v>
      </c>
      <c r="G22" s="24">
        <v>0.62800417169368528</v>
      </c>
      <c r="H22" s="24">
        <v>0.3065496822470235</v>
      </c>
      <c r="I22" s="53">
        <v>1753.1238255783546</v>
      </c>
      <c r="J22" s="53">
        <v>5382.9167038962578</v>
      </c>
      <c r="K22" s="24">
        <v>0.74475845502257676</v>
      </c>
      <c r="L22" s="24">
        <v>0.78440343028088044</v>
      </c>
      <c r="M22" s="24">
        <v>0.84246935611400109</v>
      </c>
      <c r="O22" s="53">
        <v>3.6838029381327169</v>
      </c>
      <c r="P22" s="54">
        <v>17359.391039519673</v>
      </c>
      <c r="Q22" s="54">
        <v>3.9048175763738371</v>
      </c>
      <c r="R22" s="54">
        <v>40518.296940615648</v>
      </c>
      <c r="S22" s="54">
        <v>0.22101463824112022</v>
      </c>
      <c r="T22" s="54">
        <v>23158.905901095975</v>
      </c>
      <c r="V22" s="69">
        <f t="shared" si="2"/>
        <v>719401.19658702367</v>
      </c>
      <c r="W22" s="69">
        <f t="shared" si="3"/>
        <v>740445.21833415178</v>
      </c>
      <c r="X22" s="69">
        <f t="shared" si="0"/>
        <v>21044.02174712807</v>
      </c>
      <c r="Z22" s="68">
        <f t="shared" si="4"/>
        <v>0</v>
      </c>
      <c r="AA22" s="68">
        <f t="shared" si="5"/>
        <v>1</v>
      </c>
      <c r="AB22" s="68">
        <f t="shared" si="1"/>
        <v>1</v>
      </c>
      <c r="AD22">
        <v>4000</v>
      </c>
      <c r="AE22">
        <v>0.98799999999999999</v>
      </c>
      <c r="AF22">
        <v>1.2E-2</v>
      </c>
      <c r="AG22">
        <v>1.2E-2</v>
      </c>
    </row>
    <row r="23" spans="1:33" x14ac:dyDescent="0.25">
      <c r="A23">
        <v>18</v>
      </c>
      <c r="C23" s="24">
        <v>8.3879148948706739E-4</v>
      </c>
      <c r="D23" s="24">
        <v>2.761731777550569E-3</v>
      </c>
      <c r="E23" s="24">
        <v>2.8883206937280193E-10</v>
      </c>
      <c r="F23" s="24">
        <v>7.560618797697316E-14</v>
      </c>
      <c r="G23" s="24">
        <v>0.65170755139464753</v>
      </c>
      <c r="H23" s="24">
        <v>0.23514918113386452</v>
      </c>
      <c r="I23" s="53">
        <v>1893.5921937048561</v>
      </c>
      <c r="J23" s="53">
        <v>4953.686533340805</v>
      </c>
      <c r="K23" s="24">
        <v>0.74949900101224487</v>
      </c>
      <c r="L23" s="24">
        <v>0.97996541096782341</v>
      </c>
      <c r="M23" s="24">
        <v>0.85267377456729154</v>
      </c>
      <c r="O23" s="53">
        <v>4.5182598843542507</v>
      </c>
      <c r="P23" s="54">
        <v>24225.74599771294</v>
      </c>
      <c r="Q23" s="54">
        <v>4.8268654451136488</v>
      </c>
      <c r="R23" s="54">
        <v>28870.786214286796</v>
      </c>
      <c r="S23" s="54">
        <v>0.30860556075939805</v>
      </c>
      <c r="T23" s="54">
        <v>4645.040216573856</v>
      </c>
      <c r="V23" s="69">
        <f t="shared" si="2"/>
        <v>879426.23087313725</v>
      </c>
      <c r="W23" s="69">
        <f t="shared" si="3"/>
        <v>936502.30280844297</v>
      </c>
      <c r="X23" s="69">
        <f t="shared" si="0"/>
        <v>57076.07193530575</v>
      </c>
      <c r="Z23" s="68">
        <f t="shared" si="4"/>
        <v>0</v>
      </c>
      <c r="AA23" s="68">
        <f t="shared" si="5"/>
        <v>1</v>
      </c>
      <c r="AB23" s="68">
        <f t="shared" si="1"/>
        <v>1</v>
      </c>
      <c r="AD23">
        <v>4500</v>
      </c>
      <c r="AE23">
        <v>0.98799999999999999</v>
      </c>
      <c r="AF23">
        <v>1.2E-2</v>
      </c>
      <c r="AG23">
        <v>1.2E-2</v>
      </c>
    </row>
    <row r="24" spans="1:33" x14ac:dyDescent="0.25">
      <c r="A24">
        <v>19</v>
      </c>
      <c r="C24" s="24">
        <v>5.3019857944288651E-3</v>
      </c>
      <c r="D24" s="24">
        <v>4.6278967894737288E-3</v>
      </c>
      <c r="E24" s="24">
        <v>1.1238265435162337E-56</v>
      </c>
      <c r="F24" s="24">
        <v>3.5127456499139953E-13</v>
      </c>
      <c r="G24" s="24">
        <v>0.56050369998724936</v>
      </c>
      <c r="H24" s="24">
        <v>0.24213500125636578</v>
      </c>
      <c r="I24" s="53">
        <v>2116.0434343868446</v>
      </c>
      <c r="J24" s="53">
        <v>5781.5508190183818</v>
      </c>
      <c r="K24" s="24">
        <v>0.70838908853180893</v>
      </c>
      <c r="L24" s="24">
        <v>0.90689548155208799</v>
      </c>
      <c r="M24" s="24">
        <v>0.91517243160410644</v>
      </c>
      <c r="O24" s="53">
        <v>4.295700035935293</v>
      </c>
      <c r="P24" s="54">
        <v>15833.044728390885</v>
      </c>
      <c r="Q24" s="54">
        <v>4.4713447337283156</v>
      </c>
      <c r="R24" s="54">
        <v>35281.844955390763</v>
      </c>
      <c r="S24" s="54">
        <v>0.17564469779302261</v>
      </c>
      <c r="T24" s="54">
        <v>19448.800226999876</v>
      </c>
      <c r="V24" s="69">
        <f t="shared" si="2"/>
        <v>843306.96245866769</v>
      </c>
      <c r="W24" s="69">
        <f t="shared" si="3"/>
        <v>858987.1017902724</v>
      </c>
      <c r="X24" s="69">
        <f t="shared" si="0"/>
        <v>15680.139331604645</v>
      </c>
      <c r="Z24" s="68">
        <f t="shared" si="4"/>
        <v>0</v>
      </c>
      <c r="AA24" s="68">
        <f t="shared" si="5"/>
        <v>1</v>
      </c>
      <c r="AB24" s="68">
        <f t="shared" si="1"/>
        <v>1</v>
      </c>
      <c r="AD24">
        <v>5000</v>
      </c>
      <c r="AE24">
        <v>0.98699999999999999</v>
      </c>
      <c r="AF24">
        <v>1.2999999999999999E-2</v>
      </c>
      <c r="AG24">
        <v>1.2999999999999999E-2</v>
      </c>
    </row>
    <row r="25" spans="1:33" x14ac:dyDescent="0.25">
      <c r="A25">
        <v>20</v>
      </c>
      <c r="C25" s="24">
        <v>1.651556074729843E-2</v>
      </c>
      <c r="D25" s="24">
        <v>1.0434865381751814E-3</v>
      </c>
      <c r="E25" s="24">
        <v>1.4888389823219939E-6</v>
      </c>
      <c r="F25" s="24">
        <v>7.357591202961089E-10</v>
      </c>
      <c r="G25" s="24">
        <v>0.43225782252825695</v>
      </c>
      <c r="H25" s="24">
        <v>0.1958595499519552</v>
      </c>
      <c r="I25" s="53">
        <v>1494.9932424819135</v>
      </c>
      <c r="J25" s="53">
        <v>6099.806871122436</v>
      </c>
      <c r="K25" s="24">
        <v>0.57710829956675036</v>
      </c>
      <c r="L25" s="24">
        <v>0.90864770843798248</v>
      </c>
      <c r="M25" s="24">
        <v>0.92228547683657802</v>
      </c>
      <c r="O25" s="53">
        <v>4.2963019943276066</v>
      </c>
      <c r="P25" s="54">
        <v>14721.043422459519</v>
      </c>
      <c r="Q25" s="54">
        <v>4.4625949705724226</v>
      </c>
      <c r="R25" s="54">
        <v>24920.182412213115</v>
      </c>
      <c r="S25" s="54">
        <v>0.16629297624481598</v>
      </c>
      <c r="T25" s="54">
        <v>10199.138989753596</v>
      </c>
      <c r="V25" s="69">
        <f t="shared" si="2"/>
        <v>844539.3554430618</v>
      </c>
      <c r="W25" s="69">
        <f t="shared" si="3"/>
        <v>867598.81170227146</v>
      </c>
      <c r="X25" s="69">
        <f t="shared" si="0"/>
        <v>23059.456259209601</v>
      </c>
      <c r="Z25" s="68">
        <f t="shared" si="4"/>
        <v>0</v>
      </c>
      <c r="AA25" s="68">
        <f t="shared" si="5"/>
        <v>1</v>
      </c>
      <c r="AB25" s="68">
        <f t="shared" si="1"/>
        <v>1</v>
      </c>
      <c r="AD25">
        <v>6000</v>
      </c>
      <c r="AE25">
        <v>0.98599999999999999</v>
      </c>
      <c r="AF25">
        <v>1.4E-2</v>
      </c>
      <c r="AG25">
        <v>1.4E-2</v>
      </c>
    </row>
    <row r="26" spans="1:33" x14ac:dyDescent="0.25">
      <c r="A26">
        <v>21</v>
      </c>
      <c r="C26" s="24">
        <v>1.0985524202022923E-3</v>
      </c>
      <c r="D26" s="24">
        <v>2.9694741976158599E-4</v>
      </c>
      <c r="E26" s="24">
        <v>3.1416400218265003E-37</v>
      </c>
      <c r="F26" s="24">
        <v>2.36613322488477E-5</v>
      </c>
      <c r="G26" s="24">
        <v>0.68217002238870139</v>
      </c>
      <c r="H26" s="24">
        <v>0.33749663117266004</v>
      </c>
      <c r="I26" s="53">
        <v>1724.6345203685348</v>
      </c>
      <c r="J26" s="53">
        <v>5209.7468667406392</v>
      </c>
      <c r="K26" s="24">
        <v>0.67997070197542642</v>
      </c>
      <c r="L26" s="24">
        <v>0.91972561517871565</v>
      </c>
      <c r="M26" s="24">
        <v>0.87651018454935681</v>
      </c>
      <c r="O26" s="53">
        <v>4.1595798857725894</v>
      </c>
      <c r="P26" s="54">
        <v>18413.619695954982</v>
      </c>
      <c r="Q26" s="54">
        <v>4.4767908209313125</v>
      </c>
      <c r="R26" s="54">
        <v>48349.280033319876</v>
      </c>
      <c r="S26" s="54">
        <v>0.31721093515872312</v>
      </c>
      <c r="T26" s="54">
        <v>29935.660337364894</v>
      </c>
      <c r="V26" s="69">
        <f t="shared" si="2"/>
        <v>813502.35745856294</v>
      </c>
      <c r="W26" s="69">
        <f t="shared" si="3"/>
        <v>847008.88415294269</v>
      </c>
      <c r="X26" s="69">
        <f t="shared" si="0"/>
        <v>33506.526694379732</v>
      </c>
      <c r="Z26" s="68">
        <f t="shared" si="4"/>
        <v>0</v>
      </c>
      <c r="AA26" s="68">
        <f t="shared" si="5"/>
        <v>1</v>
      </c>
      <c r="AB26" s="68">
        <f t="shared" si="1"/>
        <v>1</v>
      </c>
      <c r="AD26">
        <v>7000</v>
      </c>
      <c r="AE26">
        <v>0.98199999999999998</v>
      </c>
      <c r="AF26">
        <v>1.7999999999999999E-2</v>
      </c>
      <c r="AG26">
        <v>1.7999999999999999E-2</v>
      </c>
    </row>
    <row r="27" spans="1:33" x14ac:dyDescent="0.25">
      <c r="A27">
        <v>22</v>
      </c>
      <c r="C27" s="24">
        <v>2.6417392168312805E-7</v>
      </c>
      <c r="D27" s="24">
        <v>3.5860846743808223E-4</v>
      </c>
      <c r="E27" s="24">
        <v>1.4269860848514782E-9</v>
      </c>
      <c r="F27" s="24">
        <v>1.0732525979051388E-12</v>
      </c>
      <c r="G27" s="24">
        <v>0.6661982018296313</v>
      </c>
      <c r="H27" s="24">
        <v>0.25146097965039704</v>
      </c>
      <c r="I27" s="53">
        <v>1935.2823742479723</v>
      </c>
      <c r="J27" s="53">
        <v>4909.1657066511807</v>
      </c>
      <c r="K27" s="24">
        <v>0.59519732095236111</v>
      </c>
      <c r="L27" s="24">
        <v>0.81662235993394972</v>
      </c>
      <c r="M27" s="24">
        <v>0.95770385533644631</v>
      </c>
      <c r="O27" s="53">
        <v>3.6991850926233512</v>
      </c>
      <c r="P27" s="54">
        <v>17516.220721998903</v>
      </c>
      <c r="Q27" s="54">
        <v>4.0091172752849831</v>
      </c>
      <c r="R27" s="54">
        <v>30014.18156075976</v>
      </c>
      <c r="S27" s="54">
        <v>0.30993218266163192</v>
      </c>
      <c r="T27" s="54">
        <v>12497.960838760857</v>
      </c>
      <c r="V27" s="69">
        <f t="shared" si="2"/>
        <v>722320.79780267132</v>
      </c>
      <c r="W27" s="69">
        <f t="shared" si="3"/>
        <v>771809.27349623688</v>
      </c>
      <c r="X27" s="69">
        <f t="shared" si="0"/>
        <v>49488.475693565531</v>
      </c>
      <c r="Z27" s="68">
        <f t="shared" si="4"/>
        <v>0</v>
      </c>
      <c r="AA27" s="68">
        <f t="shared" si="5"/>
        <v>1</v>
      </c>
      <c r="AB27" s="68">
        <f t="shared" si="1"/>
        <v>1</v>
      </c>
      <c r="AD27">
        <v>8000</v>
      </c>
      <c r="AE27">
        <v>0.98</v>
      </c>
      <c r="AF27">
        <v>0.02</v>
      </c>
      <c r="AG27">
        <v>0.02</v>
      </c>
    </row>
    <row r="28" spans="1:33" x14ac:dyDescent="0.25">
      <c r="A28">
        <v>23</v>
      </c>
      <c r="C28" s="24">
        <v>1.322572073092876E-7</v>
      </c>
      <c r="D28" s="24">
        <v>9.0193206360914284E-4</v>
      </c>
      <c r="E28" s="24">
        <v>4.2683148591656377E-26</v>
      </c>
      <c r="F28" s="24">
        <v>8.7806141341739696E-5</v>
      </c>
      <c r="G28" s="24">
        <v>0.58308838250882777</v>
      </c>
      <c r="H28" s="24">
        <v>0.26987170968045171</v>
      </c>
      <c r="I28" s="53">
        <v>1925.4712789761711</v>
      </c>
      <c r="J28" s="53">
        <v>4676.2764864744995</v>
      </c>
      <c r="K28" s="24">
        <v>0.58234372699044346</v>
      </c>
      <c r="L28" s="24">
        <v>0.90826161735247846</v>
      </c>
      <c r="M28" s="24">
        <v>0.7817612273539053</v>
      </c>
      <c r="O28" s="53">
        <v>4.1162059539049043</v>
      </c>
      <c r="P28" s="54">
        <v>17469.183498631344</v>
      </c>
      <c r="Q28" s="54">
        <v>4.4197845228375314</v>
      </c>
      <c r="R28" s="54">
        <v>41447.12717538204</v>
      </c>
      <c r="S28" s="54">
        <v>0.30357856893262714</v>
      </c>
      <c r="T28" s="54">
        <v>23977.943676750696</v>
      </c>
      <c r="V28" s="69">
        <f t="shared" si="2"/>
        <v>805772.00728234951</v>
      </c>
      <c r="W28" s="69">
        <f t="shared" si="3"/>
        <v>842509.77739212429</v>
      </c>
      <c r="X28" s="69">
        <f t="shared" si="0"/>
        <v>36737.770109774734</v>
      </c>
      <c r="Z28" s="68">
        <f t="shared" si="4"/>
        <v>0</v>
      </c>
      <c r="AA28" s="68">
        <f t="shared" si="5"/>
        <v>1</v>
      </c>
      <c r="AB28" s="68">
        <f t="shared" si="1"/>
        <v>1</v>
      </c>
      <c r="AD28">
        <v>9000</v>
      </c>
      <c r="AE28">
        <v>0.97799999999999998</v>
      </c>
      <c r="AF28">
        <v>2.1999999999999999E-2</v>
      </c>
      <c r="AG28">
        <v>2.1999999999999999E-2</v>
      </c>
    </row>
    <row r="29" spans="1:33" x14ac:dyDescent="0.25">
      <c r="A29">
        <v>24</v>
      </c>
      <c r="C29" s="24">
        <v>1.9032812600548855E-7</v>
      </c>
      <c r="D29" s="24">
        <v>2.157519159783877E-4</v>
      </c>
      <c r="E29" s="24">
        <v>4.877000806547475E-19</v>
      </c>
      <c r="F29" s="24">
        <v>6.4078929500224347E-26</v>
      </c>
      <c r="G29" s="24">
        <v>0.69092334330246663</v>
      </c>
      <c r="H29" s="24">
        <v>0.25107605684567169</v>
      </c>
      <c r="I29" s="53">
        <v>2111.4903696274168</v>
      </c>
      <c r="J29" s="53">
        <v>5577.9969079077591</v>
      </c>
      <c r="K29" s="24">
        <v>0.71838290812112637</v>
      </c>
      <c r="L29" s="24">
        <v>0.74431545389858367</v>
      </c>
      <c r="M29" s="24">
        <v>0.84535622108243225</v>
      </c>
      <c r="O29" s="53">
        <v>3.6727343599619902</v>
      </c>
      <c r="P29" s="54">
        <v>21446.952250236154</v>
      </c>
      <c r="Q29" s="54">
        <v>3.7130278736719422</v>
      </c>
      <c r="R29" s="54">
        <v>38733.593011871657</v>
      </c>
      <c r="S29" s="54">
        <v>4.0293513709952045E-2</v>
      </c>
      <c r="T29" s="54">
        <v>17286.640761635503</v>
      </c>
      <c r="V29" s="69">
        <f t="shared" si="2"/>
        <v>713099.91974216187</v>
      </c>
      <c r="W29" s="69">
        <f t="shared" si="3"/>
        <v>703871.98172251671</v>
      </c>
      <c r="X29" s="69">
        <f t="shared" si="0"/>
        <v>-9227.9380196450948</v>
      </c>
      <c r="Z29" s="68">
        <f t="shared" si="4"/>
        <v>1</v>
      </c>
      <c r="AA29" s="68">
        <f t="shared" si="5"/>
        <v>0</v>
      </c>
      <c r="AB29" s="68">
        <f t="shared" si="1"/>
        <v>0</v>
      </c>
      <c r="AD29">
        <v>10000</v>
      </c>
      <c r="AE29">
        <v>0.97499999999999998</v>
      </c>
      <c r="AF29">
        <v>2.5000000000000001E-2</v>
      </c>
      <c r="AG29">
        <v>2.5000000000000001E-2</v>
      </c>
    </row>
    <row r="30" spans="1:33" x14ac:dyDescent="0.25">
      <c r="A30">
        <v>25</v>
      </c>
      <c r="C30" s="24">
        <v>9.1101601211396321E-5</v>
      </c>
      <c r="D30" s="24">
        <v>8.0339837235868794E-3</v>
      </c>
      <c r="E30" s="24">
        <v>1.3734499681370509E-19</v>
      </c>
      <c r="F30" s="24">
        <v>2.0380243478723692E-5</v>
      </c>
      <c r="G30" s="24">
        <v>0.64483334008461679</v>
      </c>
      <c r="H30" s="24">
        <v>0.31454427375199068</v>
      </c>
      <c r="I30" s="53">
        <v>1672.6198239760765</v>
      </c>
      <c r="J30" s="53">
        <v>7628.7657077254389</v>
      </c>
      <c r="K30" s="24">
        <v>0.7354709954602876</v>
      </c>
      <c r="L30" s="24">
        <v>0.96966426132390393</v>
      </c>
      <c r="M30" s="24">
        <v>0.71556635440918981</v>
      </c>
      <c r="O30" s="53">
        <v>4.4703093713616218</v>
      </c>
      <c r="P30" s="54">
        <v>16195.525345028751</v>
      </c>
      <c r="Q30" s="54">
        <v>4.727525303399096</v>
      </c>
      <c r="R30" s="54">
        <v>40049.339941620572</v>
      </c>
      <c r="S30" s="54">
        <v>0.25721593203747428</v>
      </c>
      <c r="T30" s="54">
        <v>23853.814596591823</v>
      </c>
      <c r="V30" s="69">
        <f t="shared" si="2"/>
        <v>877866.34892729565</v>
      </c>
      <c r="W30" s="69">
        <f t="shared" si="3"/>
        <v>905455.72073819861</v>
      </c>
      <c r="X30" s="69">
        <f t="shared" si="0"/>
        <v>27589.371810903031</v>
      </c>
      <c r="Z30" s="68">
        <f t="shared" si="4"/>
        <v>0</v>
      </c>
      <c r="AA30" s="68">
        <f t="shared" si="5"/>
        <v>1</v>
      </c>
      <c r="AB30" s="68">
        <f t="shared" si="1"/>
        <v>1</v>
      </c>
      <c r="AD30">
        <v>11000</v>
      </c>
      <c r="AE30">
        <v>0.97299999999999998</v>
      </c>
      <c r="AF30">
        <v>2.7E-2</v>
      </c>
      <c r="AG30">
        <v>2.7E-2</v>
      </c>
    </row>
    <row r="31" spans="1:33" x14ac:dyDescent="0.25">
      <c r="A31">
        <v>26</v>
      </c>
      <c r="C31" s="24">
        <v>2.4789103410782776E-3</v>
      </c>
      <c r="D31" s="24">
        <v>4.8155768888236139E-3</v>
      </c>
      <c r="E31" s="24">
        <v>5.3647619440257177E-23</v>
      </c>
      <c r="F31" s="24">
        <v>1.3924095525430502E-4</v>
      </c>
      <c r="G31" s="24">
        <v>0.3849336682292247</v>
      </c>
      <c r="H31" s="24">
        <v>0.24797856574126798</v>
      </c>
      <c r="I31" s="53">
        <v>2149.5334401081341</v>
      </c>
      <c r="J31" s="53">
        <v>6493.7712319590009</v>
      </c>
      <c r="K31" s="24">
        <v>0.65574231229146296</v>
      </c>
      <c r="L31" s="24">
        <v>0.93896531456018684</v>
      </c>
      <c r="M31" s="24">
        <v>0.7403018750626994</v>
      </c>
      <c r="O31" s="53">
        <v>4.5155655492069764</v>
      </c>
      <c r="P31" s="54">
        <v>10102.753225521719</v>
      </c>
      <c r="Q31" s="54">
        <v>4.5947679322736352</v>
      </c>
      <c r="R31" s="54">
        <v>38422.750909791124</v>
      </c>
      <c r="S31" s="54">
        <v>7.9202383066658832E-2</v>
      </c>
      <c r="T31" s="54">
        <v>28319.997684269405</v>
      </c>
      <c r="V31" s="69">
        <f t="shared" si="2"/>
        <v>893010.35661587352</v>
      </c>
      <c r="W31" s="69">
        <f t="shared" si="3"/>
        <v>880530.83554493589</v>
      </c>
      <c r="X31" s="69">
        <f t="shared" si="0"/>
        <v>-12479.521070937639</v>
      </c>
      <c r="Z31" s="68">
        <f t="shared" si="4"/>
        <v>1</v>
      </c>
      <c r="AA31" s="68">
        <f t="shared" si="5"/>
        <v>0</v>
      </c>
      <c r="AB31" s="68">
        <f t="shared" si="1"/>
        <v>0</v>
      </c>
      <c r="AD31">
        <v>12000</v>
      </c>
      <c r="AE31">
        <v>0.97199999999999998</v>
      </c>
      <c r="AF31">
        <v>2.8000000000000001E-2</v>
      </c>
      <c r="AG31">
        <v>2.8000000000000001E-2</v>
      </c>
    </row>
    <row r="32" spans="1:33" x14ac:dyDescent="0.25">
      <c r="A32">
        <v>27</v>
      </c>
      <c r="C32" s="24">
        <v>2.8901150572349682E-7</v>
      </c>
      <c r="D32" s="24">
        <v>4.4134306779804733E-5</v>
      </c>
      <c r="E32" s="24">
        <v>6.1198015858565181E-28</v>
      </c>
      <c r="F32" s="24">
        <v>9.9594463454089066E-8</v>
      </c>
      <c r="G32" s="24">
        <v>0.65634110418439429</v>
      </c>
      <c r="H32" s="24">
        <v>0.25999320777684698</v>
      </c>
      <c r="I32" s="53">
        <v>1898.2756204608249</v>
      </c>
      <c r="J32" s="53">
        <v>5598.2672271630254</v>
      </c>
      <c r="K32" s="24">
        <v>0.60951405442369866</v>
      </c>
      <c r="L32" s="24">
        <v>0.78821612063518787</v>
      </c>
      <c r="M32" s="24">
        <v>0.78419876440754765</v>
      </c>
      <c r="O32" s="53">
        <v>3.6413542462776913</v>
      </c>
      <c r="P32" s="54">
        <v>19926.6962020512</v>
      </c>
      <c r="Q32" s="54">
        <v>3.8783685876355101</v>
      </c>
      <c r="R32" s="54">
        <v>34719.782301788691</v>
      </c>
      <c r="S32" s="54">
        <v>0.23701434135781874</v>
      </c>
      <c r="T32" s="54">
        <v>14793.086099737491</v>
      </c>
      <c r="V32" s="69">
        <f t="shared" si="2"/>
        <v>708344.15305348707</v>
      </c>
      <c r="W32" s="69">
        <f t="shared" si="3"/>
        <v>740953.9352253133</v>
      </c>
      <c r="X32" s="69">
        <f t="shared" si="0"/>
        <v>32609.782171826257</v>
      </c>
      <c r="Z32" s="68">
        <f t="shared" si="4"/>
        <v>0</v>
      </c>
      <c r="AA32" s="68">
        <f t="shared" si="5"/>
        <v>1</v>
      </c>
      <c r="AB32" s="68">
        <f t="shared" si="1"/>
        <v>1</v>
      </c>
      <c r="AD32">
        <v>13000</v>
      </c>
      <c r="AE32">
        <v>0.96499999999999997</v>
      </c>
      <c r="AF32">
        <v>3.5000000000000003E-2</v>
      </c>
      <c r="AG32">
        <v>3.5000000000000003E-2</v>
      </c>
    </row>
    <row r="33" spans="1:33" x14ac:dyDescent="0.25">
      <c r="A33">
        <v>28</v>
      </c>
      <c r="C33" s="24">
        <v>2.0635470490281138E-3</v>
      </c>
      <c r="D33" s="24">
        <v>7.4910003164894599E-4</v>
      </c>
      <c r="E33" s="24">
        <v>1.0076996692642837E-6</v>
      </c>
      <c r="F33" s="24">
        <v>7.3454087257118772E-10</v>
      </c>
      <c r="G33" s="24">
        <v>0.6040712383106408</v>
      </c>
      <c r="H33" s="24">
        <v>0.33404748755280544</v>
      </c>
      <c r="I33" s="53">
        <v>1954.6599333907975</v>
      </c>
      <c r="J33" s="53">
        <v>5162.3088703393314</v>
      </c>
      <c r="K33" s="24">
        <v>0.68452439087292771</v>
      </c>
      <c r="L33" s="24">
        <v>0.95061888998848465</v>
      </c>
      <c r="M33" s="24">
        <v>0.76104449986382006</v>
      </c>
      <c r="O33" s="53">
        <v>4.3762043828131612</v>
      </c>
      <c r="P33" s="54">
        <v>18173.463838068907</v>
      </c>
      <c r="Q33" s="54">
        <v>4.6192146557495759</v>
      </c>
      <c r="R33" s="54">
        <v>47526.015813189042</v>
      </c>
      <c r="S33" s="54">
        <v>0.24301027293641475</v>
      </c>
      <c r="T33" s="54">
        <v>29352.551975120135</v>
      </c>
      <c r="V33" s="69">
        <f t="shared" si="2"/>
        <v>857067.41272456339</v>
      </c>
      <c r="W33" s="69">
        <f t="shared" si="3"/>
        <v>876316.91533672612</v>
      </c>
      <c r="X33" s="69">
        <f t="shared" si="0"/>
        <v>19249.502612162818</v>
      </c>
      <c r="Z33" s="68">
        <f t="shared" si="4"/>
        <v>0</v>
      </c>
      <c r="AA33" s="68">
        <f t="shared" si="5"/>
        <v>1</v>
      </c>
      <c r="AB33" s="68">
        <f t="shared" si="1"/>
        <v>1</v>
      </c>
      <c r="AD33">
        <v>14000</v>
      </c>
      <c r="AE33">
        <v>0.96399999999999997</v>
      </c>
      <c r="AF33">
        <v>3.5999999999999997E-2</v>
      </c>
      <c r="AG33">
        <v>3.5999999999999997E-2</v>
      </c>
    </row>
    <row r="34" spans="1:33" x14ac:dyDescent="0.25">
      <c r="A34">
        <v>29</v>
      </c>
      <c r="C34" s="24">
        <v>0.14454996622147531</v>
      </c>
      <c r="D34" s="24">
        <v>3.3841881758068793E-3</v>
      </c>
      <c r="E34" s="24">
        <v>3.210883061717496E-37</v>
      </c>
      <c r="F34" s="24">
        <v>2.3102442181510696E-9</v>
      </c>
      <c r="G34" s="24">
        <v>0.54122154442192283</v>
      </c>
      <c r="H34" s="24">
        <v>0.25751114338971226</v>
      </c>
      <c r="I34" s="53">
        <v>1848.3520215536228</v>
      </c>
      <c r="J34" s="53">
        <v>5788.3494091335169</v>
      </c>
      <c r="K34" s="24">
        <v>0.71948318885139284</v>
      </c>
      <c r="L34" s="24">
        <v>0.79638895914260399</v>
      </c>
      <c r="M34" s="24">
        <v>0.93029820538828245</v>
      </c>
      <c r="O34" s="53">
        <v>4.0589278383895202</v>
      </c>
      <c r="P34" s="54">
        <v>23843.338224560855</v>
      </c>
      <c r="Q34" s="54">
        <v>3.9581426898058902</v>
      </c>
      <c r="R34" s="54">
        <v>38296.840592727211</v>
      </c>
      <c r="S34" s="54">
        <v>-0.10078514858362997</v>
      </c>
      <c r="T34" s="54">
        <v>14453.502368166355</v>
      </c>
      <c r="V34" s="69">
        <f t="shared" si="2"/>
        <v>787942.2294533432</v>
      </c>
      <c r="W34" s="69">
        <f t="shared" si="3"/>
        <v>753331.69736845081</v>
      </c>
      <c r="X34" s="69">
        <f t="shared" si="0"/>
        <v>-34610.532084892344</v>
      </c>
      <c r="Z34" s="68">
        <f t="shared" si="4"/>
        <v>1</v>
      </c>
      <c r="AA34" s="68">
        <f t="shared" si="5"/>
        <v>0</v>
      </c>
      <c r="AB34" s="68">
        <f t="shared" si="1"/>
        <v>0</v>
      </c>
      <c r="AD34">
        <v>15000</v>
      </c>
      <c r="AE34">
        <v>0.96299999999999997</v>
      </c>
      <c r="AF34">
        <v>3.6999999999999998E-2</v>
      </c>
      <c r="AG34">
        <v>3.6999999999999998E-2</v>
      </c>
    </row>
    <row r="35" spans="1:33" x14ac:dyDescent="0.25">
      <c r="A35">
        <v>30</v>
      </c>
      <c r="C35" s="24">
        <v>1.0454347685229237E-4</v>
      </c>
      <c r="D35" s="24">
        <v>3.7511920109608576E-3</v>
      </c>
      <c r="E35" s="24">
        <v>5.7636139929984728E-38</v>
      </c>
      <c r="F35" s="24">
        <v>3.5135006015707404E-11</v>
      </c>
      <c r="G35" s="24">
        <v>0.5422605879022333</v>
      </c>
      <c r="H35" s="24">
        <v>0.32463649561533103</v>
      </c>
      <c r="I35" s="53">
        <v>1599.7791615002809</v>
      </c>
      <c r="J35" s="53">
        <v>4560.9296513157715</v>
      </c>
      <c r="K35" s="24">
        <v>0.58733825019846964</v>
      </c>
      <c r="L35" s="24">
        <v>0.83440762796556411</v>
      </c>
      <c r="M35" s="24">
        <v>0.9887342507733522</v>
      </c>
      <c r="O35" s="53">
        <v>3.8932070509981802</v>
      </c>
      <c r="P35" s="54">
        <v>16675.688075986702</v>
      </c>
      <c r="Q35" s="54">
        <v>4.0575793951621559</v>
      </c>
      <c r="R35" s="54">
        <v>41746.339073539049</v>
      </c>
      <c r="S35" s="54">
        <v>0.16437234416397573</v>
      </c>
      <c r="T35" s="54">
        <v>25070.650997552348</v>
      </c>
      <c r="V35" s="69">
        <f t="shared" si="2"/>
        <v>761965.72212364932</v>
      </c>
      <c r="W35" s="69">
        <f t="shared" si="3"/>
        <v>769769.53995889216</v>
      </c>
      <c r="X35" s="69">
        <f t="shared" si="0"/>
        <v>7803.8178352427967</v>
      </c>
      <c r="Z35" s="68">
        <f t="shared" si="4"/>
        <v>0</v>
      </c>
      <c r="AA35" s="68">
        <f t="shared" si="5"/>
        <v>1</v>
      </c>
      <c r="AB35" s="68">
        <f t="shared" si="1"/>
        <v>1</v>
      </c>
      <c r="AD35">
        <v>16000</v>
      </c>
      <c r="AE35">
        <v>0.95599999999999996</v>
      </c>
      <c r="AF35">
        <v>4.3999999999999997E-2</v>
      </c>
      <c r="AG35">
        <v>4.3999999999999997E-2</v>
      </c>
    </row>
    <row r="36" spans="1:33" x14ac:dyDescent="0.25">
      <c r="A36">
        <v>31</v>
      </c>
      <c r="C36" s="24">
        <v>9.5994159264352918E-16</v>
      </c>
      <c r="D36" s="24">
        <v>4.2852546051083157E-5</v>
      </c>
      <c r="E36" s="24">
        <v>1.3746109049472821E-3</v>
      </c>
      <c r="F36" s="24">
        <v>3.1242801397412639E-25</v>
      </c>
      <c r="G36" s="24">
        <v>0.55962918851304488</v>
      </c>
      <c r="H36" s="24">
        <v>0.20977768111881889</v>
      </c>
      <c r="I36" s="53">
        <v>1534.5959676429877</v>
      </c>
      <c r="J36" s="53">
        <v>5296.0637442633924</v>
      </c>
      <c r="K36" s="24">
        <v>0.56297279925891308</v>
      </c>
      <c r="L36" s="24">
        <v>0.63488132321680457</v>
      </c>
      <c r="M36" s="24">
        <v>0.98365836629658299</v>
      </c>
      <c r="O36" s="53">
        <v>3.0805117245396088</v>
      </c>
      <c r="P36" s="54">
        <v>17478.200093011652</v>
      </c>
      <c r="Q36" s="54">
        <v>3.1554146046803395</v>
      </c>
      <c r="R36" s="54">
        <v>30016.407895077307</v>
      </c>
      <c r="S36" s="54">
        <v>7.4902880140730765E-2</v>
      </c>
      <c r="T36" s="54">
        <v>12538.207802065655</v>
      </c>
      <c r="V36" s="69">
        <f t="shared" si="2"/>
        <v>598624.14481491013</v>
      </c>
      <c r="W36" s="69">
        <f t="shared" si="3"/>
        <v>601066.51304099069</v>
      </c>
      <c r="X36" s="69">
        <f t="shared" si="0"/>
        <v>2442.3682260804981</v>
      </c>
      <c r="Z36" s="68">
        <f t="shared" si="4"/>
        <v>0</v>
      </c>
      <c r="AA36" s="68">
        <f t="shared" si="5"/>
        <v>1</v>
      </c>
      <c r="AB36" s="68">
        <f t="shared" si="1"/>
        <v>1</v>
      </c>
      <c r="AD36">
        <v>17000</v>
      </c>
      <c r="AE36">
        <v>0.95499999999999996</v>
      </c>
      <c r="AF36">
        <v>4.4999999999999998E-2</v>
      </c>
      <c r="AG36">
        <v>4.4999999999999998E-2</v>
      </c>
    </row>
    <row r="37" spans="1:33" x14ac:dyDescent="0.25">
      <c r="A37">
        <v>32</v>
      </c>
      <c r="C37" s="24">
        <v>9.4334042596178712E-6</v>
      </c>
      <c r="D37" s="24">
        <v>6.150490527429997E-3</v>
      </c>
      <c r="E37" s="24">
        <v>1.0445200260278398E-11</v>
      </c>
      <c r="F37" s="24">
        <v>2.2957799751255337E-6</v>
      </c>
      <c r="G37" s="24">
        <v>0.55402147400806334</v>
      </c>
      <c r="H37" s="24">
        <v>0.29278445293506838</v>
      </c>
      <c r="I37" s="53">
        <v>2529.408964327084</v>
      </c>
      <c r="J37" s="53">
        <v>5400.3783500086074</v>
      </c>
      <c r="K37" s="24">
        <v>0.73976317646322187</v>
      </c>
      <c r="L37" s="24">
        <v>0.82985976334132538</v>
      </c>
      <c r="M37" s="24">
        <v>0.88820045823226179</v>
      </c>
      <c r="O37" s="53">
        <v>4.0432220075113996</v>
      </c>
      <c r="P37" s="54">
        <v>17521.699602946064</v>
      </c>
      <c r="Q37" s="54">
        <v>4.1143943558745057</v>
      </c>
      <c r="R37" s="54">
        <v>49004.054061150709</v>
      </c>
      <c r="S37" s="54">
        <v>7.1172348363106153E-2</v>
      </c>
      <c r="T37" s="54">
        <v>31482.354458204645</v>
      </c>
      <c r="V37" s="69">
        <f t="shared" si="2"/>
        <v>791122.70189933386</v>
      </c>
      <c r="W37" s="69">
        <f t="shared" si="3"/>
        <v>773874.81711375038</v>
      </c>
      <c r="X37" s="69">
        <f t="shared" si="0"/>
        <v>-17247.884785583414</v>
      </c>
      <c r="Z37" s="68">
        <f t="shared" si="4"/>
        <v>1</v>
      </c>
      <c r="AA37" s="68">
        <f t="shared" si="5"/>
        <v>0</v>
      </c>
      <c r="AB37" s="68">
        <f t="shared" si="1"/>
        <v>0</v>
      </c>
      <c r="AD37">
        <v>18000</v>
      </c>
      <c r="AE37">
        <v>0.95</v>
      </c>
      <c r="AF37">
        <v>0.05</v>
      </c>
      <c r="AG37">
        <v>0.05</v>
      </c>
    </row>
    <row r="38" spans="1:33" x14ac:dyDescent="0.25">
      <c r="A38">
        <v>33</v>
      </c>
      <c r="C38" s="24">
        <v>4.5659271272895985E-6</v>
      </c>
      <c r="D38" s="24">
        <v>2.0947180635126905E-3</v>
      </c>
      <c r="E38" s="24">
        <v>2.5191722801898297E-4</v>
      </c>
      <c r="F38" s="24">
        <v>1.2920855785145981E-21</v>
      </c>
      <c r="G38" s="24">
        <v>0.50937209131817673</v>
      </c>
      <c r="H38" s="24">
        <v>0.30120589095597006</v>
      </c>
      <c r="I38" s="53">
        <v>1942.6431605052203</v>
      </c>
      <c r="J38" s="53">
        <v>4525.4623720531299</v>
      </c>
      <c r="K38" s="24">
        <v>0.52092331954408411</v>
      </c>
      <c r="L38" s="24">
        <v>0.89341266240883888</v>
      </c>
      <c r="M38" s="24">
        <v>0.94003267462426066</v>
      </c>
      <c r="O38" s="53">
        <v>4.0917720990580948</v>
      </c>
      <c r="P38" s="54">
        <v>12253.88591679311</v>
      </c>
      <c r="Q38" s="54">
        <v>4.3075434578566663</v>
      </c>
      <c r="R38" s="54">
        <v>40265.455499021926</v>
      </c>
      <c r="S38" s="54">
        <v>0.21577135879857146</v>
      </c>
      <c r="T38" s="54">
        <v>28011.569582228818</v>
      </c>
      <c r="V38" s="69">
        <f t="shared" si="2"/>
        <v>806100.53389482584</v>
      </c>
      <c r="W38" s="69">
        <f t="shared" si="3"/>
        <v>821243.23607231129</v>
      </c>
      <c r="X38" s="69">
        <f t="shared" si="0"/>
        <v>15142.702177485473</v>
      </c>
      <c r="Z38" s="68">
        <f t="shared" si="4"/>
        <v>0</v>
      </c>
      <c r="AA38" s="68">
        <f t="shared" si="5"/>
        <v>1</v>
      </c>
      <c r="AB38" s="68">
        <f t="shared" si="1"/>
        <v>1</v>
      </c>
      <c r="AD38">
        <v>19000</v>
      </c>
      <c r="AE38">
        <v>0.94599999999999995</v>
      </c>
      <c r="AF38">
        <v>5.3999999999999999E-2</v>
      </c>
      <c r="AG38">
        <v>5.3999999999999999E-2</v>
      </c>
    </row>
    <row r="39" spans="1:33" x14ac:dyDescent="0.25">
      <c r="A39">
        <v>34</v>
      </c>
      <c r="C39" s="24">
        <v>7.0760031045924432E-3</v>
      </c>
      <c r="D39" s="24">
        <v>2.9518598681664267E-4</v>
      </c>
      <c r="E39" s="24">
        <v>1.4365212686928697E-4</v>
      </c>
      <c r="F39" s="24">
        <v>1.753565555334808E-42</v>
      </c>
      <c r="G39" s="24">
        <v>0.70701488863344253</v>
      </c>
      <c r="H39" s="24">
        <v>0.2826289855644426</v>
      </c>
      <c r="I39" s="53">
        <v>1506.8909725939593</v>
      </c>
      <c r="J39" s="53">
        <v>4267.0012147603629</v>
      </c>
      <c r="K39" s="24">
        <v>0.65865564420628564</v>
      </c>
      <c r="L39" s="24">
        <v>0.92223587615144131</v>
      </c>
      <c r="M39" s="24">
        <v>0.81395441852965245</v>
      </c>
      <c r="O39" s="53">
        <v>4.0782472558265335</v>
      </c>
      <c r="P39" s="54">
        <v>15577.249483259153</v>
      </c>
      <c r="Q39" s="54">
        <v>4.5073163650598183</v>
      </c>
      <c r="R39" s="54">
        <v>59219.321071462953</v>
      </c>
      <c r="S39" s="54">
        <v>0.42906910923328478</v>
      </c>
      <c r="T39" s="54">
        <v>43642.071588203798</v>
      </c>
      <c r="V39" s="69">
        <f t="shared" si="2"/>
        <v>800072.20168204757</v>
      </c>
      <c r="W39" s="69">
        <f t="shared" si="3"/>
        <v>842243.95194050076</v>
      </c>
      <c r="X39" s="69">
        <f t="shared" si="0"/>
        <v>42171.750258453154</v>
      </c>
      <c r="Z39" s="68">
        <f t="shared" si="4"/>
        <v>0</v>
      </c>
      <c r="AA39" s="68">
        <f t="shared" si="5"/>
        <v>1</v>
      </c>
      <c r="AB39" s="68">
        <f t="shared" si="1"/>
        <v>1</v>
      </c>
      <c r="AD39">
        <v>20000</v>
      </c>
      <c r="AE39">
        <v>0.94099999999999995</v>
      </c>
      <c r="AF39">
        <v>5.8999999999999997E-2</v>
      </c>
      <c r="AG39">
        <v>5.8999999999999997E-2</v>
      </c>
    </row>
    <row r="40" spans="1:33" x14ac:dyDescent="0.25">
      <c r="A40">
        <v>35</v>
      </c>
      <c r="C40" s="24">
        <v>4.8266539818428674E-9</v>
      </c>
      <c r="D40" s="24">
        <v>3.3217379730613773E-4</v>
      </c>
      <c r="E40" s="24">
        <v>1.6685370418656476E-8</v>
      </c>
      <c r="F40" s="24">
        <v>7.0047559381738984E-38</v>
      </c>
      <c r="G40" s="24">
        <v>0.75684170170961085</v>
      </c>
      <c r="H40" s="24">
        <v>0.27004706556131497</v>
      </c>
      <c r="I40" s="53">
        <v>1883.2433050159443</v>
      </c>
      <c r="J40" s="53">
        <v>5188.1188944921259</v>
      </c>
      <c r="K40" s="24">
        <v>0.72847378202283286</v>
      </c>
      <c r="L40" s="24">
        <v>0.97648273093030991</v>
      </c>
      <c r="M40" s="24">
        <v>0.83741184393242707</v>
      </c>
      <c r="O40" s="53">
        <v>4.3021679134349649</v>
      </c>
      <c r="P40" s="54">
        <v>23937.525723684998</v>
      </c>
      <c r="Q40" s="54">
        <v>4.7905011294213233</v>
      </c>
      <c r="R40" s="54">
        <v>30587.508745851286</v>
      </c>
      <c r="S40" s="54">
        <v>0.48833321598635848</v>
      </c>
      <c r="T40" s="54">
        <v>6649.9830221662887</v>
      </c>
      <c r="V40" s="69">
        <f t="shared" si="2"/>
        <v>836496.0569633079</v>
      </c>
      <c r="W40" s="69">
        <f t="shared" si="3"/>
        <v>927512.71713841334</v>
      </c>
      <c r="X40" s="69">
        <f t="shared" si="0"/>
        <v>91016.660175105411</v>
      </c>
      <c r="Z40" s="68">
        <f t="shared" si="4"/>
        <v>0</v>
      </c>
      <c r="AA40" s="68">
        <f t="shared" si="5"/>
        <v>1</v>
      </c>
      <c r="AB40" s="68">
        <f t="shared" si="1"/>
        <v>1</v>
      </c>
      <c r="AD40">
        <v>21000</v>
      </c>
      <c r="AE40">
        <v>0.93500000000000005</v>
      </c>
      <c r="AF40">
        <v>6.5000000000000002E-2</v>
      </c>
      <c r="AG40">
        <v>6.5000000000000002E-2</v>
      </c>
    </row>
    <row r="41" spans="1:33" x14ac:dyDescent="0.25">
      <c r="A41">
        <v>36</v>
      </c>
      <c r="C41" s="24">
        <v>9.5627425427091952E-8</v>
      </c>
      <c r="D41" s="24">
        <v>9.4001992620655552E-4</v>
      </c>
      <c r="E41" s="24">
        <v>9.3369724618710515E-48</v>
      </c>
      <c r="F41" s="24">
        <v>2.7239176175032522E-16</v>
      </c>
      <c r="G41" s="24">
        <v>0.48568261697411241</v>
      </c>
      <c r="H41" s="24">
        <v>0.20771284187243688</v>
      </c>
      <c r="I41" s="53">
        <v>1764.9529428643755</v>
      </c>
      <c r="J41" s="53">
        <v>4396.2359142203177</v>
      </c>
      <c r="K41" s="24">
        <v>0.71135330460050017</v>
      </c>
      <c r="L41" s="24">
        <v>0.97050696728936425</v>
      </c>
      <c r="M41" s="24">
        <v>0.87973008250199869</v>
      </c>
      <c r="O41" s="53">
        <v>4.6144232130551295</v>
      </c>
      <c r="P41" s="54">
        <v>14250.602670216884</v>
      </c>
      <c r="Q41" s="54">
        <v>4.7841088525995845</v>
      </c>
      <c r="R41" s="54">
        <v>20198.103399690044</v>
      </c>
      <c r="S41" s="54">
        <v>0.16968563954445504</v>
      </c>
      <c r="T41" s="54">
        <v>5947.5007294731604</v>
      </c>
      <c r="V41" s="69">
        <f t="shared" si="2"/>
        <v>908634.03994080902</v>
      </c>
      <c r="W41" s="69">
        <f t="shared" si="3"/>
        <v>936623.66712022689</v>
      </c>
      <c r="X41" s="69">
        <f t="shared" si="0"/>
        <v>27989.627179417846</v>
      </c>
      <c r="Z41" s="68">
        <f t="shared" si="4"/>
        <v>0</v>
      </c>
      <c r="AA41" s="68">
        <f t="shared" si="5"/>
        <v>1</v>
      </c>
      <c r="AB41" s="68">
        <f t="shared" si="1"/>
        <v>1</v>
      </c>
      <c r="AD41">
        <v>22000</v>
      </c>
      <c r="AE41">
        <v>0.93</v>
      </c>
      <c r="AF41">
        <v>7.0000000000000007E-2</v>
      </c>
      <c r="AG41">
        <v>7.0000000000000007E-2</v>
      </c>
    </row>
    <row r="42" spans="1:33" x14ac:dyDescent="0.25">
      <c r="A42">
        <v>37</v>
      </c>
      <c r="C42" s="24">
        <v>4.7048045692773655E-2</v>
      </c>
      <c r="D42" s="24">
        <v>1.1981188979616779E-3</v>
      </c>
      <c r="E42" s="24">
        <v>1.1102210373259425E-8</v>
      </c>
      <c r="F42" s="24">
        <v>6.4197315212503503E-18</v>
      </c>
      <c r="G42" s="24">
        <v>0.44647562838125698</v>
      </c>
      <c r="H42" s="24">
        <v>0.22775824979693815</v>
      </c>
      <c r="I42" s="53">
        <v>1659.8568376216733</v>
      </c>
      <c r="J42" s="53">
        <v>4445.8734881690261</v>
      </c>
      <c r="K42" s="24">
        <v>0.61825188930797936</v>
      </c>
      <c r="L42" s="24">
        <v>0.96268517303445955</v>
      </c>
      <c r="M42" s="24">
        <v>0.93054116024807887</v>
      </c>
      <c r="O42" s="53">
        <v>4.5290369748319046</v>
      </c>
      <c r="P42" s="54">
        <v>12882.284551246474</v>
      </c>
      <c r="Q42" s="54">
        <v>4.7116693184888909</v>
      </c>
      <c r="R42" s="54">
        <v>24307.573292394274</v>
      </c>
      <c r="S42" s="54">
        <v>0.18263234365698633</v>
      </c>
      <c r="T42" s="54">
        <v>11425.2887411478</v>
      </c>
      <c r="V42" s="69">
        <f t="shared" si="2"/>
        <v>892925.11041513446</v>
      </c>
      <c r="W42" s="69">
        <f t="shared" si="3"/>
        <v>918026.29040538392</v>
      </c>
      <c r="X42" s="69">
        <f t="shared" si="0"/>
        <v>25101.179990249468</v>
      </c>
      <c r="Z42" s="68">
        <f t="shared" si="4"/>
        <v>0</v>
      </c>
      <c r="AA42" s="68">
        <f t="shared" si="5"/>
        <v>1</v>
      </c>
      <c r="AB42" s="68">
        <f t="shared" si="1"/>
        <v>1</v>
      </c>
      <c r="AD42">
        <v>23000</v>
      </c>
      <c r="AE42">
        <v>0.93</v>
      </c>
      <c r="AF42">
        <v>7.0000000000000007E-2</v>
      </c>
      <c r="AG42">
        <v>7.0000000000000007E-2</v>
      </c>
    </row>
    <row r="43" spans="1:33" x14ac:dyDescent="0.25">
      <c r="A43">
        <v>38</v>
      </c>
      <c r="C43" s="24">
        <v>4.6549086604983358E-3</v>
      </c>
      <c r="D43" s="24">
        <v>7.887346087324011E-4</v>
      </c>
      <c r="E43" s="24">
        <v>2.8060664902795907E-11</v>
      </c>
      <c r="F43" s="24">
        <v>1.9850130805757911E-28</v>
      </c>
      <c r="G43" s="24">
        <v>0.46404139414813006</v>
      </c>
      <c r="H43" s="24">
        <v>0.22194858007266616</v>
      </c>
      <c r="I43" s="53">
        <v>2259.878296907933</v>
      </c>
      <c r="J43" s="53">
        <v>6421.6509315493977</v>
      </c>
      <c r="K43" s="24">
        <v>0.55021875606933135</v>
      </c>
      <c r="L43" s="24">
        <v>0.83477109077461198</v>
      </c>
      <c r="M43" s="24">
        <v>0.78355819119922976</v>
      </c>
      <c r="O43" s="53">
        <v>3.9309395806249769</v>
      </c>
      <c r="P43" s="54">
        <v>12922.999038176757</v>
      </c>
      <c r="Q43" s="54">
        <v>4.0924823980624057</v>
      </c>
      <c r="R43" s="54">
        <v>40511.117798102445</v>
      </c>
      <c r="S43" s="54">
        <v>0.16154281743742871</v>
      </c>
      <c r="T43" s="54">
        <v>27588.118759925688</v>
      </c>
      <c r="V43" s="69">
        <f t="shared" si="2"/>
        <v>773264.9170868186</v>
      </c>
      <c r="W43" s="69">
        <f t="shared" si="3"/>
        <v>777985.36181437864</v>
      </c>
      <c r="X43" s="69">
        <f t="shared" si="0"/>
        <v>4720.4447275600542</v>
      </c>
      <c r="Z43" s="68">
        <f t="shared" si="4"/>
        <v>0</v>
      </c>
      <c r="AA43" s="68">
        <f t="shared" si="5"/>
        <v>1</v>
      </c>
      <c r="AB43" s="68">
        <f t="shared" si="1"/>
        <v>1</v>
      </c>
      <c r="AD43">
        <v>24000</v>
      </c>
      <c r="AE43">
        <v>0.92600000000000005</v>
      </c>
      <c r="AF43">
        <v>7.3999999999999996E-2</v>
      </c>
      <c r="AG43">
        <v>7.3999999999999996E-2</v>
      </c>
    </row>
    <row r="44" spans="1:33" x14ac:dyDescent="0.25">
      <c r="A44">
        <v>39</v>
      </c>
      <c r="C44" s="24">
        <v>2.5187872922450162E-5</v>
      </c>
      <c r="D44" s="24">
        <v>2.049505628809456E-3</v>
      </c>
      <c r="E44" s="24">
        <v>8.1403570020177618E-5</v>
      </c>
      <c r="F44" s="24">
        <v>5.773159728050814E-15</v>
      </c>
      <c r="G44" s="24">
        <v>0.74953588193760246</v>
      </c>
      <c r="H44" s="24">
        <v>0.30249985621787656</v>
      </c>
      <c r="I44" s="53">
        <v>1957.1556531861766</v>
      </c>
      <c r="J44" s="53">
        <v>6676.1056731347999</v>
      </c>
      <c r="K44" s="24">
        <v>0.43500557591455785</v>
      </c>
      <c r="L44" s="24">
        <v>0.91412727668344451</v>
      </c>
      <c r="M44" s="24">
        <v>0.72289705024502837</v>
      </c>
      <c r="O44" s="53">
        <v>3.4751628914549726</v>
      </c>
      <c r="P44" s="54">
        <v>28062.62309125793</v>
      </c>
      <c r="Q44" s="54">
        <v>4.3608052766755909</v>
      </c>
      <c r="R44" s="54">
        <v>45674.848139691749</v>
      </c>
      <c r="S44" s="54">
        <v>0.88564238522061833</v>
      </c>
      <c r="T44" s="54">
        <v>17612.225048433818</v>
      </c>
      <c r="V44" s="69">
        <f t="shared" si="2"/>
        <v>666969.95519973664</v>
      </c>
      <c r="W44" s="69">
        <f t="shared" si="3"/>
        <v>826486.20719542645</v>
      </c>
      <c r="X44" s="69">
        <f t="shared" si="0"/>
        <v>159516.25199568985</v>
      </c>
      <c r="Z44" s="68">
        <f t="shared" si="4"/>
        <v>0</v>
      </c>
      <c r="AA44" s="68">
        <f t="shared" si="5"/>
        <v>1</v>
      </c>
      <c r="AB44" s="68">
        <f t="shared" si="1"/>
        <v>1</v>
      </c>
      <c r="AD44">
        <v>25000</v>
      </c>
      <c r="AE44">
        <v>0.91900000000000004</v>
      </c>
      <c r="AF44">
        <v>8.1000000000000003E-2</v>
      </c>
      <c r="AG44">
        <v>8.1000000000000003E-2</v>
      </c>
    </row>
    <row r="45" spans="1:33" x14ac:dyDescent="0.25">
      <c r="A45">
        <v>40</v>
      </c>
      <c r="C45" s="24">
        <v>1.0710921294276865E-4</v>
      </c>
      <c r="D45" s="24">
        <v>8.9178769899411468E-5</v>
      </c>
      <c r="E45" s="24">
        <v>6.2728926412398116E-90</v>
      </c>
      <c r="F45" s="24">
        <v>1.3035981901816286E-27</v>
      </c>
      <c r="G45" s="24">
        <v>0.6457423248440135</v>
      </c>
      <c r="H45" s="24">
        <v>0.21596306362598205</v>
      </c>
      <c r="I45" s="53">
        <v>1880.8217480466351</v>
      </c>
      <c r="J45" s="53">
        <v>4722.4382291112634</v>
      </c>
      <c r="K45" s="24">
        <v>0.70493207803648139</v>
      </c>
      <c r="L45" s="24">
        <v>0.91720589524633089</v>
      </c>
      <c r="M45" s="24">
        <v>0.79563430564131898</v>
      </c>
      <c r="O45" s="53">
        <v>4.2424158833033907</v>
      </c>
      <c r="P45" s="54">
        <v>18676.344269349484</v>
      </c>
      <c r="Q45" s="54">
        <v>4.5275207651494647</v>
      </c>
      <c r="R45" s="54">
        <v>24003.185498312145</v>
      </c>
      <c r="S45" s="54">
        <v>0.28510488184607397</v>
      </c>
      <c r="T45" s="54">
        <v>5326.8412289626613</v>
      </c>
      <c r="V45" s="69">
        <f t="shared" si="2"/>
        <v>829806.83239132864</v>
      </c>
      <c r="W45" s="69">
        <f t="shared" si="3"/>
        <v>881500.96753158083</v>
      </c>
      <c r="X45" s="69">
        <f t="shared" si="0"/>
        <v>51694.135140252125</v>
      </c>
      <c r="Z45" s="68">
        <f t="shared" si="4"/>
        <v>0</v>
      </c>
      <c r="AA45" s="68">
        <f t="shared" si="5"/>
        <v>1</v>
      </c>
      <c r="AB45" s="68">
        <f t="shared" si="1"/>
        <v>1</v>
      </c>
      <c r="AD45">
        <v>26000</v>
      </c>
      <c r="AE45">
        <v>0.91500000000000004</v>
      </c>
      <c r="AF45">
        <v>8.5000000000000006E-2</v>
      </c>
      <c r="AG45">
        <v>8.5000000000000006E-2</v>
      </c>
    </row>
    <row r="46" spans="1:33" x14ac:dyDescent="0.25">
      <c r="A46">
        <v>41</v>
      </c>
      <c r="C46" s="24">
        <v>1.0807850762395432E-4</v>
      </c>
      <c r="D46" s="24">
        <v>1.4850153776814201E-3</v>
      </c>
      <c r="E46" s="24">
        <v>6.0285262177067037E-30</v>
      </c>
      <c r="F46" s="24">
        <v>5.3867629656867422E-6</v>
      </c>
      <c r="G46" s="24">
        <v>0.71282363759314404</v>
      </c>
      <c r="H46" s="24">
        <v>0.37791017625085055</v>
      </c>
      <c r="I46" s="53">
        <v>2696.2664631421385</v>
      </c>
      <c r="J46" s="53">
        <v>3425.5347679741303</v>
      </c>
      <c r="K46" s="24">
        <v>0.74261410041235743</v>
      </c>
      <c r="L46" s="24">
        <v>0.94047013594569995</v>
      </c>
      <c r="M46" s="24">
        <v>0.86332351505009219</v>
      </c>
      <c r="O46" s="53">
        <v>4.3015342073666982</v>
      </c>
      <c r="P46" s="54">
        <v>26022.932219711565</v>
      </c>
      <c r="Q46" s="54">
        <v>4.5822369912246526</v>
      </c>
      <c r="R46" s="54">
        <v>70997.22353925716</v>
      </c>
      <c r="S46" s="54">
        <v>0.28070278385795433</v>
      </c>
      <c r="T46" s="54">
        <v>44974.291319545591</v>
      </c>
      <c r="V46" s="69">
        <f t="shared" si="2"/>
        <v>834283.90925362799</v>
      </c>
      <c r="W46" s="69">
        <f t="shared" si="3"/>
        <v>845450.17470567336</v>
      </c>
      <c r="X46" s="69">
        <f t="shared" si="0"/>
        <v>11166.265452045278</v>
      </c>
      <c r="Z46" s="68">
        <f t="shared" si="4"/>
        <v>0</v>
      </c>
      <c r="AA46" s="68">
        <f t="shared" si="5"/>
        <v>1</v>
      </c>
      <c r="AB46" s="68">
        <f t="shared" si="1"/>
        <v>1</v>
      </c>
      <c r="AD46">
        <v>27000</v>
      </c>
      <c r="AE46">
        <v>0.90500000000000003</v>
      </c>
      <c r="AF46">
        <v>9.5000000000000001E-2</v>
      </c>
      <c r="AG46">
        <v>9.5000000000000001E-2</v>
      </c>
    </row>
    <row r="47" spans="1:33" x14ac:dyDescent="0.25">
      <c r="A47">
        <v>42</v>
      </c>
      <c r="C47" s="24">
        <v>2.1580496090846425E-6</v>
      </c>
      <c r="D47" s="24">
        <v>7.4604127552321505E-4</v>
      </c>
      <c r="E47" s="24">
        <v>9.6671657678373615E-50</v>
      </c>
      <c r="F47" s="24">
        <v>7.5370244689517827E-27</v>
      </c>
      <c r="G47" s="24">
        <v>0.47623599571072217</v>
      </c>
      <c r="H47" s="24">
        <v>0.22570663641611366</v>
      </c>
      <c r="I47" s="53">
        <v>1964.6849122188464</v>
      </c>
      <c r="J47" s="53">
        <v>3859.7790463717688</v>
      </c>
      <c r="K47" s="24">
        <v>0.45623528682914644</v>
      </c>
      <c r="L47" s="24">
        <v>0.73593626734592388</v>
      </c>
      <c r="M47" s="24">
        <v>0.96208942881543202</v>
      </c>
      <c r="O47" s="53">
        <v>3.4315951953949066</v>
      </c>
      <c r="P47" s="54">
        <v>12235.449846823722</v>
      </c>
      <c r="Q47" s="54">
        <v>3.5992222419604056</v>
      </c>
      <c r="R47" s="54">
        <v>24532.267170776176</v>
      </c>
      <c r="S47" s="54">
        <v>0.16762704656549898</v>
      </c>
      <c r="T47" s="54">
        <v>12296.817323952455</v>
      </c>
      <c r="V47" s="69">
        <f t="shared" si="2"/>
        <v>674083.58923215768</v>
      </c>
      <c r="W47" s="69">
        <f t="shared" si="3"/>
        <v>695312.18122130493</v>
      </c>
      <c r="X47" s="69">
        <f t="shared" si="0"/>
        <v>21228.591989147339</v>
      </c>
      <c r="Z47" s="68">
        <f t="shared" si="4"/>
        <v>0</v>
      </c>
      <c r="AA47" s="68">
        <f t="shared" si="5"/>
        <v>1</v>
      </c>
      <c r="AB47" s="68">
        <f t="shared" si="1"/>
        <v>1</v>
      </c>
      <c r="AD47">
        <v>28000</v>
      </c>
      <c r="AE47">
        <v>0.90100000000000002</v>
      </c>
      <c r="AF47">
        <v>9.9000000000000005E-2</v>
      </c>
      <c r="AG47">
        <v>9.9000000000000005E-2</v>
      </c>
    </row>
    <row r="48" spans="1:33" x14ac:dyDescent="0.25">
      <c r="A48">
        <v>43</v>
      </c>
      <c r="C48" s="24">
        <v>1.3802436748809099E-2</v>
      </c>
      <c r="D48" s="24">
        <v>8.2469642605955957E-4</v>
      </c>
      <c r="E48" s="24">
        <v>3.939804038566308E-11</v>
      </c>
      <c r="F48" s="24">
        <v>5.0769385911983292E-52</v>
      </c>
      <c r="G48" s="24">
        <v>0.68024265612443702</v>
      </c>
      <c r="H48" s="24">
        <v>0.32217015587711506</v>
      </c>
      <c r="I48" s="53">
        <v>1942.0960755869514</v>
      </c>
      <c r="J48" s="53">
        <v>5671.0651128723812</v>
      </c>
      <c r="K48" s="24">
        <v>0.78678598647877362</v>
      </c>
      <c r="L48" s="24">
        <v>0.87548713838035475</v>
      </c>
      <c r="M48" s="24">
        <v>0.9416578031701256</v>
      </c>
      <c r="O48" s="53">
        <v>4.225310218765495</v>
      </c>
      <c r="P48" s="54">
        <v>21061.85514838505</v>
      </c>
      <c r="Q48" s="54">
        <v>4.3357870775938334</v>
      </c>
      <c r="R48" s="54">
        <v>46757.927944961521</v>
      </c>
      <c r="S48" s="54">
        <v>0.11047685882833846</v>
      </c>
      <c r="T48" s="54">
        <v>25696.072796576471</v>
      </c>
      <c r="V48" s="69">
        <f t="shared" si="2"/>
        <v>824000.188604714</v>
      </c>
      <c r="W48" s="69">
        <f t="shared" si="3"/>
        <v>820399.48757380527</v>
      </c>
      <c r="X48" s="69">
        <f t="shared" si="0"/>
        <v>-3600.7010309087782</v>
      </c>
      <c r="Z48" s="68">
        <f t="shared" si="4"/>
        <v>1</v>
      </c>
      <c r="AA48" s="68">
        <f t="shared" si="5"/>
        <v>0</v>
      </c>
      <c r="AB48" s="68">
        <f t="shared" si="1"/>
        <v>0</v>
      </c>
      <c r="AD48">
        <v>29000</v>
      </c>
      <c r="AE48">
        <v>0.89800000000000002</v>
      </c>
      <c r="AF48">
        <v>0.10199999999999999</v>
      </c>
      <c r="AG48">
        <v>0.10199999999999999</v>
      </c>
    </row>
    <row r="49" spans="1:33" x14ac:dyDescent="0.25">
      <c r="A49">
        <v>44</v>
      </c>
      <c r="C49" s="24">
        <v>3.3576158058790107E-4</v>
      </c>
      <c r="D49" s="24">
        <v>8.4496382669997433E-4</v>
      </c>
      <c r="E49" s="24">
        <v>3.6863416938554769E-14</v>
      </c>
      <c r="F49" s="24">
        <v>6.8715723111623106E-9</v>
      </c>
      <c r="G49" s="24">
        <v>0.74322679318578588</v>
      </c>
      <c r="H49" s="24">
        <v>0.20820570012398865</v>
      </c>
      <c r="I49" s="53">
        <v>1981.9178577524431</v>
      </c>
      <c r="J49" s="53">
        <v>4553.7031304670809</v>
      </c>
      <c r="K49" s="24">
        <v>0.50175714003436611</v>
      </c>
      <c r="L49" s="24">
        <v>0.90845218108872094</v>
      </c>
      <c r="M49" s="24">
        <v>0.92146407139293351</v>
      </c>
      <c r="O49" s="53">
        <v>3.6320949465245262</v>
      </c>
      <c r="P49" s="54">
        <v>23816.481659951267</v>
      </c>
      <c r="Q49" s="54">
        <v>4.4354262867019445</v>
      </c>
      <c r="R49" s="54">
        <v>36179.386201422465</v>
      </c>
      <c r="S49" s="54">
        <v>0.80333134017741825</v>
      </c>
      <c r="T49" s="54">
        <v>12362.904541471198</v>
      </c>
      <c r="V49" s="69">
        <f t="shared" si="2"/>
        <v>702602.50764495402</v>
      </c>
      <c r="W49" s="69">
        <f t="shared" si="3"/>
        <v>850905.87113896653</v>
      </c>
      <c r="X49" s="69">
        <f t="shared" si="0"/>
        <v>148303.36349401248</v>
      </c>
      <c r="Z49" s="68">
        <f t="shared" si="4"/>
        <v>0</v>
      </c>
      <c r="AA49" s="68">
        <f t="shared" si="5"/>
        <v>1</v>
      </c>
      <c r="AB49" s="68">
        <f t="shared" si="1"/>
        <v>1</v>
      </c>
      <c r="AD49">
        <v>30000</v>
      </c>
      <c r="AE49">
        <v>0.89400000000000002</v>
      </c>
      <c r="AF49">
        <v>0.106</v>
      </c>
      <c r="AG49">
        <v>0.106</v>
      </c>
    </row>
    <row r="50" spans="1:33" x14ac:dyDescent="0.25">
      <c r="A50">
        <v>45</v>
      </c>
      <c r="C50" s="24">
        <v>3.4631033385860599E-2</v>
      </c>
      <c r="D50" s="24">
        <v>2.3108056554126399E-3</v>
      </c>
      <c r="E50" s="24">
        <v>6.4630743866644913E-4</v>
      </c>
      <c r="F50" s="24">
        <v>1.4688180651344308E-19</v>
      </c>
      <c r="G50" s="24">
        <v>0.59607437608595015</v>
      </c>
      <c r="H50" s="24">
        <v>0.22947642387360345</v>
      </c>
      <c r="I50" s="53">
        <v>1491.3979661066376</v>
      </c>
      <c r="J50" s="53">
        <v>3428.1878184744473</v>
      </c>
      <c r="K50" s="24">
        <v>0.71346402386751517</v>
      </c>
      <c r="L50" s="24">
        <v>0.95460581766144892</v>
      </c>
      <c r="M50" s="24">
        <v>0.68726952407077857</v>
      </c>
      <c r="O50" s="53">
        <v>4.3550768861031823</v>
      </c>
      <c r="P50" s="54">
        <v>14462.975079391072</v>
      </c>
      <c r="Q50" s="54">
        <v>4.6974881283495327</v>
      </c>
      <c r="R50" s="54">
        <v>36156.348280895698</v>
      </c>
      <c r="S50" s="54">
        <v>0.34241124224635033</v>
      </c>
      <c r="T50" s="54">
        <v>21693.373201504626</v>
      </c>
      <c r="V50" s="69">
        <f t="shared" si="2"/>
        <v>856552.40214124543</v>
      </c>
      <c r="W50" s="69">
        <f t="shared" si="3"/>
        <v>903341.27738901076</v>
      </c>
      <c r="X50" s="69">
        <f t="shared" si="0"/>
        <v>46788.875247765434</v>
      </c>
      <c r="Z50" s="68">
        <f t="shared" si="4"/>
        <v>0</v>
      </c>
      <c r="AA50" s="68">
        <f t="shared" si="5"/>
        <v>1</v>
      </c>
      <c r="AB50" s="68">
        <f t="shared" si="1"/>
        <v>1</v>
      </c>
      <c r="AD50">
        <v>35000</v>
      </c>
      <c r="AE50">
        <v>0.876</v>
      </c>
      <c r="AF50">
        <v>0.124</v>
      </c>
      <c r="AG50">
        <v>0.124</v>
      </c>
    </row>
    <row r="51" spans="1:33" x14ac:dyDescent="0.25">
      <c r="A51">
        <v>46</v>
      </c>
      <c r="C51" s="24">
        <v>2.6026127109294306E-3</v>
      </c>
      <c r="D51" s="24">
        <v>2.2561390662424901E-5</v>
      </c>
      <c r="E51" s="24">
        <v>1.5599586733472393E-8</v>
      </c>
      <c r="F51" s="24">
        <v>7.629730180980232E-11</v>
      </c>
      <c r="G51" s="24">
        <v>0.54616139050169699</v>
      </c>
      <c r="H51" s="24">
        <v>0.31743136356966228</v>
      </c>
      <c r="I51" s="53">
        <v>2025.7674738449357</v>
      </c>
      <c r="J51" s="53">
        <v>5401.0203937064962</v>
      </c>
      <c r="K51" s="24">
        <v>0.54064456358549406</v>
      </c>
      <c r="L51" s="24">
        <v>0.89416284112008093</v>
      </c>
      <c r="M51" s="24">
        <v>0.68947478968079468</v>
      </c>
      <c r="O51" s="53">
        <v>4.0615302723975892</v>
      </c>
      <c r="P51" s="54">
        <v>11402.351525674418</v>
      </c>
      <c r="Q51" s="54">
        <v>4.306908242045596</v>
      </c>
      <c r="R51" s="54">
        <v>48446.329992547486</v>
      </c>
      <c r="S51" s="54">
        <v>0.24537796964800673</v>
      </c>
      <c r="T51" s="54">
        <v>37043.978466873072</v>
      </c>
      <c r="V51" s="69">
        <f t="shared" si="2"/>
        <v>800903.7029538434</v>
      </c>
      <c r="W51" s="69">
        <f t="shared" si="3"/>
        <v>812935.31841657171</v>
      </c>
      <c r="X51" s="69">
        <f t="shared" si="0"/>
        <v>12031.615462728274</v>
      </c>
      <c r="Z51" s="68">
        <f t="shared" si="4"/>
        <v>0</v>
      </c>
      <c r="AA51" s="68">
        <f t="shared" si="5"/>
        <v>1</v>
      </c>
      <c r="AB51" s="68">
        <f t="shared" si="1"/>
        <v>1</v>
      </c>
      <c r="AD51">
        <v>40000</v>
      </c>
      <c r="AE51">
        <v>0.84799999999999998</v>
      </c>
      <c r="AF51">
        <v>0.152</v>
      </c>
      <c r="AG51">
        <v>0.152</v>
      </c>
    </row>
    <row r="52" spans="1:33" x14ac:dyDescent="0.25">
      <c r="A52">
        <v>47</v>
      </c>
      <c r="C52" s="24">
        <v>2.1958334351064518E-6</v>
      </c>
      <c r="D52" s="24">
        <v>2.631261811159254E-4</v>
      </c>
      <c r="E52" s="24">
        <v>1.0438352180707431E-28</v>
      </c>
      <c r="F52" s="24">
        <v>6.7199489972580295E-8</v>
      </c>
      <c r="G52" s="24">
        <v>0.63669393568164423</v>
      </c>
      <c r="H52" s="24">
        <v>0.20726093896466224</v>
      </c>
      <c r="I52" s="53">
        <v>2128.7840914201147</v>
      </c>
      <c r="J52" s="53">
        <v>4171.059288472492</v>
      </c>
      <c r="K52" s="24">
        <v>0.57920772726342629</v>
      </c>
      <c r="L52" s="24">
        <v>0.90302208151532137</v>
      </c>
      <c r="M52" s="24">
        <v>0.89661749595838014</v>
      </c>
      <c r="O52" s="53">
        <v>4.00700112875748</v>
      </c>
      <c r="P52" s="54">
        <v>19880.535062569677</v>
      </c>
      <c r="Q52" s="54">
        <v>4.4304713692303173</v>
      </c>
      <c r="R52" s="54">
        <v>28990.168250367642</v>
      </c>
      <c r="S52" s="54">
        <v>0.42347024047283721</v>
      </c>
      <c r="T52" s="54">
        <v>9109.6331877979646</v>
      </c>
      <c r="V52" s="69">
        <f t="shared" si="2"/>
        <v>781519.69068892638</v>
      </c>
      <c r="W52" s="69">
        <f t="shared" si="3"/>
        <v>857104.10559569579</v>
      </c>
      <c r="X52" s="69">
        <f t="shared" si="0"/>
        <v>75584.414906769467</v>
      </c>
      <c r="Z52" s="68">
        <f t="shared" si="4"/>
        <v>0</v>
      </c>
      <c r="AA52" s="68">
        <f t="shared" si="5"/>
        <v>1</v>
      </c>
      <c r="AB52" s="68">
        <f t="shared" si="1"/>
        <v>1</v>
      </c>
      <c r="AD52">
        <v>45000</v>
      </c>
      <c r="AE52">
        <v>0.81599999999999995</v>
      </c>
      <c r="AF52">
        <v>0.184</v>
      </c>
      <c r="AG52">
        <v>0.184</v>
      </c>
    </row>
    <row r="53" spans="1:33" x14ac:dyDescent="0.25">
      <c r="A53">
        <v>48</v>
      </c>
      <c r="C53" s="24">
        <v>1.452874045985713E-9</v>
      </c>
      <c r="D53" s="24">
        <v>2.1904190610348317E-2</v>
      </c>
      <c r="E53" s="24">
        <v>1.0770162539586181E-11</v>
      </c>
      <c r="F53" s="24">
        <v>5.2973380783169204E-28</v>
      </c>
      <c r="G53" s="24">
        <v>0.55046145590072926</v>
      </c>
      <c r="H53" s="24">
        <v>0.2066500270581253</v>
      </c>
      <c r="I53" s="53">
        <v>2030.8246880191466</v>
      </c>
      <c r="J53" s="53">
        <v>4970.9996918933812</v>
      </c>
      <c r="K53" s="24">
        <v>0.51212467446371313</v>
      </c>
      <c r="L53" s="24">
        <v>0.84944857125017326</v>
      </c>
      <c r="M53" s="24">
        <v>0.92286549880444291</v>
      </c>
      <c r="O53" s="53">
        <v>3.8550643429035358</v>
      </c>
      <c r="P53" s="54">
        <v>15683.734366651124</v>
      </c>
      <c r="Q53" s="54">
        <v>4.1690179125595463</v>
      </c>
      <c r="R53" s="54">
        <v>21986.679254808139</v>
      </c>
      <c r="S53" s="54">
        <v>0.31395356965601051</v>
      </c>
      <c r="T53" s="54">
        <v>6302.9448881570152</v>
      </c>
      <c r="V53" s="69">
        <f t="shared" si="2"/>
        <v>755329.13421405596</v>
      </c>
      <c r="W53" s="69">
        <f t="shared" si="3"/>
        <v>811816.90325710119</v>
      </c>
      <c r="X53" s="69">
        <f t="shared" si="0"/>
        <v>56487.769043045089</v>
      </c>
      <c r="Z53" s="68">
        <f t="shared" si="4"/>
        <v>0</v>
      </c>
      <c r="AA53" s="68">
        <f t="shared" si="5"/>
        <v>1</v>
      </c>
      <c r="AB53" s="68">
        <f t="shared" si="1"/>
        <v>1</v>
      </c>
      <c r="AD53">
        <v>50000</v>
      </c>
      <c r="AE53">
        <v>0.77900000000000003</v>
      </c>
      <c r="AF53">
        <v>0.221</v>
      </c>
      <c r="AG53">
        <v>0.221</v>
      </c>
    </row>
    <row r="54" spans="1:33" x14ac:dyDescent="0.25">
      <c r="A54">
        <v>49</v>
      </c>
      <c r="C54" s="24">
        <v>5.6303336122925206E-12</v>
      </c>
      <c r="D54" s="24">
        <v>4.2780016164949733E-4</v>
      </c>
      <c r="E54" s="24">
        <v>7.0121409671008722E-26</v>
      </c>
      <c r="F54" s="24">
        <v>4.8644162951028136E-6</v>
      </c>
      <c r="G54" s="24">
        <v>0.57113715938273613</v>
      </c>
      <c r="H54" s="24">
        <v>0.34425814473779093</v>
      </c>
      <c r="I54" s="53">
        <v>1334.3892678064494</v>
      </c>
      <c r="J54" s="53">
        <v>4679.2503288044163</v>
      </c>
      <c r="K54" s="24">
        <v>0.61714374302309538</v>
      </c>
      <c r="L54" s="24">
        <v>0.94119655080095255</v>
      </c>
      <c r="M54" s="24">
        <v>0.75686889238379518</v>
      </c>
      <c r="O54" s="53">
        <v>4.3006526009709063</v>
      </c>
      <c r="P54" s="54">
        <v>19208.906955053746</v>
      </c>
      <c r="Q54" s="54">
        <v>4.5361110528315249</v>
      </c>
      <c r="R54" s="54">
        <v>41126.078826544319</v>
      </c>
      <c r="S54" s="54">
        <v>0.23545845186061864</v>
      </c>
      <c r="T54" s="54">
        <v>21917.171871490573</v>
      </c>
      <c r="V54" s="69">
        <f t="shared" si="2"/>
        <v>840921.61323912744</v>
      </c>
      <c r="W54" s="69">
        <f t="shared" si="3"/>
        <v>866096.13173976063</v>
      </c>
      <c r="X54" s="69">
        <f t="shared" si="0"/>
        <v>25174.518500633159</v>
      </c>
      <c r="Z54" s="68">
        <f t="shared" si="4"/>
        <v>0</v>
      </c>
      <c r="AA54" s="68">
        <f t="shared" si="5"/>
        <v>1</v>
      </c>
      <c r="AB54" s="68">
        <f t="shared" si="1"/>
        <v>1</v>
      </c>
      <c r="AD54">
        <v>55000</v>
      </c>
      <c r="AE54">
        <v>0.752</v>
      </c>
      <c r="AF54">
        <v>0.248</v>
      </c>
      <c r="AG54">
        <v>0.248</v>
      </c>
    </row>
    <row r="55" spans="1:33" x14ac:dyDescent="0.25">
      <c r="A55">
        <v>50</v>
      </c>
      <c r="C55" s="24">
        <v>1.6377543452533838E-2</v>
      </c>
      <c r="D55" s="24">
        <v>1.5492195351849425E-3</v>
      </c>
      <c r="E55" s="24">
        <v>6.0147479679084626E-6</v>
      </c>
      <c r="F55" s="24">
        <v>8.9163110228440701E-9</v>
      </c>
      <c r="G55" s="24">
        <v>0.58243864225348507</v>
      </c>
      <c r="H55" s="24">
        <v>0.22137252998291079</v>
      </c>
      <c r="I55" s="53">
        <v>1575.8611202626651</v>
      </c>
      <c r="J55" s="53">
        <v>5207.9060304516934</v>
      </c>
      <c r="K55" s="24">
        <v>0.64263932446048155</v>
      </c>
      <c r="L55" s="24">
        <v>0.89564493540191892</v>
      </c>
      <c r="M55" s="24">
        <v>0.83827372379799037</v>
      </c>
      <c r="O55" s="53">
        <v>4.1406018044792088</v>
      </c>
      <c r="P55" s="54">
        <v>16896.276688456306</v>
      </c>
      <c r="Q55" s="54">
        <v>4.4057922208051252</v>
      </c>
      <c r="R55" s="54">
        <v>33076.056207125548</v>
      </c>
      <c r="S55" s="54">
        <v>0.26519041632591644</v>
      </c>
      <c r="T55" s="54">
        <v>16179.779518669242</v>
      </c>
      <c r="V55" s="69">
        <f t="shared" si="2"/>
        <v>811224.08420738543</v>
      </c>
      <c r="W55" s="69">
        <f t="shared" si="3"/>
        <v>848082.38795389945</v>
      </c>
      <c r="X55" s="69">
        <f t="shared" si="0"/>
        <v>36858.303746514051</v>
      </c>
      <c r="Z55" s="68">
        <f t="shared" si="4"/>
        <v>0</v>
      </c>
      <c r="AA55" s="68">
        <f t="shared" si="5"/>
        <v>1</v>
      </c>
      <c r="AB55" s="68">
        <f t="shared" si="1"/>
        <v>1</v>
      </c>
      <c r="AD55">
        <v>60000</v>
      </c>
      <c r="AE55">
        <v>0.73299999999999998</v>
      </c>
      <c r="AF55">
        <v>0.26700000000000002</v>
      </c>
      <c r="AG55">
        <v>0.26700000000000002</v>
      </c>
    </row>
    <row r="56" spans="1:33" x14ac:dyDescent="0.25">
      <c r="A56">
        <v>51</v>
      </c>
      <c r="C56" s="24">
        <v>1.4304949595533856E-4</v>
      </c>
      <c r="D56" s="24">
        <v>1.0431828067428588E-6</v>
      </c>
      <c r="E56" s="24">
        <v>7.8650948748038019E-5</v>
      </c>
      <c r="F56" s="24">
        <v>5.440607536593867E-29</v>
      </c>
      <c r="G56" s="24">
        <v>0.52228470963582807</v>
      </c>
      <c r="H56" s="24">
        <v>0.3031472966287696</v>
      </c>
      <c r="I56" s="53">
        <v>1767.4673237731952</v>
      </c>
      <c r="J56" s="53">
        <v>5080.8883055818415</v>
      </c>
      <c r="K56" s="24">
        <v>0.74090243052002802</v>
      </c>
      <c r="L56" s="24">
        <v>0.93327821784237308</v>
      </c>
      <c r="M56" s="24">
        <v>0.74080344813455301</v>
      </c>
      <c r="O56" s="53">
        <v>4.4634066068154645</v>
      </c>
      <c r="P56" s="54">
        <v>13104.527628046899</v>
      </c>
      <c r="Q56" s="54">
        <v>4.5829160420602193</v>
      </c>
      <c r="R56" s="54">
        <v>36110.187446571181</v>
      </c>
      <c r="S56" s="54">
        <v>0.11950943524475477</v>
      </c>
      <c r="T56" s="54">
        <v>23005.659818524284</v>
      </c>
      <c r="V56" s="69">
        <f t="shared" si="2"/>
        <v>879576.79373504594</v>
      </c>
      <c r="W56" s="69">
        <f t="shared" si="3"/>
        <v>880473.02096547268</v>
      </c>
      <c r="X56" s="69">
        <f t="shared" si="0"/>
        <v>896.22723042666985</v>
      </c>
      <c r="Z56" s="68">
        <f t="shared" si="4"/>
        <v>0</v>
      </c>
      <c r="AA56" s="68">
        <f t="shared" si="5"/>
        <v>1</v>
      </c>
      <c r="AB56" s="68">
        <f t="shared" si="1"/>
        <v>1</v>
      </c>
      <c r="AD56">
        <v>65000</v>
      </c>
      <c r="AE56">
        <v>0.71099999999999997</v>
      </c>
      <c r="AF56">
        <v>0.28899999999999998</v>
      </c>
      <c r="AG56">
        <v>0.28899999999999998</v>
      </c>
    </row>
    <row r="57" spans="1:33" x14ac:dyDescent="0.25">
      <c r="A57">
        <v>52</v>
      </c>
      <c r="C57" s="24">
        <v>1.3275356124564652E-4</v>
      </c>
      <c r="D57" s="24">
        <v>8.0266272863857579E-4</v>
      </c>
      <c r="E57" s="24">
        <v>1.1688713410345391E-13</v>
      </c>
      <c r="F57" s="24">
        <v>4.2613424267035072E-7</v>
      </c>
      <c r="G57" s="24">
        <v>0.65524063004590338</v>
      </c>
      <c r="H57" s="24">
        <v>0.3314044969608626</v>
      </c>
      <c r="I57" s="53">
        <v>2205.9489789795375</v>
      </c>
      <c r="J57" s="53">
        <v>4385.8976094835625</v>
      </c>
      <c r="K57" s="24">
        <v>0.55117175888967807</v>
      </c>
      <c r="L57" s="24">
        <v>0.87362629978889306</v>
      </c>
      <c r="M57" s="24">
        <v>0.8605324692854639</v>
      </c>
      <c r="O57" s="53">
        <v>3.8292874651087132</v>
      </c>
      <c r="P57" s="54">
        <v>25512.041373006719</v>
      </c>
      <c r="Q57" s="54">
        <v>4.2088651933773367</v>
      </c>
      <c r="R57" s="54">
        <v>37243.764339885849</v>
      </c>
      <c r="S57" s="54">
        <v>0.37957772826862346</v>
      </c>
      <c r="T57" s="54">
        <v>11731.72296687913</v>
      </c>
      <c r="V57" s="69">
        <f t="shared" si="2"/>
        <v>740345.45164873591</v>
      </c>
      <c r="W57" s="69">
        <f t="shared" si="3"/>
        <v>804529.27433558158</v>
      </c>
      <c r="X57" s="69">
        <f t="shared" si="0"/>
        <v>64183.822686845568</v>
      </c>
      <c r="Z57" s="68">
        <f t="shared" si="4"/>
        <v>0</v>
      </c>
      <c r="AA57" s="68">
        <f t="shared" si="5"/>
        <v>1</v>
      </c>
      <c r="AB57" s="68">
        <f t="shared" si="1"/>
        <v>1</v>
      </c>
      <c r="AD57">
        <v>70000</v>
      </c>
      <c r="AE57">
        <v>0.67700000000000005</v>
      </c>
      <c r="AF57">
        <v>0.32300000000000001</v>
      </c>
      <c r="AG57">
        <v>0.32300000000000001</v>
      </c>
    </row>
    <row r="58" spans="1:33" x14ac:dyDescent="0.25">
      <c r="A58">
        <v>53</v>
      </c>
      <c r="C58" s="24">
        <v>5.6323023476878564E-4</v>
      </c>
      <c r="D58" s="24">
        <v>1.7082168908544304E-3</v>
      </c>
      <c r="E58" s="24">
        <v>1.9051745320451745E-63</v>
      </c>
      <c r="F58" s="24">
        <v>8.8247727824210067E-16</v>
      </c>
      <c r="G58" s="24">
        <v>0.63637675743387057</v>
      </c>
      <c r="H58" s="24">
        <v>0.23204600454880664</v>
      </c>
      <c r="I58" s="53">
        <v>1664.4318898361794</v>
      </c>
      <c r="J58" s="53">
        <v>5036.7974860460317</v>
      </c>
      <c r="K58" s="24">
        <v>0.59295552543318919</v>
      </c>
      <c r="L58" s="24">
        <v>0.9132498394164793</v>
      </c>
      <c r="M58" s="24">
        <v>0.92356454474981375</v>
      </c>
      <c r="O58" s="53">
        <v>4.0642609214351815</v>
      </c>
      <c r="P58" s="54">
        <v>16899.804417306812</v>
      </c>
      <c r="Q58" s="54">
        <v>4.4696415419408426</v>
      </c>
      <c r="R58" s="54">
        <v>34543.297525883216</v>
      </c>
      <c r="S58" s="54">
        <v>0.40538062050566115</v>
      </c>
      <c r="T58" s="54">
        <v>17643.493108576404</v>
      </c>
      <c r="V58" s="69">
        <f t="shared" si="2"/>
        <v>795952.37986972951</v>
      </c>
      <c r="W58" s="69">
        <f t="shared" si="3"/>
        <v>859385.01086228539</v>
      </c>
      <c r="X58" s="69">
        <f t="shared" si="0"/>
        <v>63432.630992555823</v>
      </c>
      <c r="Z58" s="68">
        <f t="shared" si="4"/>
        <v>0</v>
      </c>
      <c r="AA58" s="68">
        <f t="shared" si="5"/>
        <v>1</v>
      </c>
      <c r="AB58" s="68">
        <f t="shared" si="1"/>
        <v>1</v>
      </c>
      <c r="AD58">
        <v>75000</v>
      </c>
      <c r="AE58">
        <v>0.65800000000000003</v>
      </c>
      <c r="AF58">
        <v>0.34200000000000003</v>
      </c>
      <c r="AG58">
        <v>0.34200000000000003</v>
      </c>
    </row>
    <row r="59" spans="1:33" x14ac:dyDescent="0.25">
      <c r="A59">
        <v>54</v>
      </c>
      <c r="C59" s="24">
        <v>1.7500322965826243E-12</v>
      </c>
      <c r="D59" s="24">
        <v>1.8116257277596111E-4</v>
      </c>
      <c r="E59" s="24">
        <v>1.3794714956228627E-18</v>
      </c>
      <c r="F59" s="24">
        <v>3.3025053331938045E-16</v>
      </c>
      <c r="G59" s="24">
        <v>0.49765528866692177</v>
      </c>
      <c r="H59" s="24">
        <v>0.25164062691173805</v>
      </c>
      <c r="I59" s="53">
        <v>2431.8134270198734</v>
      </c>
      <c r="J59" s="53">
        <v>4537.8750556150926</v>
      </c>
      <c r="K59" s="24">
        <v>0.67684502919370826</v>
      </c>
      <c r="L59" s="24">
        <v>0.86406385716783574</v>
      </c>
      <c r="M59" s="24">
        <v>0.68428386992851231</v>
      </c>
      <c r="O59" s="53">
        <v>4.1405095010942876</v>
      </c>
      <c r="P59" s="54">
        <v>13966.554886009106</v>
      </c>
      <c r="Q59" s="54">
        <v>4.2572262932317919</v>
      </c>
      <c r="R59" s="54">
        <v>36417.184495371672</v>
      </c>
      <c r="S59" s="54">
        <v>0.1167167921375043</v>
      </c>
      <c r="T59" s="54">
        <v>22450.629609362564</v>
      </c>
      <c r="V59" s="69">
        <f t="shared" si="2"/>
        <v>814135.34533284849</v>
      </c>
      <c r="W59" s="69">
        <f t="shared" si="3"/>
        <v>815028.07415098674</v>
      </c>
      <c r="X59" s="69">
        <f t="shared" si="0"/>
        <v>892.72881813829736</v>
      </c>
      <c r="Z59" s="68">
        <f t="shared" si="4"/>
        <v>0</v>
      </c>
      <c r="AA59" s="68">
        <f t="shared" si="5"/>
        <v>1</v>
      </c>
      <c r="AB59" s="68">
        <f t="shared" si="1"/>
        <v>1</v>
      </c>
      <c r="AD59">
        <v>80000</v>
      </c>
      <c r="AE59">
        <v>0.629</v>
      </c>
      <c r="AF59">
        <v>0.371</v>
      </c>
      <c r="AG59">
        <v>0.371</v>
      </c>
    </row>
    <row r="60" spans="1:33" x14ac:dyDescent="0.25">
      <c r="A60">
        <v>55</v>
      </c>
      <c r="C60" s="24">
        <v>3.5702343039845171E-10</v>
      </c>
      <c r="D60" s="24">
        <v>5.0013905241950152E-3</v>
      </c>
      <c r="E60" s="24">
        <v>3.934564446124344E-30</v>
      </c>
      <c r="F60" s="24">
        <v>2.3536605433635264E-54</v>
      </c>
      <c r="G60" s="24">
        <v>0.66285033935476523</v>
      </c>
      <c r="H60" s="24">
        <v>0.33626600670802709</v>
      </c>
      <c r="I60" s="53">
        <v>2214.4020873091586</v>
      </c>
      <c r="J60" s="53">
        <v>6420.9786030153791</v>
      </c>
      <c r="K60" s="24">
        <v>0.57958576761929803</v>
      </c>
      <c r="L60" s="24">
        <v>0.76662348863207219</v>
      </c>
      <c r="M60" s="24">
        <v>0.67771660619153407</v>
      </c>
      <c r="O60" s="53">
        <v>3.5124477636429075</v>
      </c>
      <c r="P60" s="54">
        <v>20019.771086091889</v>
      </c>
      <c r="Q60" s="54">
        <v>3.7357546468420009</v>
      </c>
      <c r="R60" s="54">
        <v>47504.110236610213</v>
      </c>
      <c r="S60" s="54">
        <v>0.22330688319909342</v>
      </c>
      <c r="T60" s="54">
        <v>27484.339150518324</v>
      </c>
      <c r="V60" s="69">
        <f t="shared" si="2"/>
        <v>682469.7816424896</v>
      </c>
      <c r="W60" s="69">
        <f t="shared" si="3"/>
        <v>699646.81913178996</v>
      </c>
      <c r="X60" s="69">
        <f t="shared" si="0"/>
        <v>17177.037489300361</v>
      </c>
      <c r="Z60" s="68">
        <f t="shared" si="4"/>
        <v>0</v>
      </c>
      <c r="AA60" s="68">
        <f t="shared" si="5"/>
        <v>1</v>
      </c>
      <c r="AB60" s="68">
        <f t="shared" si="1"/>
        <v>1</v>
      </c>
      <c r="AD60">
        <v>85000</v>
      </c>
      <c r="AE60">
        <v>0.60699999999999998</v>
      </c>
      <c r="AF60">
        <v>0.39300000000000002</v>
      </c>
      <c r="AG60">
        <v>0.39300000000000002</v>
      </c>
    </row>
    <row r="61" spans="1:33" x14ac:dyDescent="0.25">
      <c r="A61">
        <v>56</v>
      </c>
      <c r="C61" s="24">
        <v>6.4047358634718277E-7</v>
      </c>
      <c r="D61" s="24">
        <v>1.3463440878130895E-3</v>
      </c>
      <c r="E61" s="24">
        <v>1.0208056622218464E-11</v>
      </c>
      <c r="F61" s="24">
        <v>2.7170443332145064E-30</v>
      </c>
      <c r="G61" s="24">
        <v>0.51396856588474282</v>
      </c>
      <c r="H61" s="24">
        <v>0.27933333659016424</v>
      </c>
      <c r="I61" s="53">
        <v>1477.742272877879</v>
      </c>
      <c r="J61" s="53">
        <v>4853.6980148113589</v>
      </c>
      <c r="K61" s="24">
        <v>0.58745527000723596</v>
      </c>
      <c r="L61" s="24">
        <v>0.77030806905087468</v>
      </c>
      <c r="M61" s="24">
        <v>0.88793745823202297</v>
      </c>
      <c r="O61" s="53">
        <v>3.6651129292773401</v>
      </c>
      <c r="P61" s="54">
        <v>13370.462533364334</v>
      </c>
      <c r="Q61" s="54">
        <v>3.7818001262442911</v>
      </c>
      <c r="R61" s="54">
        <v>37484.934130803187</v>
      </c>
      <c r="S61" s="54">
        <v>0.11668719696695096</v>
      </c>
      <c r="T61" s="54">
        <v>24114.471597438853</v>
      </c>
      <c r="V61" s="69">
        <f t="shared" si="2"/>
        <v>719652.12332210375</v>
      </c>
      <c r="W61" s="69">
        <f t="shared" si="3"/>
        <v>718875.09111805505</v>
      </c>
      <c r="X61" s="69">
        <f t="shared" si="0"/>
        <v>-777.03220404866079</v>
      </c>
      <c r="Z61" s="68">
        <f t="shared" si="4"/>
        <v>1</v>
      </c>
      <c r="AA61" s="68">
        <f t="shared" si="5"/>
        <v>0</v>
      </c>
      <c r="AB61" s="68">
        <f t="shared" si="1"/>
        <v>0</v>
      </c>
      <c r="AD61">
        <v>90000</v>
      </c>
      <c r="AE61">
        <v>0.58799999999999997</v>
      </c>
      <c r="AF61">
        <v>0.41199999999999998</v>
      </c>
      <c r="AG61">
        <v>0.41199999999999998</v>
      </c>
    </row>
    <row r="62" spans="1:33" x14ac:dyDescent="0.25">
      <c r="A62">
        <v>57</v>
      </c>
      <c r="C62" s="24">
        <v>3.954686056321149E-6</v>
      </c>
      <c r="D62" s="24">
        <v>8.6561843293952735E-6</v>
      </c>
      <c r="E62" s="24">
        <v>2.1167003927694607E-51</v>
      </c>
      <c r="F62" s="24">
        <v>1.7235557425721026E-10</v>
      </c>
      <c r="G62" s="24">
        <v>0.49655509748435156</v>
      </c>
      <c r="H62" s="24">
        <v>0.4136946506562309</v>
      </c>
      <c r="I62" s="53">
        <v>1453.9087470398285</v>
      </c>
      <c r="J62" s="53">
        <v>5136.2017913116506</v>
      </c>
      <c r="K62" s="24">
        <v>0.43929968217130805</v>
      </c>
      <c r="L62" s="24">
        <v>0.79311974427847209</v>
      </c>
      <c r="M62" s="24">
        <v>0.88351036070320754</v>
      </c>
      <c r="O62" s="53">
        <v>3.6271586867690369</v>
      </c>
      <c r="P62" s="54">
        <v>13442.171415844536</v>
      </c>
      <c r="Q62" s="54">
        <v>3.7189755657249486</v>
      </c>
      <c r="R62" s="54">
        <v>67043.330354069723</v>
      </c>
      <c r="S62" s="54">
        <v>9.1816878955911729E-2</v>
      </c>
      <c r="T62" s="54">
        <v>53601.158938225184</v>
      </c>
      <c r="V62" s="69">
        <f t="shared" si="2"/>
        <v>711989.56593796273</v>
      </c>
      <c r="W62" s="69">
        <f t="shared" si="3"/>
        <v>676751.78279092</v>
      </c>
      <c r="X62" s="69">
        <f t="shared" si="0"/>
        <v>-35237.783147042835</v>
      </c>
      <c r="Z62" s="68">
        <f t="shared" si="4"/>
        <v>1</v>
      </c>
      <c r="AA62" s="68">
        <f t="shared" si="5"/>
        <v>0</v>
      </c>
      <c r="AB62" s="68">
        <f t="shared" si="1"/>
        <v>0</v>
      </c>
      <c r="AD62">
        <v>95000</v>
      </c>
      <c r="AE62">
        <v>0.55800000000000005</v>
      </c>
      <c r="AF62">
        <v>0.442</v>
      </c>
      <c r="AG62">
        <v>0.442</v>
      </c>
    </row>
    <row r="63" spans="1:33" x14ac:dyDescent="0.25">
      <c r="A63">
        <v>58</v>
      </c>
      <c r="C63" s="24">
        <v>4.744432313013025E-3</v>
      </c>
      <c r="D63" s="24">
        <v>1.3927547606562785E-2</v>
      </c>
      <c r="E63" s="24">
        <v>4.5574526962011133E-26</v>
      </c>
      <c r="F63" s="24">
        <v>2.9602407017437068E-52</v>
      </c>
      <c r="G63" s="24">
        <v>0.66030357071481249</v>
      </c>
      <c r="H63" s="24">
        <v>0.18384290608026865</v>
      </c>
      <c r="I63" s="53">
        <v>1871.4392267591302</v>
      </c>
      <c r="J63" s="53">
        <v>5475.1618850863752</v>
      </c>
      <c r="K63" s="24">
        <v>0.51052045601355323</v>
      </c>
      <c r="L63" s="24">
        <v>0.8552402356892157</v>
      </c>
      <c r="M63" s="24">
        <v>0.64846263985639641</v>
      </c>
      <c r="O63" s="53">
        <v>3.6807102309351647</v>
      </c>
      <c r="P63" s="54">
        <v>16398.426933402327</v>
      </c>
      <c r="Q63" s="54">
        <v>4.1817194580847419</v>
      </c>
      <c r="R63" s="54">
        <v>30077.799511112917</v>
      </c>
      <c r="S63" s="54">
        <v>0.50100922714957719</v>
      </c>
      <c r="T63" s="54">
        <v>13679.37257771059</v>
      </c>
      <c r="V63" s="69">
        <f t="shared" si="2"/>
        <v>719743.61925363063</v>
      </c>
      <c r="W63" s="69">
        <f t="shared" si="3"/>
        <v>806266.09210583544</v>
      </c>
      <c r="X63" s="69">
        <f t="shared" si="0"/>
        <v>86522.472852204854</v>
      </c>
      <c r="Z63" s="68">
        <f t="shared" si="4"/>
        <v>0</v>
      </c>
      <c r="AA63" s="68">
        <f t="shared" si="5"/>
        <v>1</v>
      </c>
      <c r="AB63" s="68">
        <f t="shared" si="1"/>
        <v>1</v>
      </c>
      <c r="AD63">
        <v>100000</v>
      </c>
      <c r="AE63">
        <v>0.54300000000000004</v>
      </c>
      <c r="AF63">
        <v>0.45700000000000002</v>
      </c>
      <c r="AG63">
        <v>0.45700000000000002</v>
      </c>
    </row>
    <row r="64" spans="1:33" x14ac:dyDescent="0.25">
      <c r="A64">
        <v>59</v>
      </c>
      <c r="C64" s="24">
        <v>1.6764543767606857E-5</v>
      </c>
      <c r="D64" s="24">
        <v>2.2536286163779007E-3</v>
      </c>
      <c r="E64" s="24">
        <v>1.4946477995179576E-15</v>
      </c>
      <c r="F64" s="24">
        <v>3.0629515614813193E-16</v>
      </c>
      <c r="G64" s="24">
        <v>0.50776604595565755</v>
      </c>
      <c r="H64" s="24">
        <v>0.30947129365012949</v>
      </c>
      <c r="I64" s="53">
        <v>1990.2352983703893</v>
      </c>
      <c r="J64" s="53">
        <v>5933.6692602801422</v>
      </c>
      <c r="K64" s="24">
        <v>0.73669363631870843</v>
      </c>
      <c r="L64" s="24">
        <v>0.79976239741615962</v>
      </c>
      <c r="M64" s="24">
        <v>0.87968918200097912</v>
      </c>
      <c r="O64" s="53">
        <v>3.9359599948772774</v>
      </c>
      <c r="P64" s="54">
        <v>14214.632965247121</v>
      </c>
      <c r="Q64" s="54">
        <v>3.9718146473784151</v>
      </c>
      <c r="R64" s="54">
        <v>51061.955068824318</v>
      </c>
      <c r="S64" s="54">
        <v>3.5854652501137618E-2</v>
      </c>
      <c r="T64" s="54">
        <v>36847.3221035772</v>
      </c>
      <c r="V64" s="69">
        <f t="shared" si="2"/>
        <v>772977.36601020838</v>
      </c>
      <c r="W64" s="69">
        <f t="shared" si="3"/>
        <v>743300.97440685867</v>
      </c>
      <c r="X64" s="69">
        <f t="shared" si="0"/>
        <v>-29676.391603349679</v>
      </c>
      <c r="Z64" s="68">
        <f t="shared" si="4"/>
        <v>1</v>
      </c>
      <c r="AA64" s="68">
        <f t="shared" si="5"/>
        <v>0</v>
      </c>
      <c r="AB64" s="68">
        <f t="shared" si="1"/>
        <v>0</v>
      </c>
      <c r="AD64">
        <v>105000</v>
      </c>
      <c r="AE64">
        <v>0.52500000000000002</v>
      </c>
      <c r="AF64">
        <v>0.47499999999999998</v>
      </c>
      <c r="AG64">
        <v>0.47499999999999998</v>
      </c>
    </row>
    <row r="65" spans="1:33" x14ac:dyDescent="0.25">
      <c r="A65">
        <v>60</v>
      </c>
      <c r="C65" s="24">
        <v>6.8458796395443056E-4</v>
      </c>
      <c r="D65" s="24">
        <v>6.6972990452499349E-5</v>
      </c>
      <c r="E65" s="24">
        <v>4.0498871382902424E-3</v>
      </c>
      <c r="F65" s="24">
        <v>5.8941424790112028E-34</v>
      </c>
      <c r="G65" s="24">
        <v>0.60260509326267109</v>
      </c>
      <c r="H65" s="24">
        <v>0.31603641617667344</v>
      </c>
      <c r="I65" s="53">
        <v>2098.3996299755349</v>
      </c>
      <c r="J65" s="53">
        <v>4901.6928750619572</v>
      </c>
      <c r="K65" s="24">
        <v>0.77818036226168008</v>
      </c>
      <c r="L65" s="24">
        <v>0.92060910294017462</v>
      </c>
      <c r="M65" s="24">
        <v>0.82877231286041897</v>
      </c>
      <c r="O65" s="53">
        <v>4.3698463987418181</v>
      </c>
      <c r="P65" s="54">
        <v>19933.214009992047</v>
      </c>
      <c r="Q65" s="54">
        <v>4.5374006802205553</v>
      </c>
      <c r="R65" s="54">
        <v>31890.480217398581</v>
      </c>
      <c r="S65" s="54">
        <v>0.16755428147873719</v>
      </c>
      <c r="T65" s="54">
        <v>11957.266207406534</v>
      </c>
      <c r="V65" s="69">
        <f t="shared" si="2"/>
        <v>854036.06573837157</v>
      </c>
      <c r="W65" s="69">
        <f t="shared" si="3"/>
        <v>875589.65582671249</v>
      </c>
      <c r="X65" s="69">
        <f t="shared" si="0"/>
        <v>21553.590088340901</v>
      </c>
      <c r="Z65" s="68">
        <f t="shared" si="4"/>
        <v>0</v>
      </c>
      <c r="AA65" s="68">
        <f t="shared" si="5"/>
        <v>1</v>
      </c>
      <c r="AB65" s="68">
        <f t="shared" si="1"/>
        <v>1</v>
      </c>
      <c r="AD65" s="73">
        <v>110000</v>
      </c>
      <c r="AE65">
        <v>0.51400000000000001</v>
      </c>
      <c r="AF65">
        <v>0.48599999999999999</v>
      </c>
      <c r="AG65">
        <v>0.48599999999999999</v>
      </c>
    </row>
    <row r="66" spans="1:33" x14ac:dyDescent="0.25">
      <c r="A66">
        <v>61</v>
      </c>
      <c r="C66" s="24">
        <v>2.0822100617968409E-2</v>
      </c>
      <c r="D66" s="24">
        <v>5.4346443868703576E-3</v>
      </c>
      <c r="E66" s="24">
        <v>4.640862344418295E-7</v>
      </c>
      <c r="F66" s="24">
        <v>2.1850880127295548E-16</v>
      </c>
      <c r="G66" s="24">
        <v>0.57702538599066888</v>
      </c>
      <c r="H66" s="24">
        <v>0.30184778115541755</v>
      </c>
      <c r="I66" s="53">
        <v>1955.7233038262732</v>
      </c>
      <c r="J66" s="53">
        <v>4303.2866732052726</v>
      </c>
      <c r="K66" s="24">
        <v>0.78174949633134416</v>
      </c>
      <c r="L66" s="24">
        <v>0.92676621764106604</v>
      </c>
      <c r="M66" s="24">
        <v>0.81418966921175751</v>
      </c>
      <c r="O66" s="53">
        <v>4.4280168430503615</v>
      </c>
      <c r="P66" s="54">
        <v>15521.774003553093</v>
      </c>
      <c r="Q66" s="54">
        <v>4.5672861415031125</v>
      </c>
      <c r="R66" s="54">
        <v>57048.474207051913</v>
      </c>
      <c r="S66" s="54">
        <v>0.13926929845275104</v>
      </c>
      <c r="T66" s="54">
        <v>41526.700203498818</v>
      </c>
      <c r="V66" s="69">
        <f t="shared" si="2"/>
        <v>870081.59460651921</v>
      </c>
      <c r="W66" s="69">
        <f t="shared" si="3"/>
        <v>856408.75409357063</v>
      </c>
      <c r="X66" s="69">
        <f t="shared" si="0"/>
        <v>-13672.840512948609</v>
      </c>
      <c r="Z66" s="68">
        <f t="shared" si="4"/>
        <v>1</v>
      </c>
      <c r="AA66" s="68">
        <f t="shared" si="5"/>
        <v>0</v>
      </c>
      <c r="AB66" s="68">
        <f t="shared" si="1"/>
        <v>0</v>
      </c>
      <c r="AD66" s="73">
        <v>115000</v>
      </c>
      <c r="AE66">
        <v>0.49299999999999999</v>
      </c>
      <c r="AF66">
        <v>0.50700000000000001</v>
      </c>
      <c r="AG66">
        <v>0.50700000000000001</v>
      </c>
    </row>
    <row r="67" spans="1:33" x14ac:dyDescent="0.25">
      <c r="A67">
        <v>62</v>
      </c>
      <c r="C67" s="24">
        <v>2.1737297178556713E-8</v>
      </c>
      <c r="D67" s="24">
        <v>2.2913847036850621E-3</v>
      </c>
      <c r="E67" s="24">
        <v>9.4835250763480872E-13</v>
      </c>
      <c r="F67" s="24">
        <v>8.6859199811918512E-29</v>
      </c>
      <c r="G67" s="24">
        <v>0.567804462160311</v>
      </c>
      <c r="H67" s="24">
        <v>0.2178992523816371</v>
      </c>
      <c r="I67" s="53">
        <v>2075.5627997836664</v>
      </c>
      <c r="J67" s="53">
        <v>3243.5470664919576</v>
      </c>
      <c r="K67" s="24">
        <v>0.81941039444287145</v>
      </c>
      <c r="L67" s="24">
        <v>0.98445311738378161</v>
      </c>
      <c r="M67" s="24">
        <v>0.90169021557075935</v>
      </c>
      <c r="O67" s="53">
        <v>4.7182348233290776</v>
      </c>
      <c r="P67" s="54">
        <v>12944.883564677244</v>
      </c>
      <c r="Q67" s="54">
        <v>4.8751611455414734</v>
      </c>
      <c r="R67" s="54">
        <v>30583.77892992711</v>
      </c>
      <c r="S67" s="54">
        <v>0.15692632221239577</v>
      </c>
      <c r="T67" s="54">
        <v>17638.895365249868</v>
      </c>
      <c r="V67" s="69">
        <f t="shared" si="2"/>
        <v>930702.08110113826</v>
      </c>
      <c r="W67" s="69">
        <f t="shared" si="3"/>
        <v>944448.45017836755</v>
      </c>
      <c r="X67" s="69">
        <f t="shared" si="0"/>
        <v>13746.369077229287</v>
      </c>
      <c r="Z67" s="68">
        <f t="shared" si="4"/>
        <v>0</v>
      </c>
      <c r="AA67" s="68">
        <f t="shared" si="5"/>
        <v>1</v>
      </c>
      <c r="AB67" s="68">
        <f t="shared" si="1"/>
        <v>1</v>
      </c>
      <c r="AD67" s="73">
        <v>120000</v>
      </c>
      <c r="AE67">
        <v>0.48099999999999998</v>
      </c>
      <c r="AF67">
        <v>0.51900000000000002</v>
      </c>
      <c r="AG67">
        <v>0.51900000000000002</v>
      </c>
    </row>
    <row r="68" spans="1:33" x14ac:dyDescent="0.25">
      <c r="A68">
        <v>63</v>
      </c>
      <c r="C68" s="24">
        <v>1.264247612111824E-2</v>
      </c>
      <c r="D68" s="24">
        <v>2.2275903995162549E-3</v>
      </c>
      <c r="E68" s="24">
        <v>5.7414361498420163E-7</v>
      </c>
      <c r="F68" s="24">
        <v>1.9496024150633673E-7</v>
      </c>
      <c r="G68" s="24">
        <v>0.62236161751036911</v>
      </c>
      <c r="H68" s="24">
        <v>0.2946809512882248</v>
      </c>
      <c r="I68" s="53">
        <v>1927.4224179313692</v>
      </c>
      <c r="J68" s="53">
        <v>4972.3633806606931</v>
      </c>
      <c r="K68" s="24">
        <v>0.73519209933655705</v>
      </c>
      <c r="L68" s="24">
        <v>0.94810180266601374</v>
      </c>
      <c r="M68" s="24">
        <v>0.86889833058372057</v>
      </c>
      <c r="O68" s="53">
        <v>4.4130876255248097</v>
      </c>
      <c r="P68" s="54">
        <v>18276.615495000493</v>
      </c>
      <c r="Q68" s="54">
        <v>4.650605753714296</v>
      </c>
      <c r="R68" s="54">
        <v>34374.327905231868</v>
      </c>
      <c r="S68" s="54">
        <v>0.23751812818948626</v>
      </c>
      <c r="T68" s="54">
        <v>16097.712410231376</v>
      </c>
      <c r="V68" s="69">
        <f t="shared" si="2"/>
        <v>864340.90960996144</v>
      </c>
      <c r="W68" s="69">
        <f t="shared" si="3"/>
        <v>895746.82283762738</v>
      </c>
      <c r="X68" s="69">
        <f t="shared" si="0"/>
        <v>31405.913227665878</v>
      </c>
      <c r="Z68" s="68">
        <f t="shared" si="4"/>
        <v>0</v>
      </c>
      <c r="AA68" s="68">
        <f t="shared" si="5"/>
        <v>1</v>
      </c>
      <c r="AB68" s="68">
        <f t="shared" si="1"/>
        <v>1</v>
      </c>
      <c r="AD68" s="73">
        <v>125000</v>
      </c>
      <c r="AE68">
        <v>0.46700000000000003</v>
      </c>
      <c r="AF68">
        <v>0.53300000000000003</v>
      </c>
      <c r="AG68">
        <v>0.53300000000000003</v>
      </c>
    </row>
    <row r="69" spans="1:33" x14ac:dyDescent="0.25">
      <c r="A69">
        <v>64</v>
      </c>
      <c r="C69" s="24">
        <v>4.6041489919678687E-5</v>
      </c>
      <c r="D69" s="24">
        <v>3.8536811546967965E-5</v>
      </c>
      <c r="E69" s="24">
        <v>2.4508785594101745E-4</v>
      </c>
      <c r="F69" s="24">
        <v>7.8047308798523396E-4</v>
      </c>
      <c r="G69" s="24">
        <v>0.4731169837548912</v>
      </c>
      <c r="H69" s="24">
        <v>0.25315378748878037</v>
      </c>
      <c r="I69" s="53">
        <v>2240.1291770392886</v>
      </c>
      <c r="J69" s="53">
        <v>5715.768694483585</v>
      </c>
      <c r="K69" s="24">
        <v>0.61977644639050344</v>
      </c>
      <c r="L69" s="24">
        <v>0.90478562838895094</v>
      </c>
      <c r="M69" s="24">
        <v>0.92023619674245238</v>
      </c>
      <c r="O69" s="53">
        <v>4.2723397661544009</v>
      </c>
      <c r="P69" s="54">
        <v>14125.776310529445</v>
      </c>
      <c r="Q69" s="54">
        <v>4.4230170717720618</v>
      </c>
      <c r="R69" s="54">
        <v>37470.667905006856</v>
      </c>
      <c r="S69" s="54">
        <v>0.15067730561766091</v>
      </c>
      <c r="T69" s="54">
        <v>23344.891594477413</v>
      </c>
      <c r="V69" s="69">
        <f t="shared" si="2"/>
        <v>840342.17692035076</v>
      </c>
      <c r="W69" s="69">
        <f t="shared" si="3"/>
        <v>847132.74644940544</v>
      </c>
      <c r="X69" s="69">
        <f t="shared" si="0"/>
        <v>6790.5695290547701</v>
      </c>
      <c r="Z69" s="68">
        <f t="shared" si="4"/>
        <v>0</v>
      </c>
      <c r="AA69" s="68">
        <f t="shared" si="5"/>
        <v>1</v>
      </c>
      <c r="AB69" s="68">
        <f t="shared" si="1"/>
        <v>1</v>
      </c>
      <c r="AD69" s="73">
        <v>130000</v>
      </c>
      <c r="AE69">
        <v>0.46</v>
      </c>
      <c r="AF69">
        <v>0.54</v>
      </c>
      <c r="AG69">
        <v>0.54</v>
      </c>
    </row>
    <row r="70" spans="1:33" x14ac:dyDescent="0.25">
      <c r="A70">
        <v>65</v>
      </c>
      <c r="C70" s="24">
        <v>1.1697692386344327E-3</v>
      </c>
      <c r="D70" s="24">
        <v>2.5060451692309453E-4</v>
      </c>
      <c r="E70" s="24">
        <v>1.0811929389159278E-14</v>
      </c>
      <c r="F70" s="24">
        <v>1.8942077060851589E-34</v>
      </c>
      <c r="G70" s="24">
        <v>0.64713767805642508</v>
      </c>
      <c r="H70" s="24">
        <v>0.31290064057596312</v>
      </c>
      <c r="I70" s="53">
        <v>2265.9463681576399</v>
      </c>
      <c r="J70" s="53">
        <v>4953.909325210966</v>
      </c>
      <c r="K70" s="24">
        <v>0.62258943730612226</v>
      </c>
      <c r="L70" s="24">
        <v>0.91697210742392532</v>
      </c>
      <c r="M70" s="24">
        <v>0.78383300543205259</v>
      </c>
      <c r="O70" s="53">
        <v>4.1047588554764722</v>
      </c>
      <c r="P70" s="54">
        <v>19037.513813078618</v>
      </c>
      <c r="Q70" s="54">
        <v>4.4509819045983825</v>
      </c>
      <c r="R70" s="54">
        <v>36439.204621479927</v>
      </c>
      <c r="S70" s="54">
        <v>0.34622304912191026</v>
      </c>
      <c r="T70" s="54">
        <v>17401.690808401308</v>
      </c>
      <c r="V70" s="69">
        <f t="shared" si="2"/>
        <v>801914.25728221575</v>
      </c>
      <c r="W70" s="69">
        <f t="shared" si="3"/>
        <v>853757.17629819654</v>
      </c>
      <c r="X70" s="69">
        <f t="shared" si="0"/>
        <v>51842.919015980748</v>
      </c>
      <c r="Z70" s="68">
        <f t="shared" si="4"/>
        <v>0</v>
      </c>
      <c r="AA70" s="68">
        <f t="shared" si="5"/>
        <v>1</v>
      </c>
      <c r="AB70" s="68">
        <f t="shared" si="1"/>
        <v>1</v>
      </c>
      <c r="AD70" s="73">
        <v>135000</v>
      </c>
      <c r="AE70">
        <v>0.45</v>
      </c>
      <c r="AF70">
        <v>0.55000000000000004</v>
      </c>
      <c r="AG70">
        <v>0.55000000000000004</v>
      </c>
    </row>
    <row r="71" spans="1:33" x14ac:dyDescent="0.25">
      <c r="A71">
        <v>66</v>
      </c>
      <c r="C71" s="24">
        <v>2.2672150118378543E-8</v>
      </c>
      <c r="D71" s="24">
        <v>4.7768558093379753E-4</v>
      </c>
      <c r="E71" s="24">
        <v>3.9707126475718724E-12</v>
      </c>
      <c r="F71" s="24">
        <v>2.9789460687645875E-4</v>
      </c>
      <c r="G71" s="24">
        <v>0.63172091019251742</v>
      </c>
      <c r="H71" s="24">
        <v>0.28146026685484171</v>
      </c>
      <c r="I71" s="53">
        <v>1992.5504268478246</v>
      </c>
      <c r="J71" s="53">
        <v>4747.7045549072409</v>
      </c>
      <c r="K71" s="24">
        <v>0.60526212162476112</v>
      </c>
      <c r="L71" s="24">
        <v>0.59714580700003594</v>
      </c>
      <c r="M71" s="24">
        <v>0.90420933164152295</v>
      </c>
      <c r="O71" s="53">
        <v>2.9982506126467161</v>
      </c>
      <c r="P71" s="54">
        <v>19487.379389975842</v>
      </c>
      <c r="Q71" s="54">
        <v>2.9887025015439388</v>
      </c>
      <c r="R71" s="54">
        <v>26929.931424494353</v>
      </c>
      <c r="S71" s="54">
        <v>-9.5481111027773125E-3</v>
      </c>
      <c r="T71" s="54">
        <v>7442.5520345185105</v>
      </c>
      <c r="V71" s="69">
        <f t="shared" si="2"/>
        <v>580162.74313936743</v>
      </c>
      <c r="W71" s="69">
        <f t="shared" si="3"/>
        <v>570810.56888429343</v>
      </c>
      <c r="X71" s="69">
        <f t="shared" ref="X71:X134" si="6">S71*cRatio-T71</f>
        <v>-9352.1742550739727</v>
      </c>
      <c r="Z71" s="68">
        <f t="shared" si="4"/>
        <v>1</v>
      </c>
      <c r="AA71" s="68">
        <f t="shared" si="5"/>
        <v>0</v>
      </c>
      <c r="AB71" s="68">
        <f t="shared" ref="AB71:AB134" si="7">IF(X71&gt;0,1,0)</f>
        <v>0</v>
      </c>
      <c r="AD71" s="73">
        <v>140000</v>
      </c>
      <c r="AE71">
        <v>0.441</v>
      </c>
      <c r="AF71">
        <v>0.55900000000000005</v>
      </c>
      <c r="AG71">
        <v>0.55900000000000005</v>
      </c>
    </row>
    <row r="72" spans="1:33" x14ac:dyDescent="0.25">
      <c r="A72">
        <v>67</v>
      </c>
      <c r="C72" s="24">
        <v>2.2444308475223484E-13</v>
      </c>
      <c r="D72" s="24">
        <v>1.0461352537231814E-4</v>
      </c>
      <c r="E72" s="24">
        <v>2.0208538180632729E-6</v>
      </c>
      <c r="F72" s="24">
        <v>3.6094751786998693E-39</v>
      </c>
      <c r="G72" s="24">
        <v>0.54411156418466256</v>
      </c>
      <c r="H72" s="24">
        <v>0.23603567449485852</v>
      </c>
      <c r="I72" s="53">
        <v>1977.7189147790057</v>
      </c>
      <c r="J72" s="53">
        <v>5156.9642826630752</v>
      </c>
      <c r="K72" s="24">
        <v>0.67001435325923886</v>
      </c>
      <c r="L72" s="24">
        <v>0.86275600639579075</v>
      </c>
      <c r="M72" s="24">
        <v>0.89172082207199077</v>
      </c>
      <c r="O72" s="53">
        <v>4.0946953715062371</v>
      </c>
      <c r="P72" s="54">
        <v>17212.427074340048</v>
      </c>
      <c r="Q72" s="54">
        <v>4.2542924890962919</v>
      </c>
      <c r="R72" s="54">
        <v>29692.167080493324</v>
      </c>
      <c r="S72" s="54">
        <v>0.15959711759005479</v>
      </c>
      <c r="T72" s="54">
        <v>12479.740006153275</v>
      </c>
      <c r="V72" s="69">
        <f t="shared" si="2"/>
        <v>801726.64722690731</v>
      </c>
      <c r="W72" s="69">
        <f t="shared" si="3"/>
        <v>821166.33073876507</v>
      </c>
      <c r="X72" s="69">
        <f t="shared" si="6"/>
        <v>19439.683511857682</v>
      </c>
      <c r="Z72" s="68">
        <f t="shared" si="4"/>
        <v>0</v>
      </c>
      <c r="AA72" s="68">
        <f t="shared" si="5"/>
        <v>1</v>
      </c>
      <c r="AB72" s="68">
        <f t="shared" si="7"/>
        <v>1</v>
      </c>
      <c r="AD72" s="73">
        <v>145000</v>
      </c>
      <c r="AE72">
        <v>0.42899999999999999</v>
      </c>
      <c r="AF72">
        <v>0.57099999999999995</v>
      </c>
      <c r="AG72">
        <v>0.57099999999999995</v>
      </c>
    </row>
    <row r="73" spans="1:33" x14ac:dyDescent="0.25">
      <c r="A73">
        <v>68</v>
      </c>
      <c r="C73" s="24">
        <v>1.6187264057167238E-7</v>
      </c>
      <c r="D73" s="24">
        <v>7.0544738665270985E-4</v>
      </c>
      <c r="E73" s="24">
        <v>6.3572442701597131E-16</v>
      </c>
      <c r="F73" s="24">
        <v>5.1512839803740079E-18</v>
      </c>
      <c r="G73" s="24">
        <v>0.42308511143933591</v>
      </c>
      <c r="H73" s="24">
        <v>0.34474031609807765</v>
      </c>
      <c r="I73" s="53">
        <v>1668.2315417043833</v>
      </c>
      <c r="J73" s="53">
        <v>4108.9333230431139</v>
      </c>
      <c r="K73" s="24">
        <v>0.76974609231118896</v>
      </c>
      <c r="L73" s="24">
        <v>0.85295108164042865</v>
      </c>
      <c r="M73" s="24">
        <v>0.79939215435871258</v>
      </c>
      <c r="O73" s="53">
        <v>4.2045634924834996</v>
      </c>
      <c r="P73" s="54">
        <v>10273.829539857086</v>
      </c>
      <c r="Q73" s="54">
        <v>4.2209352569626528</v>
      </c>
      <c r="R73" s="54">
        <v>50492.50316669239</v>
      </c>
      <c r="S73" s="54">
        <v>1.6371764479153228E-2</v>
      </c>
      <c r="T73" s="54">
        <v>40218.673626835305</v>
      </c>
      <c r="V73" s="69">
        <f t="shared" si="2"/>
        <v>830638.86895684281</v>
      </c>
      <c r="W73" s="69">
        <f t="shared" si="3"/>
        <v>793694.54822583823</v>
      </c>
      <c r="X73" s="69">
        <f t="shared" si="6"/>
        <v>-36944.320731004656</v>
      </c>
      <c r="Z73" s="68">
        <f t="shared" si="4"/>
        <v>1</v>
      </c>
      <c r="AA73" s="68">
        <f t="shared" si="5"/>
        <v>0</v>
      </c>
      <c r="AB73" s="68">
        <f t="shared" si="7"/>
        <v>0</v>
      </c>
      <c r="AD73" s="73">
        <v>150000</v>
      </c>
      <c r="AE73">
        <v>0.41899999999999998</v>
      </c>
      <c r="AF73">
        <v>0.58099999999999996</v>
      </c>
      <c r="AG73">
        <v>0.58099999999999996</v>
      </c>
    </row>
    <row r="74" spans="1:33" x14ac:dyDescent="0.25">
      <c r="A74">
        <v>69</v>
      </c>
      <c r="C74" s="24">
        <v>1.5340008678033196E-6</v>
      </c>
      <c r="D74" s="24">
        <v>9.0532352089238086E-4</v>
      </c>
      <c r="E74" s="24">
        <v>1.5325105459029764E-4</v>
      </c>
      <c r="F74" s="24">
        <v>4.3762864302965276E-5</v>
      </c>
      <c r="G74" s="24">
        <v>0.54268646809633192</v>
      </c>
      <c r="H74" s="24">
        <v>0.34262791709678719</v>
      </c>
      <c r="I74" s="53">
        <v>2183.1665143400128</v>
      </c>
      <c r="J74" s="53">
        <v>5717.034136433962</v>
      </c>
      <c r="K74" s="24">
        <v>0.57268096828031034</v>
      </c>
      <c r="L74" s="24">
        <v>0.91036788135348434</v>
      </c>
      <c r="M74" s="24">
        <v>0.97385293736585654</v>
      </c>
      <c r="O74" s="53">
        <v>4.1687945994596953</v>
      </c>
      <c r="P74" s="54">
        <v>14748.535042155589</v>
      </c>
      <c r="Q74" s="54">
        <v>4.3767854019338097</v>
      </c>
      <c r="R74" s="54">
        <v>64702.920015226249</v>
      </c>
      <c r="S74" s="54">
        <v>0.20799080247411439</v>
      </c>
      <c r="T74" s="54">
        <v>49954.384973070657</v>
      </c>
      <c r="V74" s="69">
        <f t="shared" ref="V74:V137" si="8">O74*cRatio-P74</f>
        <v>819010.3848497835</v>
      </c>
      <c r="W74" s="69">
        <f t="shared" ref="W74:W137" si="9">Q74*cRatio-R74</f>
        <v>810654.16037153569</v>
      </c>
      <c r="X74" s="69">
        <f t="shared" si="6"/>
        <v>-8356.2244782477792</v>
      </c>
      <c r="Z74" s="68">
        <f t="shared" ref="Z74:Z137" si="10">IF(MAX(V74:W74)=V74,1,0)</f>
        <v>1</v>
      </c>
      <c r="AA74" s="68">
        <f t="shared" ref="AA74:AA137" si="11">IF(MAX(V74:W74)=W74,1,0)</f>
        <v>0</v>
      </c>
      <c r="AB74" s="68">
        <f t="shared" si="7"/>
        <v>0</v>
      </c>
      <c r="AD74" s="73">
        <v>155000</v>
      </c>
      <c r="AE74">
        <v>0.40500000000000003</v>
      </c>
      <c r="AF74">
        <v>0.59499999999999997</v>
      </c>
      <c r="AG74">
        <v>0.59499999999999997</v>
      </c>
    </row>
    <row r="75" spans="1:33" x14ac:dyDescent="0.25">
      <c r="A75">
        <v>70</v>
      </c>
      <c r="C75" s="24">
        <v>1.9486614168051591E-7</v>
      </c>
      <c r="D75" s="24">
        <v>1.1890048174023993E-4</v>
      </c>
      <c r="E75" s="24">
        <v>3.1215020472227806E-17</v>
      </c>
      <c r="F75" s="24">
        <v>9.3905186006774425E-19</v>
      </c>
      <c r="G75" s="24">
        <v>0.46221648365999368</v>
      </c>
      <c r="H75" s="24">
        <v>0.43702438077567607</v>
      </c>
      <c r="I75" s="53">
        <v>1877.6464592705167</v>
      </c>
      <c r="J75" s="53">
        <v>5265.1589362774112</v>
      </c>
      <c r="K75" s="24">
        <v>0.71158773749384141</v>
      </c>
      <c r="L75" s="24">
        <v>0.78689781560798833</v>
      </c>
      <c r="M75" s="24">
        <v>0.91075327589535671</v>
      </c>
      <c r="O75" s="53">
        <v>3.8711270189361775</v>
      </c>
      <c r="P75" s="54">
        <v>12796.089028881532</v>
      </c>
      <c r="Q75" s="54">
        <v>3.8770704522500448</v>
      </c>
      <c r="R75" s="54">
        <v>68124.288144745398</v>
      </c>
      <c r="S75" s="54">
        <v>5.9434333138672635E-3</v>
      </c>
      <c r="T75" s="54">
        <v>55328.19911586387</v>
      </c>
      <c r="V75" s="69">
        <f t="shared" si="8"/>
        <v>761429.31475835398</v>
      </c>
      <c r="W75" s="69">
        <f t="shared" si="9"/>
        <v>707289.80230526358</v>
      </c>
      <c r="X75" s="69">
        <f t="shared" si="6"/>
        <v>-54139.512453090414</v>
      </c>
      <c r="Z75" s="68">
        <f t="shared" si="10"/>
        <v>1</v>
      </c>
      <c r="AA75" s="68">
        <f t="shared" si="11"/>
        <v>0</v>
      </c>
      <c r="AB75" s="68">
        <f t="shared" si="7"/>
        <v>0</v>
      </c>
      <c r="AD75" s="73">
        <v>160000</v>
      </c>
      <c r="AE75">
        <v>0.39300000000000002</v>
      </c>
      <c r="AF75">
        <v>0.60699999999999998</v>
      </c>
      <c r="AG75">
        <v>0.60699999999999998</v>
      </c>
    </row>
    <row r="76" spans="1:33" x14ac:dyDescent="0.25">
      <c r="A76">
        <v>71</v>
      </c>
      <c r="C76" s="24">
        <v>2.5425609509911845E-14</v>
      </c>
      <c r="D76" s="24">
        <v>8.312418861250642E-4</v>
      </c>
      <c r="E76" s="24">
        <v>1.5696333122150463E-12</v>
      </c>
      <c r="F76" s="24">
        <v>1.6640894768438219E-4</v>
      </c>
      <c r="G76" s="24">
        <v>0.49142823363587884</v>
      </c>
      <c r="H76" s="24">
        <v>0.22179027216574843</v>
      </c>
      <c r="I76" s="53">
        <v>1790.0735829734601</v>
      </c>
      <c r="J76" s="53">
        <v>6347.1831206601873</v>
      </c>
      <c r="K76" s="24">
        <v>0.50495757129612351</v>
      </c>
      <c r="L76" s="24">
        <v>0.87746845640713644</v>
      </c>
      <c r="M76" s="24">
        <v>0.9017326062326475</v>
      </c>
      <c r="O76" s="53">
        <v>4.0377052855527733</v>
      </c>
      <c r="P76" s="54">
        <v>11346.645612843578</v>
      </c>
      <c r="Q76" s="54">
        <v>4.2804709001171979</v>
      </c>
      <c r="R76" s="54">
        <v>28648.255028020627</v>
      </c>
      <c r="S76" s="54">
        <v>0.24276561456442458</v>
      </c>
      <c r="T76" s="54">
        <v>17301.609415177049</v>
      </c>
      <c r="V76" s="69">
        <f t="shared" si="8"/>
        <v>796194.41149771109</v>
      </c>
      <c r="W76" s="69">
        <f t="shared" si="9"/>
        <v>827445.92499541899</v>
      </c>
      <c r="X76" s="69">
        <f t="shared" si="6"/>
        <v>31251.513497707867</v>
      </c>
      <c r="Z76" s="68">
        <f t="shared" si="10"/>
        <v>0</v>
      </c>
      <c r="AA76" s="68">
        <f t="shared" si="11"/>
        <v>1</v>
      </c>
      <c r="AB76" s="68">
        <f t="shared" si="7"/>
        <v>1</v>
      </c>
      <c r="AD76" s="73">
        <v>165000</v>
      </c>
      <c r="AE76">
        <v>0.38800000000000001</v>
      </c>
      <c r="AF76">
        <v>0.61199999999999999</v>
      </c>
      <c r="AG76">
        <v>0.61199999999999999</v>
      </c>
    </row>
    <row r="77" spans="1:33" x14ac:dyDescent="0.25">
      <c r="A77">
        <v>72</v>
      </c>
      <c r="C77" s="24">
        <v>2.4561238637658467E-2</v>
      </c>
      <c r="D77" s="24">
        <v>4.2192178035553862E-3</v>
      </c>
      <c r="E77" s="24">
        <v>5.1521229558156221E-21</v>
      </c>
      <c r="F77" s="24">
        <v>1.7756461956341951E-7</v>
      </c>
      <c r="G77" s="24">
        <v>0.59936717140019513</v>
      </c>
      <c r="H77" s="24">
        <v>0.25228111058791181</v>
      </c>
      <c r="I77" s="53">
        <v>1895.4926762269827</v>
      </c>
      <c r="J77" s="53">
        <v>5181.4375875953147</v>
      </c>
      <c r="K77" s="24">
        <v>0.82140986984491937</v>
      </c>
      <c r="L77" s="24">
        <v>0.65707699351361137</v>
      </c>
      <c r="M77" s="24">
        <v>0.69002358735696911</v>
      </c>
      <c r="O77" s="53">
        <v>3.5195297296659738</v>
      </c>
      <c r="P77" s="54">
        <v>15894.692700387648</v>
      </c>
      <c r="Q77" s="54">
        <v>3.3416405471398263</v>
      </c>
      <c r="R77" s="54">
        <v>36429.000957368844</v>
      </c>
      <c r="S77" s="54">
        <v>-0.17788918252614749</v>
      </c>
      <c r="T77" s="54">
        <v>20534.308256981196</v>
      </c>
      <c r="V77" s="69">
        <f t="shared" si="8"/>
        <v>688011.25323280704</v>
      </c>
      <c r="W77" s="69">
        <f t="shared" si="9"/>
        <v>631899.10847059637</v>
      </c>
      <c r="X77" s="69">
        <f t="shared" si="6"/>
        <v>-56112.144762210693</v>
      </c>
      <c r="Z77" s="68">
        <f t="shared" si="10"/>
        <v>1</v>
      </c>
      <c r="AA77" s="68">
        <f t="shared" si="11"/>
        <v>0</v>
      </c>
      <c r="AB77" s="68">
        <f t="shared" si="7"/>
        <v>0</v>
      </c>
      <c r="AD77" s="73">
        <v>170000</v>
      </c>
      <c r="AE77">
        <v>0.38300000000000001</v>
      </c>
      <c r="AF77">
        <v>0.61699999999999999</v>
      </c>
      <c r="AG77">
        <v>0.61699999999999999</v>
      </c>
    </row>
    <row r="78" spans="1:33" x14ac:dyDescent="0.25">
      <c r="A78">
        <v>73</v>
      </c>
      <c r="C78" s="24">
        <v>1.6984940479221257E-5</v>
      </c>
      <c r="D78" s="24">
        <v>1.6940933657217676E-4</v>
      </c>
      <c r="E78" s="24">
        <v>9.1591122464151908E-9</v>
      </c>
      <c r="F78" s="24">
        <v>2.2649659925377819E-12</v>
      </c>
      <c r="G78" s="24">
        <v>0.64310839693141431</v>
      </c>
      <c r="H78" s="24">
        <v>0.18727763924813834</v>
      </c>
      <c r="I78" s="53">
        <v>1652.0705996003039</v>
      </c>
      <c r="J78" s="53">
        <v>5037.2177193076304</v>
      </c>
      <c r="K78" s="24">
        <v>0.73764363627941931</v>
      </c>
      <c r="L78" s="24">
        <v>0.78126497749646329</v>
      </c>
      <c r="M78" s="24">
        <v>0.78917896383920627</v>
      </c>
      <c r="O78" s="53">
        <v>3.8363687430684608</v>
      </c>
      <c r="P78" s="54">
        <v>19730.355451552285</v>
      </c>
      <c r="Q78" s="54">
        <v>3.8962832969184102</v>
      </c>
      <c r="R78" s="54">
        <v>22705.287565374969</v>
      </c>
      <c r="S78" s="54">
        <v>5.9914553849949481E-2</v>
      </c>
      <c r="T78" s="54">
        <v>2974.9321138226842</v>
      </c>
      <c r="V78" s="69">
        <f t="shared" si="8"/>
        <v>747543.39316213981</v>
      </c>
      <c r="W78" s="69">
        <f t="shared" si="9"/>
        <v>756551.37181830709</v>
      </c>
      <c r="X78" s="69">
        <f t="shared" si="6"/>
        <v>9007.9786561672117</v>
      </c>
      <c r="Z78" s="68">
        <f t="shared" si="10"/>
        <v>0</v>
      </c>
      <c r="AA78" s="68">
        <f t="shared" si="11"/>
        <v>1</v>
      </c>
      <c r="AB78" s="68">
        <f t="shared" si="7"/>
        <v>1</v>
      </c>
      <c r="AD78" s="73">
        <v>175000</v>
      </c>
      <c r="AE78">
        <v>0.36499999999999999</v>
      </c>
      <c r="AF78">
        <v>0.63500000000000001</v>
      </c>
      <c r="AG78">
        <v>0.63500000000000001</v>
      </c>
    </row>
    <row r="79" spans="1:33" x14ac:dyDescent="0.25">
      <c r="A79">
        <v>74</v>
      </c>
      <c r="C79" s="24">
        <v>1.8491117817224693E-17</v>
      </c>
      <c r="D79" s="24">
        <v>5.087028028120999E-3</v>
      </c>
      <c r="E79" s="24">
        <v>1.4187316776936854E-7</v>
      </c>
      <c r="F79" s="24">
        <v>5.1809983780959357E-7</v>
      </c>
      <c r="G79" s="24">
        <v>0.62078913191119711</v>
      </c>
      <c r="H79" s="24">
        <v>0.27707238894864916</v>
      </c>
      <c r="I79" s="53">
        <v>2513.2588727080906</v>
      </c>
      <c r="J79" s="53">
        <v>4507.907224467649</v>
      </c>
      <c r="K79" s="24">
        <v>0.63377829666467178</v>
      </c>
      <c r="L79" s="24">
        <v>0.89712286960347587</v>
      </c>
      <c r="M79" s="24">
        <v>0.83329345720311443</v>
      </c>
      <c r="O79" s="53">
        <v>4.0942509147572421</v>
      </c>
      <c r="P79" s="54">
        <v>14506.438501770343</v>
      </c>
      <c r="Q79" s="54">
        <v>4.3827717199368292</v>
      </c>
      <c r="R79" s="54">
        <v>40062.766327489175</v>
      </c>
      <c r="S79" s="54">
        <v>0.28852080517958711</v>
      </c>
      <c r="T79" s="54">
        <v>25556.327825718832</v>
      </c>
      <c r="V79" s="69">
        <f t="shared" si="8"/>
        <v>804343.74444967799</v>
      </c>
      <c r="W79" s="69">
        <f t="shared" si="9"/>
        <v>836491.57765987667</v>
      </c>
      <c r="X79" s="69">
        <f t="shared" si="6"/>
        <v>32147.833210198591</v>
      </c>
      <c r="Z79" s="68">
        <f t="shared" si="10"/>
        <v>0</v>
      </c>
      <c r="AA79" s="68">
        <f t="shared" si="11"/>
        <v>1</v>
      </c>
      <c r="AB79" s="68">
        <f t="shared" si="7"/>
        <v>1</v>
      </c>
      <c r="AD79" s="73">
        <v>180000</v>
      </c>
      <c r="AE79">
        <v>0.35899999999999999</v>
      </c>
      <c r="AF79">
        <v>0.64100000000000001</v>
      </c>
      <c r="AG79">
        <v>0.64100000000000001</v>
      </c>
    </row>
    <row r="80" spans="1:33" x14ac:dyDescent="0.25">
      <c r="A80">
        <v>75</v>
      </c>
      <c r="C80" s="24">
        <v>3.8230004124892636E-2</v>
      </c>
      <c r="D80" s="24">
        <v>7.3684808389239409E-3</v>
      </c>
      <c r="E80" s="24">
        <v>3.5097278067608428E-5</v>
      </c>
      <c r="F80" s="24">
        <v>9.5951895400141732E-16</v>
      </c>
      <c r="G80" s="24">
        <v>0.50236671336486638</v>
      </c>
      <c r="H80" s="24">
        <v>0.34937035023053942</v>
      </c>
      <c r="I80" s="53">
        <v>2003.3139169111571</v>
      </c>
      <c r="J80" s="53">
        <v>6228.350042322304</v>
      </c>
      <c r="K80" s="24">
        <v>0.60217741315209194</v>
      </c>
      <c r="L80" s="24">
        <v>0.86110028486717893</v>
      </c>
      <c r="M80" s="24">
        <v>0.61938487400895825</v>
      </c>
      <c r="O80" s="53">
        <v>3.977533841381391</v>
      </c>
      <c r="P80" s="54">
        <v>18240.334413037421</v>
      </c>
      <c r="Q80" s="54">
        <v>4.154965576324722</v>
      </c>
      <c r="R80" s="54">
        <v>47059.164170162388</v>
      </c>
      <c r="S80" s="54">
        <v>0.17743173494333098</v>
      </c>
      <c r="T80" s="54">
        <v>28818.829757124968</v>
      </c>
      <c r="V80" s="69">
        <f t="shared" si="8"/>
        <v>777266.43386324076</v>
      </c>
      <c r="W80" s="69">
        <f t="shared" si="9"/>
        <v>783933.95109478198</v>
      </c>
      <c r="X80" s="69">
        <f t="shared" si="6"/>
        <v>6667.517231541231</v>
      </c>
      <c r="Z80" s="68">
        <f t="shared" si="10"/>
        <v>0</v>
      </c>
      <c r="AA80" s="68">
        <f t="shared" si="11"/>
        <v>1</v>
      </c>
      <c r="AB80" s="68">
        <f t="shared" si="7"/>
        <v>1</v>
      </c>
      <c r="AD80" s="73">
        <v>185000</v>
      </c>
      <c r="AE80">
        <v>0.35599999999999998</v>
      </c>
      <c r="AF80">
        <v>0.64400000000000002</v>
      </c>
      <c r="AG80">
        <v>0.64400000000000002</v>
      </c>
    </row>
    <row r="81" spans="1:33" x14ac:dyDescent="0.25">
      <c r="A81">
        <v>76</v>
      </c>
      <c r="C81" s="24">
        <v>4.3552168845997663E-2</v>
      </c>
      <c r="D81" s="24">
        <v>2.3080268178718319E-4</v>
      </c>
      <c r="E81" s="24">
        <v>1.7459874725804265E-18</v>
      </c>
      <c r="F81" s="24">
        <v>9.3957540641419697E-17</v>
      </c>
      <c r="G81" s="24">
        <v>0.53144019586902835</v>
      </c>
      <c r="H81" s="24">
        <v>0.19223956397772268</v>
      </c>
      <c r="I81" s="53">
        <v>2261.7972504463405</v>
      </c>
      <c r="J81" s="53">
        <v>4671.4462897744925</v>
      </c>
      <c r="K81" s="24">
        <v>0.62176233160911798</v>
      </c>
      <c r="L81" s="24">
        <v>0.97901418454102263</v>
      </c>
      <c r="M81" s="24">
        <v>0.78568416994233992</v>
      </c>
      <c r="O81" s="53">
        <v>4.4367208958604376</v>
      </c>
      <c r="P81" s="54">
        <v>17622.336616650442</v>
      </c>
      <c r="Q81" s="54">
        <v>4.809807526894236</v>
      </c>
      <c r="R81" s="54">
        <v>29699.541423539446</v>
      </c>
      <c r="S81" s="54">
        <v>0.37308663103379835</v>
      </c>
      <c r="T81" s="54">
        <v>12077.204806889004</v>
      </c>
      <c r="V81" s="69">
        <f t="shared" si="8"/>
        <v>869721.84255543712</v>
      </c>
      <c r="W81" s="69">
        <f t="shared" si="9"/>
        <v>932261.96395530785</v>
      </c>
      <c r="X81" s="69">
        <f t="shared" si="6"/>
        <v>62540.121399870666</v>
      </c>
      <c r="Z81" s="68">
        <f t="shared" si="10"/>
        <v>0</v>
      </c>
      <c r="AA81" s="68">
        <f t="shared" si="11"/>
        <v>1</v>
      </c>
      <c r="AB81" s="68">
        <f t="shared" si="7"/>
        <v>1</v>
      </c>
      <c r="AD81" s="73">
        <v>190000</v>
      </c>
      <c r="AE81">
        <v>0.34799999999999998</v>
      </c>
      <c r="AF81">
        <v>0.65200000000000002</v>
      </c>
      <c r="AG81">
        <v>0.65200000000000002</v>
      </c>
    </row>
    <row r="82" spans="1:33" x14ac:dyDescent="0.25">
      <c r="A82">
        <v>77</v>
      </c>
      <c r="C82" s="24">
        <v>4.7489192991561164E-7</v>
      </c>
      <c r="D82" s="24">
        <v>7.2165016968649409E-3</v>
      </c>
      <c r="E82" s="24">
        <v>6.7412218087827894E-23</v>
      </c>
      <c r="F82" s="24">
        <v>1.8265341211957079E-28</v>
      </c>
      <c r="G82" s="24">
        <v>0.63439398385171031</v>
      </c>
      <c r="H82" s="24">
        <v>0.25270984208984981</v>
      </c>
      <c r="I82" s="53">
        <v>2094.4173620714478</v>
      </c>
      <c r="J82" s="53">
        <v>4738.1516231279202</v>
      </c>
      <c r="K82" s="24">
        <v>0.68011193054558428</v>
      </c>
      <c r="L82" s="24">
        <v>0.92144634896529465</v>
      </c>
      <c r="M82" s="24">
        <v>0.78245097627552807</v>
      </c>
      <c r="O82" s="53">
        <v>4.2315002227498928</v>
      </c>
      <c r="P82" s="54">
        <v>18157.043494599027</v>
      </c>
      <c r="Q82" s="54">
        <v>4.5194463332458659</v>
      </c>
      <c r="R82" s="54">
        <v>40401.985657532503</v>
      </c>
      <c r="S82" s="54">
        <v>0.28794611049597307</v>
      </c>
      <c r="T82" s="54">
        <v>22244.942162933476</v>
      </c>
      <c r="V82" s="69">
        <f t="shared" si="8"/>
        <v>828143.00105537951</v>
      </c>
      <c r="W82" s="69">
        <f t="shared" si="9"/>
        <v>863487.28099164076</v>
      </c>
      <c r="X82" s="69">
        <f t="shared" si="6"/>
        <v>35344.27993626114</v>
      </c>
      <c r="Z82" s="68">
        <f t="shared" si="10"/>
        <v>0</v>
      </c>
      <c r="AA82" s="68">
        <f t="shared" si="11"/>
        <v>1</v>
      </c>
      <c r="AB82" s="68">
        <f t="shared" si="7"/>
        <v>1</v>
      </c>
      <c r="AD82" s="73">
        <v>195000</v>
      </c>
      <c r="AE82">
        <v>0.34</v>
      </c>
      <c r="AF82">
        <v>0.66</v>
      </c>
      <c r="AG82">
        <v>0.66</v>
      </c>
    </row>
    <row r="83" spans="1:33" x14ac:dyDescent="0.25">
      <c r="A83">
        <v>78</v>
      </c>
      <c r="C83" s="24">
        <v>8.9380184253307071E-5</v>
      </c>
      <c r="D83" s="24">
        <v>4.6587365127347133E-5</v>
      </c>
      <c r="E83" s="24">
        <v>5.3244947139030607E-4</v>
      </c>
      <c r="F83" s="24">
        <v>1.8338204012862164E-46</v>
      </c>
      <c r="G83" s="24">
        <v>0.64628149408061797</v>
      </c>
      <c r="H83" s="24">
        <v>0.37968158365033933</v>
      </c>
      <c r="I83" s="53">
        <v>1491.1865884436379</v>
      </c>
      <c r="J83" s="53">
        <v>5122.576246249715</v>
      </c>
      <c r="K83" s="24">
        <v>0.4706543226808807</v>
      </c>
      <c r="L83" s="24">
        <v>0.94701371167503634</v>
      </c>
      <c r="M83" s="24">
        <v>0.89261889278610174</v>
      </c>
      <c r="O83" s="53">
        <v>3.957977141163068</v>
      </c>
      <c r="P83" s="54">
        <v>18059.250311127817</v>
      </c>
      <c r="Q83" s="54">
        <v>4.4457833745784976</v>
      </c>
      <c r="R83" s="54">
        <v>55504.368493223068</v>
      </c>
      <c r="S83" s="54">
        <v>0.48780623341542961</v>
      </c>
      <c r="T83" s="54">
        <v>37445.118182095248</v>
      </c>
      <c r="V83" s="69">
        <f t="shared" si="8"/>
        <v>773536.17792148574</v>
      </c>
      <c r="W83" s="69">
        <f t="shared" si="9"/>
        <v>833652.30642247642</v>
      </c>
      <c r="X83" s="69">
        <f t="shared" si="6"/>
        <v>60116.128500990671</v>
      </c>
      <c r="Z83" s="68">
        <f t="shared" si="10"/>
        <v>0</v>
      </c>
      <c r="AA83" s="68">
        <f t="shared" si="11"/>
        <v>1</v>
      </c>
      <c r="AB83" s="68">
        <f t="shared" si="7"/>
        <v>1</v>
      </c>
      <c r="AD83" s="73">
        <v>200000</v>
      </c>
      <c r="AE83">
        <v>0.33500000000000002</v>
      </c>
      <c r="AF83">
        <v>0.66500000000000004</v>
      </c>
      <c r="AG83">
        <v>0.66500000000000004</v>
      </c>
    </row>
    <row r="84" spans="1:33" x14ac:dyDescent="0.25">
      <c r="A84">
        <v>79</v>
      </c>
      <c r="C84" s="24">
        <v>6.2775715152190345E-8</v>
      </c>
      <c r="D84" s="24">
        <v>2.3216879937132642E-4</v>
      </c>
      <c r="E84" s="24">
        <v>2.2832105484038578E-7</v>
      </c>
      <c r="F84" s="24">
        <v>2.5023816167135365E-20</v>
      </c>
      <c r="G84" s="24">
        <v>0.52612627171540804</v>
      </c>
      <c r="H84" s="24">
        <v>0.33826129435261032</v>
      </c>
      <c r="I84" s="53">
        <v>2404.6423798272212</v>
      </c>
      <c r="J84" s="53">
        <v>6086.5723264012149</v>
      </c>
      <c r="K84" s="24">
        <v>0.86004247605514506</v>
      </c>
      <c r="L84" s="24">
        <v>0.89343041945893686</v>
      </c>
      <c r="M84" s="24">
        <v>0.80338716587602654</v>
      </c>
      <c r="O84" s="53">
        <v>4.4315752317020882</v>
      </c>
      <c r="P84" s="54">
        <v>15778.437862999916</v>
      </c>
      <c r="Q84" s="54">
        <v>4.4500188680635135</v>
      </c>
      <c r="R84" s="54">
        <v>39137.453530824634</v>
      </c>
      <c r="S84" s="54">
        <v>1.844363636142532E-2</v>
      </c>
      <c r="T84" s="54">
        <v>23359.015667824719</v>
      </c>
      <c r="V84" s="69">
        <f t="shared" si="8"/>
        <v>870536.60847741773</v>
      </c>
      <c r="W84" s="69">
        <f t="shared" si="9"/>
        <v>850866.3200818781</v>
      </c>
      <c r="X84" s="69">
        <f t="shared" si="6"/>
        <v>-19670.288395539654</v>
      </c>
      <c r="Z84" s="68">
        <f t="shared" si="10"/>
        <v>1</v>
      </c>
      <c r="AA84" s="68">
        <f t="shared" si="11"/>
        <v>0</v>
      </c>
      <c r="AB84" s="68">
        <f t="shared" si="7"/>
        <v>0</v>
      </c>
    </row>
    <row r="85" spans="1:33" x14ac:dyDescent="0.25">
      <c r="A85">
        <v>80</v>
      </c>
      <c r="C85" s="24">
        <v>7.5624226752016843E-8</v>
      </c>
      <c r="D85" s="24">
        <v>1.3886286968665118E-3</v>
      </c>
      <c r="E85" s="24">
        <v>7.4474975231275664E-7</v>
      </c>
      <c r="F85" s="24">
        <v>1.7546578989034052E-31</v>
      </c>
      <c r="G85" s="24">
        <v>0.5509293934254168</v>
      </c>
      <c r="H85" s="24">
        <v>0.24256812846019271</v>
      </c>
      <c r="I85" s="53">
        <v>2332.1308967995537</v>
      </c>
      <c r="J85" s="53">
        <v>4954.884012128352</v>
      </c>
      <c r="K85" s="24">
        <v>0.51642871180745853</v>
      </c>
      <c r="L85" s="24">
        <v>0.87211489598556113</v>
      </c>
      <c r="M85" s="24">
        <v>0.61228663476669865</v>
      </c>
      <c r="O85" s="53">
        <v>3.9463530407149934</v>
      </c>
      <c r="P85" s="54">
        <v>14675.574258295721</v>
      </c>
      <c r="Q85" s="54">
        <v>4.244532029103504</v>
      </c>
      <c r="R85" s="54">
        <v>36962.997092390215</v>
      </c>
      <c r="S85" s="54">
        <v>0.29817898838851065</v>
      </c>
      <c r="T85" s="54">
        <v>22287.422834094494</v>
      </c>
      <c r="V85" s="69">
        <f t="shared" si="8"/>
        <v>774595.03388470295</v>
      </c>
      <c r="W85" s="69">
        <f t="shared" si="9"/>
        <v>811943.40872831061</v>
      </c>
      <c r="X85" s="69">
        <f t="shared" si="6"/>
        <v>37348.374843607642</v>
      </c>
      <c r="Z85" s="68">
        <f t="shared" si="10"/>
        <v>0</v>
      </c>
      <c r="AA85" s="68">
        <f t="shared" si="11"/>
        <v>1</v>
      </c>
      <c r="AB85" s="68">
        <f t="shared" si="7"/>
        <v>1</v>
      </c>
    </row>
    <row r="86" spans="1:33" x14ac:dyDescent="0.25">
      <c r="A86">
        <v>81</v>
      </c>
      <c r="C86" s="24">
        <v>5.4152266454147947E-12</v>
      </c>
      <c r="D86" s="24">
        <v>3.2879988466950292E-4</v>
      </c>
      <c r="E86" s="24">
        <v>6.3695320437225329E-24</v>
      </c>
      <c r="F86" s="24">
        <v>2.9284897920389075E-54</v>
      </c>
      <c r="G86" s="24">
        <v>0.56301790211103908</v>
      </c>
      <c r="H86" s="24">
        <v>0.31432673734046668</v>
      </c>
      <c r="I86" s="53">
        <v>1754.6736956715774</v>
      </c>
      <c r="J86" s="53">
        <v>3341.946101890413</v>
      </c>
      <c r="K86" s="24">
        <v>0.5902460642421149</v>
      </c>
      <c r="L86" s="24">
        <v>0.80446543401493187</v>
      </c>
      <c r="M86" s="24">
        <v>0.89873510410361157</v>
      </c>
      <c r="O86" s="53">
        <v>3.7619364583115891</v>
      </c>
      <c r="P86" s="54">
        <v>21322.582955691942</v>
      </c>
      <c r="Q86" s="54">
        <v>3.9246312882402261</v>
      </c>
      <c r="R86" s="54">
        <v>55291.239056949991</v>
      </c>
      <c r="S86" s="54">
        <v>0.16269482992863704</v>
      </c>
      <c r="T86" s="54">
        <v>33968.65610125805</v>
      </c>
      <c r="V86" s="69">
        <f t="shared" si="8"/>
        <v>731064.70870662585</v>
      </c>
      <c r="W86" s="69">
        <f t="shared" si="9"/>
        <v>729635.01859109523</v>
      </c>
      <c r="X86" s="69">
        <f t="shared" si="6"/>
        <v>-1429.6901155306405</v>
      </c>
      <c r="Z86" s="68">
        <f t="shared" si="10"/>
        <v>1</v>
      </c>
      <c r="AA86" s="68">
        <f t="shared" si="11"/>
        <v>0</v>
      </c>
      <c r="AB86" s="68">
        <f t="shared" si="7"/>
        <v>0</v>
      </c>
    </row>
    <row r="87" spans="1:33" x14ac:dyDescent="0.25">
      <c r="A87">
        <v>82</v>
      </c>
      <c r="C87" s="24">
        <v>1.0324383968451922E-2</v>
      </c>
      <c r="D87" s="24">
        <v>5.1184476813052014E-4</v>
      </c>
      <c r="E87" s="24">
        <v>1.8911620909715825E-37</v>
      </c>
      <c r="F87" s="24">
        <v>1.6387134172957118E-6</v>
      </c>
      <c r="G87" s="24">
        <v>0.58596609306153002</v>
      </c>
      <c r="H87" s="24">
        <v>0.29390827571122846</v>
      </c>
      <c r="I87" s="53">
        <v>2120.3709323763164</v>
      </c>
      <c r="J87" s="53">
        <v>5285.5471670082852</v>
      </c>
      <c r="K87" s="24">
        <v>0.57276992991991094</v>
      </c>
      <c r="L87" s="24">
        <v>0.97242974877620225</v>
      </c>
      <c r="M87" s="24">
        <v>0.76369976747961199</v>
      </c>
      <c r="O87" s="53">
        <v>4.3164327721534166</v>
      </c>
      <c r="P87" s="54">
        <v>17271.431948770551</v>
      </c>
      <c r="Q87" s="54">
        <v>4.6954524997692921</v>
      </c>
      <c r="R87" s="54">
        <v>36170.0486067405</v>
      </c>
      <c r="S87" s="54">
        <v>0.37901972761587555</v>
      </c>
      <c r="T87" s="54">
        <v>18898.616657969949</v>
      </c>
      <c r="V87" s="69">
        <f t="shared" si="8"/>
        <v>846015.12248191272</v>
      </c>
      <c r="W87" s="69">
        <f t="shared" si="9"/>
        <v>902920.45134711789</v>
      </c>
      <c r="X87" s="69">
        <f t="shared" si="6"/>
        <v>56905.328865205156</v>
      </c>
      <c r="Z87" s="68">
        <f t="shared" si="10"/>
        <v>0</v>
      </c>
      <c r="AA87" s="68">
        <f t="shared" si="11"/>
        <v>1</v>
      </c>
      <c r="AB87" s="68">
        <f t="shared" si="7"/>
        <v>1</v>
      </c>
    </row>
    <row r="88" spans="1:33" x14ac:dyDescent="0.25">
      <c r="A88">
        <v>83</v>
      </c>
      <c r="C88" s="24">
        <v>1.113078193649697E-4</v>
      </c>
      <c r="D88" s="24">
        <v>1.248719560192002E-2</v>
      </c>
      <c r="E88" s="24">
        <v>5.6625266339978839E-28</v>
      </c>
      <c r="F88" s="24">
        <v>8.0381559450687495E-44</v>
      </c>
      <c r="G88" s="24">
        <v>0.5882203072437574</v>
      </c>
      <c r="H88" s="24">
        <v>0.30753207658118653</v>
      </c>
      <c r="I88" s="53">
        <v>2380.5354150347862</v>
      </c>
      <c r="J88" s="53">
        <v>4324.4892410536477</v>
      </c>
      <c r="K88" s="24">
        <v>0.73695182539637916</v>
      </c>
      <c r="L88" s="24">
        <v>0.9048172374235266</v>
      </c>
      <c r="M88" s="24">
        <v>0.93531499019801834</v>
      </c>
      <c r="O88" s="53">
        <v>4.3012099382762683</v>
      </c>
      <c r="P88" s="54">
        <v>20139.724987810856</v>
      </c>
      <c r="Q88" s="54">
        <v>4.4522467547272315</v>
      </c>
      <c r="R88" s="54">
        <v>54004.554003263031</v>
      </c>
      <c r="S88" s="54">
        <v>0.15103681645096323</v>
      </c>
      <c r="T88" s="54">
        <v>33864.829015452175</v>
      </c>
      <c r="V88" s="69">
        <f t="shared" si="8"/>
        <v>840102.26266744279</v>
      </c>
      <c r="W88" s="69">
        <f t="shared" si="9"/>
        <v>836444.79694218328</v>
      </c>
      <c r="X88" s="69">
        <f t="shared" si="6"/>
        <v>-3657.465725259528</v>
      </c>
      <c r="Z88" s="68">
        <f t="shared" si="10"/>
        <v>1</v>
      </c>
      <c r="AA88" s="68">
        <f t="shared" si="11"/>
        <v>0</v>
      </c>
      <c r="AB88" s="68">
        <f t="shared" si="7"/>
        <v>0</v>
      </c>
    </row>
    <row r="89" spans="1:33" x14ac:dyDescent="0.25">
      <c r="A89">
        <v>84</v>
      </c>
      <c r="C89" s="24">
        <v>1.6989336521416876E-3</v>
      </c>
      <c r="D89" s="24">
        <v>4.5567255214363242E-4</v>
      </c>
      <c r="E89" s="24">
        <v>1.5170694034338794E-8</v>
      </c>
      <c r="F89" s="24">
        <v>2.9354296771089139E-13</v>
      </c>
      <c r="G89" s="24">
        <v>0.55908652766392075</v>
      </c>
      <c r="H89" s="24">
        <v>0.2586736627277304</v>
      </c>
      <c r="I89" s="53">
        <v>2252.0140920791937</v>
      </c>
      <c r="J89" s="53">
        <v>4486.0874018775903</v>
      </c>
      <c r="K89" s="24">
        <v>0.65471210961993698</v>
      </c>
      <c r="L89" s="24">
        <v>0.73407417710201794</v>
      </c>
      <c r="M89" s="24">
        <v>0.6756836023721513</v>
      </c>
      <c r="O89" s="53">
        <v>3.5743800578205507</v>
      </c>
      <c r="P89" s="54">
        <v>14197.102324895264</v>
      </c>
      <c r="Q89" s="54">
        <v>3.6425439192724962</v>
      </c>
      <c r="R89" s="54">
        <v>39779.283960818815</v>
      </c>
      <c r="S89" s="54">
        <v>6.8163861451945529E-2</v>
      </c>
      <c r="T89" s="54">
        <v>25582.181635923553</v>
      </c>
      <c r="V89" s="69">
        <f t="shared" si="8"/>
        <v>700678.90923921496</v>
      </c>
      <c r="W89" s="69">
        <f t="shared" si="9"/>
        <v>688729.49989368045</v>
      </c>
      <c r="X89" s="69">
        <f t="shared" si="6"/>
        <v>-11949.409345534446</v>
      </c>
      <c r="Z89" s="68">
        <f t="shared" si="10"/>
        <v>1</v>
      </c>
      <c r="AA89" s="68">
        <f t="shared" si="11"/>
        <v>0</v>
      </c>
      <c r="AB89" s="68">
        <f t="shared" si="7"/>
        <v>0</v>
      </c>
    </row>
    <row r="90" spans="1:33" x14ac:dyDescent="0.25">
      <c r="A90">
        <v>85</v>
      </c>
      <c r="C90" s="24">
        <v>5.7261657770343283E-7</v>
      </c>
      <c r="D90" s="24">
        <v>9.1376355841940038E-3</v>
      </c>
      <c r="E90" s="24">
        <v>1.2835465436745067E-48</v>
      </c>
      <c r="F90" s="24">
        <v>1.1228205991531404E-5</v>
      </c>
      <c r="G90" s="24">
        <v>0.59207392351616783</v>
      </c>
      <c r="H90" s="24">
        <v>0.34696714089494152</v>
      </c>
      <c r="I90" s="53">
        <v>2568.5461322983051</v>
      </c>
      <c r="J90" s="53">
        <v>6349.9974244595569</v>
      </c>
      <c r="K90" s="24">
        <v>0.60388098161711368</v>
      </c>
      <c r="L90" s="24">
        <v>0.74663806538267619</v>
      </c>
      <c r="M90" s="24">
        <v>0.85408277766546348</v>
      </c>
      <c r="O90" s="53">
        <v>3.5410652441775308</v>
      </c>
      <c r="P90" s="54">
        <v>18750.781162550702</v>
      </c>
      <c r="Q90" s="54">
        <v>3.6643875194121276</v>
      </c>
      <c r="R90" s="54">
        <v>58754.34205507025</v>
      </c>
      <c r="S90" s="54">
        <v>0.12332227523459682</v>
      </c>
      <c r="T90" s="54">
        <v>40003.560892519548</v>
      </c>
      <c r="V90" s="69">
        <f t="shared" si="8"/>
        <v>689462.26767295552</v>
      </c>
      <c r="W90" s="69">
        <f t="shared" si="9"/>
        <v>674123.16182735527</v>
      </c>
      <c r="X90" s="69">
        <f t="shared" si="6"/>
        <v>-15339.105845600185</v>
      </c>
      <c r="Z90" s="68">
        <f t="shared" si="10"/>
        <v>1</v>
      </c>
      <c r="AA90" s="68">
        <f t="shared" si="11"/>
        <v>0</v>
      </c>
      <c r="AB90" s="68">
        <f t="shared" si="7"/>
        <v>0</v>
      </c>
    </row>
    <row r="91" spans="1:33" x14ac:dyDescent="0.25">
      <c r="A91">
        <v>86</v>
      </c>
      <c r="C91" s="24">
        <v>2.0119603738598661E-12</v>
      </c>
      <c r="D91" s="24">
        <v>3.9500815871863911E-4</v>
      </c>
      <c r="E91" s="24">
        <v>3.1300423040114822E-6</v>
      </c>
      <c r="F91" s="24">
        <v>1.157877126127362E-36</v>
      </c>
      <c r="G91" s="24">
        <v>0.57165692646015831</v>
      </c>
      <c r="H91" s="24">
        <v>0.411160227270986</v>
      </c>
      <c r="I91" s="53">
        <v>1300.0929892560068</v>
      </c>
      <c r="J91" s="53">
        <v>6653.7611028421288</v>
      </c>
      <c r="K91" s="24">
        <v>0.51697334622617797</v>
      </c>
      <c r="L91" s="24">
        <v>0.65821725487859173</v>
      </c>
      <c r="M91" s="24">
        <v>0.79837129024831721</v>
      </c>
      <c r="O91" s="53">
        <v>3.1140751036688035</v>
      </c>
      <c r="P91" s="54">
        <v>11711.038098104957</v>
      </c>
      <c r="Q91" s="54">
        <v>3.1940261281788382</v>
      </c>
      <c r="R91" s="54">
        <v>71697.060722947266</v>
      </c>
      <c r="S91" s="54">
        <v>7.9951024510034774E-2</v>
      </c>
      <c r="T91" s="54">
        <v>59986.022624842313</v>
      </c>
      <c r="V91" s="69">
        <f t="shared" si="8"/>
        <v>611103.98263565567</v>
      </c>
      <c r="W91" s="69">
        <f t="shared" si="9"/>
        <v>567108.16491282044</v>
      </c>
      <c r="X91" s="69">
        <f t="shared" si="6"/>
        <v>-43995.81772283536</v>
      </c>
      <c r="Z91" s="68">
        <f t="shared" si="10"/>
        <v>1</v>
      </c>
      <c r="AA91" s="68">
        <f t="shared" si="11"/>
        <v>0</v>
      </c>
      <c r="AB91" s="68">
        <f t="shared" si="7"/>
        <v>0</v>
      </c>
    </row>
    <row r="92" spans="1:33" x14ac:dyDescent="0.25">
      <c r="A92">
        <v>87</v>
      </c>
      <c r="C92" s="24">
        <v>8.8835507826900972E-4</v>
      </c>
      <c r="D92" s="24">
        <v>7.5381048427574542E-4</v>
      </c>
      <c r="E92" s="24">
        <v>4.7980957064492835E-31</v>
      </c>
      <c r="F92" s="24">
        <v>1.9620277299514655E-6</v>
      </c>
      <c r="G92" s="24">
        <v>0.61937422623125871</v>
      </c>
      <c r="H92" s="24">
        <v>0.18733335592494427</v>
      </c>
      <c r="I92" s="53">
        <v>1734.0076479571619</v>
      </c>
      <c r="J92" s="53">
        <v>5267.1159734924549</v>
      </c>
      <c r="K92" s="24">
        <v>0.4520134761095202</v>
      </c>
      <c r="L92" s="24">
        <v>0.81506555662418223</v>
      </c>
      <c r="M92" s="24">
        <v>0.9469991121586383</v>
      </c>
      <c r="O92" s="53">
        <v>3.5394850879574205</v>
      </c>
      <c r="P92" s="54">
        <v>14371.647873781723</v>
      </c>
      <c r="Q92" s="54">
        <v>3.9922317720670852</v>
      </c>
      <c r="R92" s="54">
        <v>25469.818446340287</v>
      </c>
      <c r="S92" s="54">
        <v>0.45274668410966479</v>
      </c>
      <c r="T92" s="54">
        <v>11098.170572558563</v>
      </c>
      <c r="V92" s="69">
        <f t="shared" si="8"/>
        <v>693525.36971770239</v>
      </c>
      <c r="W92" s="69">
        <f t="shared" si="9"/>
        <v>772976.53596707678</v>
      </c>
      <c r="X92" s="69">
        <f t="shared" si="6"/>
        <v>79451.166249374393</v>
      </c>
      <c r="Z92" s="68">
        <f t="shared" si="10"/>
        <v>0</v>
      </c>
      <c r="AA92" s="68">
        <f t="shared" si="11"/>
        <v>1</v>
      </c>
      <c r="AB92" s="68">
        <f t="shared" si="7"/>
        <v>1</v>
      </c>
    </row>
    <row r="93" spans="1:33" x14ac:dyDescent="0.25">
      <c r="A93">
        <v>88</v>
      </c>
      <c r="C93" s="24">
        <v>7.9921974127761253E-5</v>
      </c>
      <c r="D93" s="24">
        <v>3.0342062933712185E-4</v>
      </c>
      <c r="E93" s="24">
        <v>6.6881143099815934E-21</v>
      </c>
      <c r="F93" s="24">
        <v>1.4610621532789797E-26</v>
      </c>
      <c r="G93" s="24">
        <v>0.53588365578343844</v>
      </c>
      <c r="H93" s="24">
        <v>0.30359653499133832</v>
      </c>
      <c r="I93" s="53">
        <v>1437.8912862586387</v>
      </c>
      <c r="J93" s="53">
        <v>6715.5425363253344</v>
      </c>
      <c r="K93" s="24">
        <v>0.64341332327895062</v>
      </c>
      <c r="L93" s="24">
        <v>0.86645054182215731</v>
      </c>
      <c r="M93" s="24">
        <v>0.86903224254710798</v>
      </c>
      <c r="O93" s="53">
        <v>4.0861093163234781</v>
      </c>
      <c r="P93" s="54">
        <v>17474.842653723779</v>
      </c>
      <c r="Q93" s="54">
        <v>4.2352757292366148</v>
      </c>
      <c r="R93" s="54">
        <v>43723.199998342352</v>
      </c>
      <c r="S93" s="54">
        <v>0.1491664129131367</v>
      </c>
      <c r="T93" s="54">
        <v>26248.357344618573</v>
      </c>
      <c r="V93" s="69">
        <f t="shared" si="8"/>
        <v>799747.02061097184</v>
      </c>
      <c r="W93" s="69">
        <f t="shared" si="9"/>
        <v>803331.94584898069</v>
      </c>
      <c r="X93" s="69">
        <f t="shared" si="6"/>
        <v>3584.9252380087673</v>
      </c>
      <c r="Z93" s="68">
        <f t="shared" si="10"/>
        <v>0</v>
      </c>
      <c r="AA93" s="68">
        <f t="shared" si="11"/>
        <v>1</v>
      </c>
      <c r="AB93" s="68">
        <f t="shared" si="7"/>
        <v>1</v>
      </c>
    </row>
    <row r="94" spans="1:33" x14ac:dyDescent="0.25">
      <c r="A94">
        <v>89</v>
      </c>
      <c r="C94" s="24">
        <v>6.6304465605293572E-5</v>
      </c>
      <c r="D94" s="24">
        <v>3.1272003586566566E-3</v>
      </c>
      <c r="E94" s="24">
        <v>6.4483576212605518E-14</v>
      </c>
      <c r="F94" s="24">
        <v>1.0917637838225858E-6</v>
      </c>
      <c r="G94" s="24">
        <v>0.54856668935941166</v>
      </c>
      <c r="H94" s="24">
        <v>0.32559551920961927</v>
      </c>
      <c r="I94" s="53">
        <v>2436.8517815974155</v>
      </c>
      <c r="J94" s="53">
        <v>5962.7958572602611</v>
      </c>
      <c r="K94" s="24">
        <v>0.77349368783056671</v>
      </c>
      <c r="L94" s="24">
        <v>0.67555894751994239</v>
      </c>
      <c r="M94" s="24">
        <v>0.88239397162921041</v>
      </c>
      <c r="O94" s="53">
        <v>3.4910067775047802</v>
      </c>
      <c r="P94" s="54">
        <v>13139.966339644714</v>
      </c>
      <c r="Q94" s="54">
        <v>3.4292327659972717</v>
      </c>
      <c r="R94" s="54">
        <v>36731.897808359565</v>
      </c>
      <c r="S94" s="54">
        <v>-6.1774011507508497E-2</v>
      </c>
      <c r="T94" s="54">
        <v>23591.931468714851</v>
      </c>
      <c r="V94" s="69">
        <f t="shared" si="8"/>
        <v>685061.38916131132</v>
      </c>
      <c r="W94" s="69">
        <f t="shared" si="9"/>
        <v>649114.65539109474</v>
      </c>
      <c r="X94" s="69">
        <f t="shared" si="6"/>
        <v>-35946.733770216553</v>
      </c>
      <c r="Z94" s="68">
        <f t="shared" si="10"/>
        <v>1</v>
      </c>
      <c r="AA94" s="68">
        <f t="shared" si="11"/>
        <v>0</v>
      </c>
      <c r="AB94" s="68">
        <f t="shared" si="7"/>
        <v>0</v>
      </c>
    </row>
    <row r="95" spans="1:33" x14ac:dyDescent="0.25">
      <c r="A95">
        <v>90</v>
      </c>
      <c r="C95" s="24">
        <v>9.5593761188161874E-4</v>
      </c>
      <c r="D95" s="24">
        <v>7.4097030556103522E-4</v>
      </c>
      <c r="E95" s="24">
        <v>1.2616756573130027E-50</v>
      </c>
      <c r="F95" s="24">
        <v>3.7756390287042042E-34</v>
      </c>
      <c r="G95" s="24">
        <v>0.62113781120782963</v>
      </c>
      <c r="H95" s="24">
        <v>0.31613599625876843</v>
      </c>
      <c r="I95" s="53">
        <v>1968.377486689169</v>
      </c>
      <c r="J95" s="53">
        <v>5178.9241172333932</v>
      </c>
      <c r="K95" s="24">
        <v>0.61586229751627897</v>
      </c>
      <c r="L95" s="24">
        <v>0.78654088810523459</v>
      </c>
      <c r="M95" s="24">
        <v>0.86374154153962068</v>
      </c>
      <c r="O95" s="53">
        <v>3.6794357939065399</v>
      </c>
      <c r="P95" s="54">
        <v>15292.995020191478</v>
      </c>
      <c r="Q95" s="54">
        <v>3.8544321410155908</v>
      </c>
      <c r="R95" s="54">
        <v>48073.650791637869</v>
      </c>
      <c r="S95" s="54">
        <v>0.17499634710905099</v>
      </c>
      <c r="T95" s="54">
        <v>32780.655771446392</v>
      </c>
      <c r="V95" s="69">
        <f t="shared" si="8"/>
        <v>720594.16376111645</v>
      </c>
      <c r="W95" s="69">
        <f t="shared" si="9"/>
        <v>722812.77741148032</v>
      </c>
      <c r="X95" s="69">
        <f t="shared" si="6"/>
        <v>2218.6136503638045</v>
      </c>
      <c r="Z95" s="68">
        <f t="shared" si="10"/>
        <v>0</v>
      </c>
      <c r="AA95" s="68">
        <f t="shared" si="11"/>
        <v>1</v>
      </c>
      <c r="AB95" s="68">
        <f t="shared" si="7"/>
        <v>1</v>
      </c>
    </row>
    <row r="96" spans="1:33" x14ac:dyDescent="0.25">
      <c r="A96">
        <v>91</v>
      </c>
      <c r="C96" s="24">
        <v>2.0410591242310591E-8</v>
      </c>
      <c r="D96" s="24">
        <v>7.2977739989557469E-4</v>
      </c>
      <c r="E96" s="24">
        <v>2.8441141490341789E-22</v>
      </c>
      <c r="F96" s="24">
        <v>4.9793099530223485E-18</v>
      </c>
      <c r="G96" s="24">
        <v>0.6041059815965949</v>
      </c>
      <c r="H96" s="24">
        <v>0.23388126585087665</v>
      </c>
      <c r="I96" s="53">
        <v>1635.6201311151515</v>
      </c>
      <c r="J96" s="53">
        <v>5604.4727683554984</v>
      </c>
      <c r="K96" s="24">
        <v>0.45836350538282439</v>
      </c>
      <c r="L96" s="24">
        <v>0.94986714267175343</v>
      </c>
      <c r="M96" s="24">
        <v>0.79228926465095728</v>
      </c>
      <c r="O96" s="53">
        <v>4.0596792166378961</v>
      </c>
      <c r="P96" s="54">
        <v>21954.166626957245</v>
      </c>
      <c r="Q96" s="54">
        <v>4.5986894169004158</v>
      </c>
      <c r="R96" s="54">
        <v>25806.21638828198</v>
      </c>
      <c r="S96" s="54">
        <v>0.53901020026251967</v>
      </c>
      <c r="T96" s="54">
        <v>3852.0497613247353</v>
      </c>
      <c r="V96" s="69">
        <f t="shared" si="8"/>
        <v>789981.67670062196</v>
      </c>
      <c r="W96" s="69">
        <f t="shared" si="9"/>
        <v>893931.66699180112</v>
      </c>
      <c r="X96" s="69">
        <f t="shared" si="6"/>
        <v>103949.99029117919</v>
      </c>
      <c r="Z96" s="68">
        <f t="shared" si="10"/>
        <v>0</v>
      </c>
      <c r="AA96" s="68">
        <f t="shared" si="11"/>
        <v>1</v>
      </c>
      <c r="AB96" s="68">
        <f t="shared" si="7"/>
        <v>1</v>
      </c>
    </row>
    <row r="97" spans="1:28" x14ac:dyDescent="0.25">
      <c r="A97">
        <v>92</v>
      </c>
      <c r="C97" s="24">
        <v>4.5981315145849257E-10</v>
      </c>
      <c r="D97" s="24">
        <v>1.741697628904415E-3</v>
      </c>
      <c r="E97" s="24">
        <v>4.9267588964063691E-7</v>
      </c>
      <c r="F97" s="24">
        <v>1.6831182307406674E-31</v>
      </c>
      <c r="G97" s="24">
        <v>0.55349209882723271</v>
      </c>
      <c r="H97" s="24">
        <v>0.20257110961884472</v>
      </c>
      <c r="I97" s="53">
        <v>1472.1619511478318</v>
      </c>
      <c r="J97" s="53">
        <v>4359.8793469908351</v>
      </c>
      <c r="K97" s="24">
        <v>0.62125244751156372</v>
      </c>
      <c r="L97" s="24">
        <v>0.85644018905425756</v>
      </c>
      <c r="M97" s="24">
        <v>0.94841460840022584</v>
      </c>
      <c r="O97" s="53">
        <v>4.0058026006478924</v>
      </c>
      <c r="P97" s="54">
        <v>17149.840590191419</v>
      </c>
      <c r="Q97" s="54">
        <v>4.2234299214720803</v>
      </c>
      <c r="R97" s="54">
        <v>29345.576060250231</v>
      </c>
      <c r="S97" s="54">
        <v>0.2176273208241879</v>
      </c>
      <c r="T97" s="54">
        <v>12195.735470058811</v>
      </c>
      <c r="V97" s="69">
        <f t="shared" si="8"/>
        <v>784010.67953938711</v>
      </c>
      <c r="W97" s="69">
        <f t="shared" si="9"/>
        <v>815340.40823416575</v>
      </c>
      <c r="X97" s="69">
        <f t="shared" si="6"/>
        <v>31329.728694778765</v>
      </c>
      <c r="Z97" s="68">
        <f t="shared" si="10"/>
        <v>0</v>
      </c>
      <c r="AA97" s="68">
        <f t="shared" si="11"/>
        <v>1</v>
      </c>
      <c r="AB97" s="68">
        <f t="shared" si="7"/>
        <v>1</v>
      </c>
    </row>
    <row r="98" spans="1:28" x14ac:dyDescent="0.25">
      <c r="A98">
        <v>93</v>
      </c>
      <c r="C98" s="24">
        <v>1.12255113105586E-2</v>
      </c>
      <c r="D98" s="24">
        <v>7.7187013168523731E-5</v>
      </c>
      <c r="E98" s="24">
        <v>1.202038468761657E-12</v>
      </c>
      <c r="F98" s="24">
        <v>1.5886237621819052E-71</v>
      </c>
      <c r="G98" s="24">
        <v>0.64834605616203611</v>
      </c>
      <c r="H98" s="24">
        <v>0.2827744947727322</v>
      </c>
      <c r="I98" s="53">
        <v>1910.6906577135917</v>
      </c>
      <c r="J98" s="53">
        <v>4764.2915038743658</v>
      </c>
      <c r="K98" s="24">
        <v>0.72080637116306079</v>
      </c>
      <c r="L98" s="24">
        <v>0.95151170719789835</v>
      </c>
      <c r="M98" s="24">
        <v>0.81598049567559006</v>
      </c>
      <c r="O98" s="53">
        <v>4.3663652358175478</v>
      </c>
      <c r="P98" s="54">
        <v>19674.896955882734</v>
      </c>
      <c r="Q98" s="54">
        <v>4.666697539972926</v>
      </c>
      <c r="R98" s="54">
        <v>44322.024404729949</v>
      </c>
      <c r="S98" s="54">
        <v>0.30033230415537826</v>
      </c>
      <c r="T98" s="54">
        <v>24647.127448847215</v>
      </c>
      <c r="V98" s="69">
        <f t="shared" si="8"/>
        <v>853598.15020762675</v>
      </c>
      <c r="W98" s="69">
        <f t="shared" si="9"/>
        <v>889017.48358985526</v>
      </c>
      <c r="X98" s="69">
        <f t="shared" si="6"/>
        <v>35419.333382228433</v>
      </c>
      <c r="Z98" s="68">
        <f t="shared" si="10"/>
        <v>0</v>
      </c>
      <c r="AA98" s="68">
        <f t="shared" si="11"/>
        <v>1</v>
      </c>
      <c r="AB98" s="68">
        <f t="shared" si="7"/>
        <v>1</v>
      </c>
    </row>
    <row r="99" spans="1:28" x14ac:dyDescent="0.25">
      <c r="A99">
        <v>94</v>
      </c>
      <c r="C99" s="24">
        <v>8.8145865585032013E-5</v>
      </c>
      <c r="D99" s="24">
        <v>2.2838140361255421E-3</v>
      </c>
      <c r="E99" s="24">
        <v>1.7216077508397376E-4</v>
      </c>
      <c r="F99" s="24">
        <v>1.7551385839806866E-3</v>
      </c>
      <c r="G99" s="24">
        <v>0.55270296533195717</v>
      </c>
      <c r="H99" s="24">
        <v>0.21579299365679916</v>
      </c>
      <c r="I99" s="53">
        <v>2432.5119210618254</v>
      </c>
      <c r="J99" s="53">
        <v>5475.0490798450992</v>
      </c>
      <c r="K99" s="24">
        <v>0.48401751834216811</v>
      </c>
      <c r="L99" s="24">
        <v>0.96166158245167666</v>
      </c>
      <c r="M99" s="24">
        <v>0.91324613593643589</v>
      </c>
      <c r="O99" s="53">
        <v>4.2470941982114621</v>
      </c>
      <c r="P99" s="54">
        <v>13388.88489948019</v>
      </c>
      <c r="Q99" s="54">
        <v>4.6660986866720737</v>
      </c>
      <c r="R99" s="54">
        <v>23611.983483375141</v>
      </c>
      <c r="S99" s="54">
        <v>0.41900448846061167</v>
      </c>
      <c r="T99" s="54">
        <v>10223.098583894951</v>
      </c>
      <c r="V99" s="69">
        <f t="shared" si="8"/>
        <v>836029.9547428122</v>
      </c>
      <c r="W99" s="69">
        <f t="shared" si="9"/>
        <v>909607.75385103957</v>
      </c>
      <c r="X99" s="69">
        <f t="shared" si="6"/>
        <v>73577.79910822738</v>
      </c>
      <c r="Z99" s="68">
        <f t="shared" si="10"/>
        <v>0</v>
      </c>
      <c r="AA99" s="68">
        <f t="shared" si="11"/>
        <v>1</v>
      </c>
      <c r="AB99" s="68">
        <f t="shared" si="7"/>
        <v>1</v>
      </c>
    </row>
    <row r="100" spans="1:28" x14ac:dyDescent="0.25">
      <c r="A100">
        <v>95</v>
      </c>
      <c r="C100" s="24">
        <v>2.5697338853214458E-4</v>
      </c>
      <c r="D100" s="24">
        <v>3.990205123876045E-3</v>
      </c>
      <c r="E100" s="24">
        <v>8.3450404139928658E-5</v>
      </c>
      <c r="F100" s="24">
        <v>4.5574673341919792E-17</v>
      </c>
      <c r="G100" s="24">
        <v>0.61714455331626683</v>
      </c>
      <c r="H100" s="24">
        <v>0.27180216693660808</v>
      </c>
      <c r="I100" s="53">
        <v>2049.9431605635605</v>
      </c>
      <c r="J100" s="53">
        <v>4389.1733726646507</v>
      </c>
      <c r="K100" s="24">
        <v>0.60922292239909992</v>
      </c>
      <c r="L100" s="24">
        <v>0.91957828888052728</v>
      </c>
      <c r="M100" s="24">
        <v>0.88828552957678852</v>
      </c>
      <c r="O100" s="53">
        <v>4.1416176831025355</v>
      </c>
      <c r="P100" s="54">
        <v>21039.098016467786</v>
      </c>
      <c r="Q100" s="54">
        <v>4.4814287078151738</v>
      </c>
      <c r="R100" s="54">
        <v>30399.668805239595</v>
      </c>
      <c r="S100" s="54">
        <v>0.33981102471263824</v>
      </c>
      <c r="T100" s="54">
        <v>9360.570788771809</v>
      </c>
      <c r="V100" s="69">
        <f t="shared" si="8"/>
        <v>807284.43860403937</v>
      </c>
      <c r="W100" s="69">
        <f t="shared" si="9"/>
        <v>865886.0727577951</v>
      </c>
      <c r="X100" s="69">
        <f t="shared" si="6"/>
        <v>58601.63415375584</v>
      </c>
      <c r="Z100" s="68">
        <f t="shared" si="10"/>
        <v>0</v>
      </c>
      <c r="AA100" s="68">
        <f t="shared" si="11"/>
        <v>1</v>
      </c>
      <c r="AB100" s="68">
        <f t="shared" si="7"/>
        <v>1</v>
      </c>
    </row>
    <row r="101" spans="1:28" x14ac:dyDescent="0.25">
      <c r="A101">
        <v>96</v>
      </c>
      <c r="C101" s="24">
        <v>3.0850907932389315E-4</v>
      </c>
      <c r="D101" s="24">
        <v>4.2420932050141191E-3</v>
      </c>
      <c r="E101" s="24">
        <v>1.2962233061310059E-25</v>
      </c>
      <c r="F101" s="24">
        <v>4.624326125780725E-16</v>
      </c>
      <c r="G101" s="24">
        <v>0.68787932223919779</v>
      </c>
      <c r="H101" s="24">
        <v>0.31166192914717739</v>
      </c>
      <c r="I101" s="53">
        <v>1944.9013413827377</v>
      </c>
      <c r="J101" s="53">
        <v>3582.7845752410608</v>
      </c>
      <c r="K101" s="24">
        <v>0.71414817613850801</v>
      </c>
      <c r="L101" s="24">
        <v>0.73956996803064001</v>
      </c>
      <c r="M101" s="24">
        <v>0.98254545205364485</v>
      </c>
      <c r="O101" s="53">
        <v>3.6512050112587571</v>
      </c>
      <c r="P101" s="54">
        <v>21318.722305998253</v>
      </c>
      <c r="Q101" s="54">
        <v>3.6931844036686852</v>
      </c>
      <c r="R101" s="54">
        <v>51680.372210273075</v>
      </c>
      <c r="S101" s="54">
        <v>4.1979392409928096E-2</v>
      </c>
      <c r="T101" s="54">
        <v>30361.649904274822</v>
      </c>
      <c r="V101" s="69">
        <f t="shared" si="8"/>
        <v>708922.27994575317</v>
      </c>
      <c r="W101" s="69">
        <f t="shared" si="9"/>
        <v>686956.50852346397</v>
      </c>
      <c r="X101" s="69">
        <f t="shared" si="6"/>
        <v>-21965.771422289203</v>
      </c>
      <c r="Z101" s="68">
        <f t="shared" si="10"/>
        <v>1</v>
      </c>
      <c r="AA101" s="68">
        <f t="shared" si="11"/>
        <v>0</v>
      </c>
      <c r="AB101" s="68">
        <f t="shared" si="7"/>
        <v>0</v>
      </c>
    </row>
    <row r="102" spans="1:28" x14ac:dyDescent="0.25">
      <c r="A102">
        <v>97</v>
      </c>
      <c r="C102" s="24">
        <v>1.8998186145865903E-2</v>
      </c>
      <c r="D102" s="24">
        <v>8.303821641105272E-4</v>
      </c>
      <c r="E102" s="24">
        <v>1.2598624343773679E-7</v>
      </c>
      <c r="F102" s="24">
        <v>6.3191896699965467E-22</v>
      </c>
      <c r="G102" s="24">
        <v>0.58684385279156448</v>
      </c>
      <c r="H102" s="24">
        <v>0.30269163228227292</v>
      </c>
      <c r="I102" s="53">
        <v>2528.3508881732705</v>
      </c>
      <c r="J102" s="53">
        <v>5295.494557304085</v>
      </c>
      <c r="K102" s="24">
        <v>0.7171663526834694</v>
      </c>
      <c r="L102" s="24">
        <v>0.51236643727671316</v>
      </c>
      <c r="M102" s="24">
        <v>0.84593021952133696</v>
      </c>
      <c r="O102" s="53">
        <v>2.8889026982084616</v>
      </c>
      <c r="P102" s="54">
        <v>20170.904032282018</v>
      </c>
      <c r="Q102" s="54">
        <v>2.6523211321970339</v>
      </c>
      <c r="R102" s="54">
        <v>47212.493714758617</v>
      </c>
      <c r="S102" s="54">
        <v>-0.23658156601142766</v>
      </c>
      <c r="T102" s="54">
        <v>27041.589682476599</v>
      </c>
      <c r="V102" s="69">
        <f t="shared" si="8"/>
        <v>557609.63560941024</v>
      </c>
      <c r="W102" s="69">
        <f t="shared" si="9"/>
        <v>483251.73272464814</v>
      </c>
      <c r="X102" s="69">
        <f t="shared" si="6"/>
        <v>-74357.902884762123</v>
      </c>
      <c r="Z102" s="68">
        <f t="shared" si="10"/>
        <v>1</v>
      </c>
      <c r="AA102" s="68">
        <f t="shared" si="11"/>
        <v>0</v>
      </c>
      <c r="AB102" s="68">
        <f t="shared" si="7"/>
        <v>0</v>
      </c>
    </row>
    <row r="103" spans="1:28" x14ac:dyDescent="0.25">
      <c r="A103">
        <v>98</v>
      </c>
      <c r="C103" s="24">
        <v>3.4417892611549039E-4</v>
      </c>
      <c r="D103" s="24">
        <v>2.1224331203666402E-3</v>
      </c>
      <c r="E103" s="24">
        <v>5.8726665810304723E-6</v>
      </c>
      <c r="F103" s="24">
        <v>7.8235975997301218E-41</v>
      </c>
      <c r="G103" s="24">
        <v>0.65859985448777569</v>
      </c>
      <c r="H103" s="24">
        <v>0.34833816320926614</v>
      </c>
      <c r="I103" s="53">
        <v>2168.6616719149092</v>
      </c>
      <c r="J103" s="53">
        <v>3655.9712622573861</v>
      </c>
      <c r="K103" s="24">
        <v>0.4938616021896105</v>
      </c>
      <c r="L103" s="24">
        <v>0.93317463113282195</v>
      </c>
      <c r="M103" s="24">
        <v>0.96660749300611815</v>
      </c>
      <c r="O103" s="53">
        <v>3.9234588992513277</v>
      </c>
      <c r="P103" s="54">
        <v>22419.424075230607</v>
      </c>
      <c r="Q103" s="54">
        <v>4.4327344524730288</v>
      </c>
      <c r="R103" s="54">
        <v>60030.294480375058</v>
      </c>
      <c r="S103" s="54">
        <v>0.50927555322170104</v>
      </c>
      <c r="T103" s="54">
        <v>37610.870405144451</v>
      </c>
      <c r="V103" s="69">
        <f t="shared" si="8"/>
        <v>762272.35577503499</v>
      </c>
      <c r="W103" s="69">
        <f t="shared" si="9"/>
        <v>826516.59601423074</v>
      </c>
      <c r="X103" s="69">
        <f t="shared" si="6"/>
        <v>64244.240239195758</v>
      </c>
      <c r="Z103" s="68">
        <f t="shared" si="10"/>
        <v>0</v>
      </c>
      <c r="AA103" s="68">
        <f t="shared" si="11"/>
        <v>1</v>
      </c>
      <c r="AB103" s="68">
        <f t="shared" si="7"/>
        <v>1</v>
      </c>
    </row>
    <row r="104" spans="1:28" x14ac:dyDescent="0.25">
      <c r="A104">
        <v>99</v>
      </c>
      <c r="C104" s="24">
        <v>1.6320568657488435E-6</v>
      </c>
      <c r="D104" s="24">
        <v>6.7607462438235011E-3</v>
      </c>
      <c r="E104" s="24">
        <v>1.5785017805081125E-6</v>
      </c>
      <c r="F104" s="24">
        <v>4.1250225457645229E-11</v>
      </c>
      <c r="G104" s="24">
        <v>0.6599613321694292</v>
      </c>
      <c r="H104" s="24">
        <v>0.27959469494769407</v>
      </c>
      <c r="I104" s="53">
        <v>1575.285014299013</v>
      </c>
      <c r="J104" s="53">
        <v>4494.8912042515203</v>
      </c>
      <c r="K104" s="24">
        <v>0.73692747586469243</v>
      </c>
      <c r="L104" s="24">
        <v>0.93225107646852534</v>
      </c>
      <c r="M104" s="24">
        <v>0.90686539435313795</v>
      </c>
      <c r="O104" s="53">
        <v>4.3296094914036027</v>
      </c>
      <c r="P104" s="54">
        <v>18935.854574972818</v>
      </c>
      <c r="Q104" s="54">
        <v>4.5844794792709775</v>
      </c>
      <c r="R104" s="54">
        <v>39359.596812574375</v>
      </c>
      <c r="S104" s="54">
        <v>0.2548699878673748</v>
      </c>
      <c r="T104" s="54">
        <v>20423.742237601557</v>
      </c>
      <c r="V104" s="69">
        <f t="shared" si="8"/>
        <v>846986.04370574781</v>
      </c>
      <c r="W104" s="69">
        <f t="shared" si="9"/>
        <v>877536.29904162104</v>
      </c>
      <c r="X104" s="69">
        <f t="shared" si="6"/>
        <v>30550.255335873404</v>
      </c>
      <c r="Z104" s="68">
        <f t="shared" si="10"/>
        <v>0</v>
      </c>
      <c r="AA104" s="68">
        <f t="shared" si="11"/>
        <v>1</v>
      </c>
      <c r="AB104" s="68">
        <f t="shared" si="7"/>
        <v>1</v>
      </c>
    </row>
    <row r="105" spans="1:28" x14ac:dyDescent="0.25">
      <c r="A105">
        <v>100</v>
      </c>
      <c r="C105" s="24">
        <v>1.2597766532164378E-2</v>
      </c>
      <c r="D105" s="24">
        <v>2.9153929030259501E-5</v>
      </c>
      <c r="E105" s="24">
        <v>9.207989784064027E-36</v>
      </c>
      <c r="F105" s="24">
        <v>1.2076462496322621E-35</v>
      </c>
      <c r="G105" s="24">
        <v>0.62594344036804683</v>
      </c>
      <c r="H105" s="24">
        <v>0.21082634848060444</v>
      </c>
      <c r="I105" s="53">
        <v>2137.7705442054003</v>
      </c>
      <c r="J105" s="53">
        <v>4900.4182881054949</v>
      </c>
      <c r="K105" s="24">
        <v>0.57198080005030583</v>
      </c>
      <c r="L105" s="24">
        <v>0.65422685618230514</v>
      </c>
      <c r="M105" s="24">
        <v>0.8201410650364227</v>
      </c>
      <c r="O105" s="53">
        <v>3.1662159895086779</v>
      </c>
      <c r="P105" s="54">
        <v>15584.072402851067</v>
      </c>
      <c r="Q105" s="54">
        <v>3.2492005531965273</v>
      </c>
      <c r="R105" s="54">
        <v>35902.712909336624</v>
      </c>
      <c r="S105" s="54">
        <v>8.2984563687849455E-2</v>
      </c>
      <c r="T105" s="54">
        <v>20318.640506485557</v>
      </c>
      <c r="V105" s="69">
        <f t="shared" si="8"/>
        <v>617659.12549888447</v>
      </c>
      <c r="W105" s="69">
        <f t="shared" si="9"/>
        <v>613937.39772996877</v>
      </c>
      <c r="X105" s="69">
        <f t="shared" si="6"/>
        <v>-3721.7277689156654</v>
      </c>
      <c r="Z105" s="68">
        <f t="shared" si="10"/>
        <v>1</v>
      </c>
      <c r="AA105" s="68">
        <f t="shared" si="11"/>
        <v>0</v>
      </c>
      <c r="AB105" s="68">
        <f t="shared" si="7"/>
        <v>0</v>
      </c>
    </row>
    <row r="106" spans="1:28" x14ac:dyDescent="0.25">
      <c r="A106">
        <v>101</v>
      </c>
      <c r="C106" s="24">
        <v>2.6052712998544503E-2</v>
      </c>
      <c r="D106" s="24">
        <v>4.8003956673649344E-5</v>
      </c>
      <c r="E106" s="24">
        <v>7.4620629281655167E-16</v>
      </c>
      <c r="F106" s="24">
        <v>8.9359516207482327E-20</v>
      </c>
      <c r="G106" s="24">
        <v>0.51784703656752806</v>
      </c>
      <c r="H106" s="24">
        <v>0.33522352668140976</v>
      </c>
      <c r="I106" s="53">
        <v>2247.6880819830458</v>
      </c>
      <c r="J106" s="53">
        <v>6018.1507709553534</v>
      </c>
      <c r="K106" s="24">
        <v>0.72772993795779017</v>
      </c>
      <c r="L106" s="24">
        <v>0.85191291549937087</v>
      </c>
      <c r="M106" s="24">
        <v>0.74368663907844845</v>
      </c>
      <c r="O106" s="53">
        <v>4.1079625477135107</v>
      </c>
      <c r="P106" s="54">
        <v>14330.982392334743</v>
      </c>
      <c r="Q106" s="54">
        <v>4.197173383646434</v>
      </c>
      <c r="R106" s="54">
        <v>59764.062049081826</v>
      </c>
      <c r="S106" s="54">
        <v>8.9210835932923338E-2</v>
      </c>
      <c r="T106" s="54">
        <v>45433.079656747082</v>
      </c>
      <c r="V106" s="69">
        <f t="shared" si="8"/>
        <v>807261.52715036739</v>
      </c>
      <c r="W106" s="69">
        <f t="shared" si="9"/>
        <v>779670.61468020501</v>
      </c>
      <c r="X106" s="69">
        <f t="shared" si="6"/>
        <v>-27590.912470162413</v>
      </c>
      <c r="Z106" s="68">
        <f t="shared" si="10"/>
        <v>1</v>
      </c>
      <c r="AA106" s="68">
        <f t="shared" si="11"/>
        <v>0</v>
      </c>
      <c r="AB106" s="68">
        <f t="shared" si="7"/>
        <v>0</v>
      </c>
    </row>
    <row r="107" spans="1:28" x14ac:dyDescent="0.25">
      <c r="A107">
        <v>102</v>
      </c>
      <c r="C107" s="24">
        <v>1.8560419762334543E-6</v>
      </c>
      <c r="D107" s="24">
        <v>2.7662027827417557E-3</v>
      </c>
      <c r="E107" s="24">
        <v>1.4002197823646753E-14</v>
      </c>
      <c r="F107" s="24">
        <v>1.1273868267446404E-20</v>
      </c>
      <c r="G107" s="24">
        <v>0.62701486313271637</v>
      </c>
      <c r="H107" s="24">
        <v>0.22478506974860835</v>
      </c>
      <c r="I107" s="53">
        <v>1881.2137277279883</v>
      </c>
      <c r="J107" s="53">
        <v>6356.035458052389</v>
      </c>
      <c r="K107" s="24">
        <v>0.55048789696411926</v>
      </c>
      <c r="L107" s="24">
        <v>0.81440219326981467</v>
      </c>
      <c r="M107" s="24">
        <v>0.93158673880083165</v>
      </c>
      <c r="O107" s="53">
        <v>3.6713510924443038</v>
      </c>
      <c r="P107" s="54">
        <v>21321.783088764871</v>
      </c>
      <c r="Q107" s="54">
        <v>3.9974985904845397</v>
      </c>
      <c r="R107" s="54">
        <v>31052.178416674833</v>
      </c>
      <c r="S107" s="54">
        <v>0.32614749804023591</v>
      </c>
      <c r="T107" s="54">
        <v>9730.3953279099624</v>
      </c>
      <c r="V107" s="69">
        <f t="shared" si="8"/>
        <v>712948.43540009588</v>
      </c>
      <c r="W107" s="69">
        <f t="shared" si="9"/>
        <v>768447.53968023311</v>
      </c>
      <c r="X107" s="69">
        <f t="shared" si="6"/>
        <v>55499.104280137224</v>
      </c>
      <c r="Z107" s="68">
        <f t="shared" si="10"/>
        <v>0</v>
      </c>
      <c r="AA107" s="68">
        <f t="shared" si="11"/>
        <v>1</v>
      </c>
      <c r="AB107" s="68">
        <f t="shared" si="7"/>
        <v>1</v>
      </c>
    </row>
    <row r="108" spans="1:28" x14ac:dyDescent="0.25">
      <c r="A108">
        <v>103</v>
      </c>
      <c r="C108" s="24">
        <v>6.0899748677163412E-3</v>
      </c>
      <c r="D108" s="24">
        <v>8.5114195921830449E-3</v>
      </c>
      <c r="E108" s="24">
        <v>3.0052627053578362E-12</v>
      </c>
      <c r="F108" s="24">
        <v>1.4172585327543175E-10</v>
      </c>
      <c r="G108" s="24">
        <v>0.66749031122711278</v>
      </c>
      <c r="H108" s="24">
        <v>0.25728307289048213</v>
      </c>
      <c r="I108" s="53">
        <v>1808.9317521566468</v>
      </c>
      <c r="J108" s="53">
        <v>4460.9277557080668</v>
      </c>
      <c r="K108" s="24">
        <v>0.595076620185223</v>
      </c>
      <c r="L108" s="24">
        <v>0.96206668450098376</v>
      </c>
      <c r="M108" s="24">
        <v>0.77833169719262552</v>
      </c>
      <c r="O108" s="53">
        <v>4.1602763541697669</v>
      </c>
      <c r="P108" s="54">
        <v>17011.586342156457</v>
      </c>
      <c r="Q108" s="54">
        <v>4.6735491453842029</v>
      </c>
      <c r="R108" s="54">
        <v>34321.294402611689</v>
      </c>
      <c r="S108" s="54">
        <v>0.51327279121443592</v>
      </c>
      <c r="T108" s="54">
        <v>17309.708060455232</v>
      </c>
      <c r="V108" s="69">
        <f t="shared" si="8"/>
        <v>815043.68449179688</v>
      </c>
      <c r="W108" s="69">
        <f t="shared" si="9"/>
        <v>900388.53467422887</v>
      </c>
      <c r="X108" s="69">
        <f t="shared" si="6"/>
        <v>85344.850182431954</v>
      </c>
      <c r="Z108" s="68">
        <f t="shared" si="10"/>
        <v>0</v>
      </c>
      <c r="AA108" s="68">
        <f t="shared" si="11"/>
        <v>1</v>
      </c>
      <c r="AB108" s="68">
        <f t="shared" si="7"/>
        <v>1</v>
      </c>
    </row>
    <row r="109" spans="1:28" x14ac:dyDescent="0.25">
      <c r="A109">
        <v>104</v>
      </c>
      <c r="C109" s="24">
        <v>1.131917393464299E-4</v>
      </c>
      <c r="D109" s="24">
        <v>1.0615067558591808E-3</v>
      </c>
      <c r="E109" s="24">
        <v>3.512736383327864E-47</v>
      </c>
      <c r="F109" s="24">
        <v>3.0108858047883658E-6</v>
      </c>
      <c r="G109" s="24">
        <v>0.46180195946020541</v>
      </c>
      <c r="H109" s="24">
        <v>0.28701804244902784</v>
      </c>
      <c r="I109" s="53">
        <v>1965.857751415919</v>
      </c>
      <c r="J109" s="53">
        <v>5918.2806833253726</v>
      </c>
      <c r="K109" s="24">
        <v>0.73082504993159025</v>
      </c>
      <c r="L109" s="24">
        <v>0.83782887624276359</v>
      </c>
      <c r="M109" s="24">
        <v>0.9680842708390428</v>
      </c>
      <c r="O109" s="53">
        <v>4.0993718612832364</v>
      </c>
      <c r="P109" s="54">
        <v>12879.951809757256</v>
      </c>
      <c r="Q109" s="54">
        <v>4.1470282739537163</v>
      </c>
      <c r="R109" s="54">
        <v>33736.758949500938</v>
      </c>
      <c r="S109" s="54">
        <v>4.7656412670479931E-2</v>
      </c>
      <c r="T109" s="54">
        <v>20856.80713974368</v>
      </c>
      <c r="V109" s="69">
        <f t="shared" si="8"/>
        <v>806994.42044689006</v>
      </c>
      <c r="W109" s="69">
        <f t="shared" si="9"/>
        <v>795668.89584124228</v>
      </c>
      <c r="X109" s="69">
        <f t="shared" si="6"/>
        <v>-11325.524605647694</v>
      </c>
      <c r="Z109" s="68">
        <f t="shared" si="10"/>
        <v>1</v>
      </c>
      <c r="AA109" s="68">
        <f t="shared" si="11"/>
        <v>0</v>
      </c>
      <c r="AB109" s="68">
        <f t="shared" si="7"/>
        <v>0</v>
      </c>
    </row>
    <row r="110" spans="1:28" x14ac:dyDescent="0.25">
      <c r="A110">
        <v>105</v>
      </c>
      <c r="C110" s="24">
        <v>6.6730971024246966E-3</v>
      </c>
      <c r="D110" s="24">
        <v>7.3624610734119392E-6</v>
      </c>
      <c r="E110" s="24">
        <v>1.9977376624190368E-19</v>
      </c>
      <c r="F110" s="24">
        <v>2.7322577100807877E-7</v>
      </c>
      <c r="G110" s="24">
        <v>0.50968544769525981</v>
      </c>
      <c r="H110" s="24">
        <v>0.4071171017578602</v>
      </c>
      <c r="I110" s="53">
        <v>1792.5107331396919</v>
      </c>
      <c r="J110" s="53">
        <v>5461.1263556023941</v>
      </c>
      <c r="K110" s="24">
        <v>0.67915867220105719</v>
      </c>
      <c r="L110" s="24">
        <v>0.9188430566808734</v>
      </c>
      <c r="M110" s="24">
        <v>0.85656033697304723</v>
      </c>
      <c r="O110" s="53">
        <v>4.3502441723788072</v>
      </c>
      <c r="P110" s="54">
        <v>18385.345753475398</v>
      </c>
      <c r="Q110" s="54">
        <v>4.4314658616599392</v>
      </c>
      <c r="R110" s="54">
        <v>64262.693940479367</v>
      </c>
      <c r="S110" s="54">
        <v>8.1221689281131937E-2</v>
      </c>
      <c r="T110" s="54">
        <v>45877.348187003969</v>
      </c>
      <c r="V110" s="69">
        <f t="shared" si="8"/>
        <v>851663.48872228595</v>
      </c>
      <c r="W110" s="69">
        <f t="shared" si="9"/>
        <v>822030.47839150857</v>
      </c>
      <c r="X110" s="69">
        <f t="shared" si="6"/>
        <v>-29633.010330777579</v>
      </c>
      <c r="Z110" s="68">
        <f t="shared" si="10"/>
        <v>1</v>
      </c>
      <c r="AA110" s="68">
        <f t="shared" si="11"/>
        <v>0</v>
      </c>
      <c r="AB110" s="68">
        <f t="shared" si="7"/>
        <v>0</v>
      </c>
    </row>
    <row r="111" spans="1:28" x14ac:dyDescent="0.25">
      <c r="A111">
        <v>106</v>
      </c>
      <c r="C111" s="24">
        <v>1.3540975997883287E-4</v>
      </c>
      <c r="D111" s="24">
        <v>3.2942768129131661E-3</v>
      </c>
      <c r="E111" s="24">
        <v>1.0580999119658152E-5</v>
      </c>
      <c r="F111" s="24">
        <v>3.4857432152610841E-40</v>
      </c>
      <c r="G111" s="24">
        <v>0.72634849049226391</v>
      </c>
      <c r="H111" s="24">
        <v>0.22611741423147658</v>
      </c>
      <c r="I111" s="53">
        <v>2075.8592974834819</v>
      </c>
      <c r="J111" s="53">
        <v>4588.9832136041796</v>
      </c>
      <c r="K111" s="24">
        <v>0.54304523460001997</v>
      </c>
      <c r="L111" s="24">
        <v>0.99074107489694097</v>
      </c>
      <c r="M111" s="24">
        <v>0.89464533511343425</v>
      </c>
      <c r="O111" s="53">
        <v>4.0053921382994906</v>
      </c>
      <c r="P111" s="54">
        <v>16605.714791991002</v>
      </c>
      <c r="Q111" s="54">
        <v>4.8210465232052684</v>
      </c>
      <c r="R111" s="54">
        <v>37187.107353192048</v>
      </c>
      <c r="S111" s="54">
        <v>0.8156543849057778</v>
      </c>
      <c r="T111" s="54">
        <v>20581.392561201046</v>
      </c>
      <c r="V111" s="69">
        <f t="shared" si="8"/>
        <v>784472.71286790702</v>
      </c>
      <c r="W111" s="69">
        <f t="shared" si="9"/>
        <v>927022.19728786161</v>
      </c>
      <c r="X111" s="69">
        <f t="shared" si="6"/>
        <v>142549.48441995453</v>
      </c>
      <c r="Z111" s="68">
        <f t="shared" si="10"/>
        <v>0</v>
      </c>
      <c r="AA111" s="68">
        <f t="shared" si="11"/>
        <v>1</v>
      </c>
      <c r="AB111" s="68">
        <f t="shared" si="7"/>
        <v>1</v>
      </c>
    </row>
    <row r="112" spans="1:28" x14ac:dyDescent="0.25">
      <c r="A112">
        <v>107</v>
      </c>
      <c r="C112" s="24">
        <v>9.1384174357078685E-4</v>
      </c>
      <c r="D112" s="24">
        <v>6.0368959150618462E-3</v>
      </c>
      <c r="E112" s="24">
        <v>4.5380576980669218E-6</v>
      </c>
      <c r="F112" s="24">
        <v>2.4622264270235086E-37</v>
      </c>
      <c r="G112" s="24">
        <v>0.53514909964601554</v>
      </c>
      <c r="H112" s="24">
        <v>0.14458277364467964</v>
      </c>
      <c r="I112" s="53">
        <v>1745.3219505135489</v>
      </c>
      <c r="J112" s="53">
        <v>5852.0173874825841</v>
      </c>
      <c r="K112" s="24">
        <v>0.62788741286922356</v>
      </c>
      <c r="L112" s="24">
        <v>0.80956813421709828</v>
      </c>
      <c r="M112" s="24">
        <v>0.57204257928890234</v>
      </c>
      <c r="O112" s="53">
        <v>3.8460132866909094</v>
      </c>
      <c r="P112" s="54">
        <v>16220.691201272912</v>
      </c>
      <c r="Q112" s="54">
        <v>4.0090368200232325</v>
      </c>
      <c r="R112" s="54">
        <v>21516.06033240931</v>
      </c>
      <c r="S112" s="54">
        <v>0.16302353333232311</v>
      </c>
      <c r="T112" s="54">
        <v>5295.3691311363982</v>
      </c>
      <c r="V112" s="69">
        <f t="shared" si="8"/>
        <v>752981.96613690897</v>
      </c>
      <c r="W112" s="69">
        <f t="shared" si="9"/>
        <v>780291.30367223721</v>
      </c>
      <c r="X112" s="69">
        <f t="shared" si="6"/>
        <v>27309.337535328224</v>
      </c>
      <c r="Z112" s="68">
        <f t="shared" si="10"/>
        <v>0</v>
      </c>
      <c r="AA112" s="68">
        <f t="shared" si="11"/>
        <v>1</v>
      </c>
      <c r="AB112" s="68">
        <f t="shared" si="7"/>
        <v>1</v>
      </c>
    </row>
    <row r="113" spans="1:28" x14ac:dyDescent="0.25">
      <c r="A113">
        <v>108</v>
      </c>
      <c r="C113" s="24">
        <v>2.143748138513768E-2</v>
      </c>
      <c r="D113" s="24">
        <v>1.4067221977713817E-3</v>
      </c>
      <c r="E113" s="24">
        <v>7.1100960653991407E-5</v>
      </c>
      <c r="F113" s="24">
        <v>9.2238625042259328E-37</v>
      </c>
      <c r="G113" s="24">
        <v>0.60219704871145507</v>
      </c>
      <c r="H113" s="24">
        <v>0.32401293019655242</v>
      </c>
      <c r="I113" s="53">
        <v>1348.1513666625603</v>
      </c>
      <c r="J113" s="53">
        <v>4758.9713336339082</v>
      </c>
      <c r="K113" s="24">
        <v>0.86184893734982815</v>
      </c>
      <c r="L113" s="24">
        <v>0.95531116346816991</v>
      </c>
      <c r="M113" s="24">
        <v>0.65581147187381672</v>
      </c>
      <c r="O113" s="53">
        <v>4.5874590717966237</v>
      </c>
      <c r="P113" s="54">
        <v>20547.84283773668</v>
      </c>
      <c r="Q113" s="54">
        <v>4.7290990421897101</v>
      </c>
      <c r="R113" s="54">
        <v>47591.436854168038</v>
      </c>
      <c r="S113" s="54">
        <v>0.1416399703930864</v>
      </c>
      <c r="T113" s="54">
        <v>27043.594016431358</v>
      </c>
      <c r="V113" s="69">
        <f t="shared" si="8"/>
        <v>896943.97152158804</v>
      </c>
      <c r="W113" s="69">
        <f t="shared" si="9"/>
        <v>898228.37158377399</v>
      </c>
      <c r="X113" s="69">
        <f t="shared" si="6"/>
        <v>1284.4000621859232</v>
      </c>
      <c r="Z113" s="68">
        <f t="shared" si="10"/>
        <v>0</v>
      </c>
      <c r="AA113" s="68">
        <f t="shared" si="11"/>
        <v>1</v>
      </c>
      <c r="AB113" s="68">
        <f t="shared" si="7"/>
        <v>1</v>
      </c>
    </row>
    <row r="114" spans="1:28" x14ac:dyDescent="0.25">
      <c r="A114">
        <v>109</v>
      </c>
      <c r="C114" s="24">
        <v>3.6848315267360432E-3</v>
      </c>
      <c r="D114" s="24">
        <v>7.228781806703937E-5</v>
      </c>
      <c r="E114" s="24">
        <v>2.7885645992220246E-17</v>
      </c>
      <c r="F114" s="24">
        <v>2.4993751512880635E-10</v>
      </c>
      <c r="G114" s="24">
        <v>0.68487769581097724</v>
      </c>
      <c r="H114" s="24">
        <v>0.26413660383527537</v>
      </c>
      <c r="I114" s="53">
        <v>1566.3630666058623</v>
      </c>
      <c r="J114" s="53">
        <v>5999.3497610284576</v>
      </c>
      <c r="K114" s="24">
        <v>0.73510373710727206</v>
      </c>
      <c r="L114" s="24">
        <v>0.68013363238782876</v>
      </c>
      <c r="M114" s="24">
        <v>0.81325960361025129</v>
      </c>
      <c r="O114" s="53">
        <v>3.5070463744928655</v>
      </c>
      <c r="P114" s="54">
        <v>16703.043859539717</v>
      </c>
      <c r="Q114" s="54">
        <v>3.4204348946285901</v>
      </c>
      <c r="R114" s="54">
        <v>34484.320776535606</v>
      </c>
      <c r="S114" s="54">
        <v>-8.661147986427542E-2</v>
      </c>
      <c r="T114" s="54">
        <v>17781.276916995888</v>
      </c>
      <c r="V114" s="69">
        <f t="shared" si="8"/>
        <v>684706.23103903339</v>
      </c>
      <c r="W114" s="69">
        <f t="shared" si="9"/>
        <v>649602.65814918233</v>
      </c>
      <c r="X114" s="69">
        <f t="shared" si="6"/>
        <v>-35103.57288985097</v>
      </c>
      <c r="Z114" s="68">
        <f t="shared" si="10"/>
        <v>1</v>
      </c>
      <c r="AA114" s="68">
        <f t="shared" si="11"/>
        <v>0</v>
      </c>
      <c r="AB114" s="68">
        <f t="shared" si="7"/>
        <v>0</v>
      </c>
    </row>
    <row r="115" spans="1:28" x14ac:dyDescent="0.25">
      <c r="A115">
        <v>110</v>
      </c>
      <c r="C115" s="24">
        <v>1.8523484272414681E-4</v>
      </c>
      <c r="D115" s="24">
        <v>1.7791915714879004E-4</v>
      </c>
      <c r="E115" s="24">
        <v>3.4065276239341919E-90</v>
      </c>
      <c r="F115" s="24">
        <v>2.3457398776838279E-4</v>
      </c>
      <c r="G115" s="24">
        <v>0.6347467593893108</v>
      </c>
      <c r="H115" s="24">
        <v>0.23960420354995948</v>
      </c>
      <c r="I115" s="53">
        <v>2155.4458519887676</v>
      </c>
      <c r="J115" s="53">
        <v>5921.0720224467605</v>
      </c>
      <c r="K115" s="24">
        <v>0.67398395147328316</v>
      </c>
      <c r="L115" s="24">
        <v>0.99017759189071652</v>
      </c>
      <c r="M115" s="24">
        <v>0.86317090295749155</v>
      </c>
      <c r="O115" s="53">
        <v>4.4577955976109234</v>
      </c>
      <c r="P115" s="54">
        <v>19317.374448685183</v>
      </c>
      <c r="Q115" s="54">
        <v>4.8497622253284227</v>
      </c>
      <c r="R115" s="54">
        <v>40452.678114835224</v>
      </c>
      <c r="S115" s="54">
        <v>0.39196662771749935</v>
      </c>
      <c r="T115" s="54">
        <v>21135.303666150041</v>
      </c>
      <c r="V115" s="69">
        <f t="shared" si="8"/>
        <v>872241.74507349951</v>
      </c>
      <c r="W115" s="69">
        <f t="shared" si="9"/>
        <v>929499.76695084933</v>
      </c>
      <c r="X115" s="69">
        <f t="shared" si="6"/>
        <v>57258.021877349835</v>
      </c>
      <c r="Z115" s="68">
        <f t="shared" si="10"/>
        <v>0</v>
      </c>
      <c r="AA115" s="68">
        <f t="shared" si="11"/>
        <v>1</v>
      </c>
      <c r="AB115" s="68">
        <f t="shared" si="7"/>
        <v>1</v>
      </c>
    </row>
    <row r="116" spans="1:28" x14ac:dyDescent="0.25">
      <c r="A116">
        <v>111</v>
      </c>
      <c r="C116" s="24">
        <v>3.6910107474230625E-4</v>
      </c>
      <c r="D116" s="24">
        <v>2.3985284830347746E-4</v>
      </c>
      <c r="E116" s="24">
        <v>2.4754197008987184E-29</v>
      </c>
      <c r="F116" s="24">
        <v>4.1605829892432666E-11</v>
      </c>
      <c r="G116" s="24">
        <v>0.57198136409537359</v>
      </c>
      <c r="H116" s="24">
        <v>0.2628748702008965</v>
      </c>
      <c r="I116" s="53">
        <v>1708.0956320957582</v>
      </c>
      <c r="J116" s="53">
        <v>5411.9333897569559</v>
      </c>
      <c r="K116" s="24">
        <v>0.64961015137731826</v>
      </c>
      <c r="L116" s="24">
        <v>0.85879783953729927</v>
      </c>
      <c r="M116" s="24">
        <v>0.80046800614028335</v>
      </c>
      <c r="O116" s="53">
        <v>4.031368005913146</v>
      </c>
      <c r="P116" s="54">
        <v>13168.51077850221</v>
      </c>
      <c r="Q116" s="54">
        <v>4.2193938199380714</v>
      </c>
      <c r="R116" s="54">
        <v>35656.284583213237</v>
      </c>
      <c r="S116" s="54">
        <v>0.18802581402492535</v>
      </c>
      <c r="T116" s="54">
        <v>22487.773804711025</v>
      </c>
      <c r="V116" s="69">
        <f t="shared" si="8"/>
        <v>793105.09040412703</v>
      </c>
      <c r="W116" s="69">
        <f t="shared" si="9"/>
        <v>808222.47940440103</v>
      </c>
      <c r="X116" s="69">
        <f t="shared" si="6"/>
        <v>15117.389000274045</v>
      </c>
      <c r="Z116" s="68">
        <f t="shared" si="10"/>
        <v>0</v>
      </c>
      <c r="AA116" s="68">
        <f t="shared" si="11"/>
        <v>1</v>
      </c>
      <c r="AB116" s="68">
        <f t="shared" si="7"/>
        <v>1</v>
      </c>
    </row>
    <row r="117" spans="1:28" x14ac:dyDescent="0.25">
      <c r="A117">
        <v>112</v>
      </c>
      <c r="C117" s="24">
        <v>1.2907364690165225E-5</v>
      </c>
      <c r="D117" s="24">
        <v>1.3803324147222962E-2</v>
      </c>
      <c r="E117" s="24">
        <v>8.3857646624295734E-3</v>
      </c>
      <c r="F117" s="24">
        <v>1.0999180507193712E-20</v>
      </c>
      <c r="G117" s="24">
        <v>0.57891040539880789</v>
      </c>
      <c r="H117" s="24">
        <v>0.26905352683578032</v>
      </c>
      <c r="I117" s="53">
        <v>1960.8711902140208</v>
      </c>
      <c r="J117" s="53">
        <v>3559.91509279195</v>
      </c>
      <c r="K117" s="24">
        <v>0.67732595382856231</v>
      </c>
      <c r="L117" s="24">
        <v>0.83573262450262142</v>
      </c>
      <c r="M117" s="24">
        <v>0.85933108912565803</v>
      </c>
      <c r="O117" s="53">
        <v>3.9132271522920821</v>
      </c>
      <c r="P117" s="54">
        <v>16813.28077688723</v>
      </c>
      <c r="Q117" s="54">
        <v>4.1225019267200222</v>
      </c>
      <c r="R117" s="54">
        <v>45422.819457236874</v>
      </c>
      <c r="S117" s="54">
        <v>0.20927477442794018</v>
      </c>
      <c r="T117" s="54">
        <v>28609.538680349644</v>
      </c>
      <c r="V117" s="69">
        <f t="shared" si="8"/>
        <v>765832.14968152926</v>
      </c>
      <c r="W117" s="69">
        <f t="shared" si="9"/>
        <v>779077.56588676758</v>
      </c>
      <c r="X117" s="69">
        <f t="shared" si="6"/>
        <v>13245.416205238391</v>
      </c>
      <c r="Z117" s="68">
        <f t="shared" si="10"/>
        <v>0</v>
      </c>
      <c r="AA117" s="68">
        <f t="shared" si="11"/>
        <v>1</v>
      </c>
      <c r="AB117" s="68">
        <f t="shared" si="7"/>
        <v>1</v>
      </c>
    </row>
    <row r="118" spans="1:28" x14ac:dyDescent="0.25">
      <c r="A118">
        <v>113</v>
      </c>
      <c r="C118" s="24">
        <v>2.0611800666103797E-4</v>
      </c>
      <c r="D118" s="24">
        <v>8.3710698306792564E-3</v>
      </c>
      <c r="E118" s="24">
        <v>7.9373263737911429E-30</v>
      </c>
      <c r="F118" s="24">
        <v>3.0636697280071197E-19</v>
      </c>
      <c r="G118" s="24">
        <v>0.73132461151720585</v>
      </c>
      <c r="H118" s="24">
        <v>0.26357538542705883</v>
      </c>
      <c r="I118" s="53">
        <v>1889.7795915917357</v>
      </c>
      <c r="J118" s="53">
        <v>4634.439215052982</v>
      </c>
      <c r="K118" s="24">
        <v>0.66631112101481493</v>
      </c>
      <c r="L118" s="24">
        <v>0.6448425703850087</v>
      </c>
      <c r="M118" s="24">
        <v>0.95831529967249063</v>
      </c>
      <c r="O118" s="53">
        <v>3.271109597363155</v>
      </c>
      <c r="P118" s="54">
        <v>20823.93077803465</v>
      </c>
      <c r="Q118" s="54">
        <v>3.2484297097664552</v>
      </c>
      <c r="R118" s="54">
        <v>35683.909759549715</v>
      </c>
      <c r="S118" s="54">
        <v>-2.267988759669981E-2</v>
      </c>
      <c r="T118" s="54">
        <v>14859.978981515065</v>
      </c>
      <c r="V118" s="69">
        <f t="shared" si="8"/>
        <v>633397.98869459634</v>
      </c>
      <c r="W118" s="69">
        <f t="shared" si="9"/>
        <v>614002.0321937413</v>
      </c>
      <c r="X118" s="69">
        <f t="shared" si="6"/>
        <v>-19395.956500855027</v>
      </c>
      <c r="Z118" s="68">
        <f t="shared" si="10"/>
        <v>1</v>
      </c>
      <c r="AA118" s="68">
        <f t="shared" si="11"/>
        <v>0</v>
      </c>
      <c r="AB118" s="68">
        <f t="shared" si="7"/>
        <v>0</v>
      </c>
    </row>
    <row r="119" spans="1:28" x14ac:dyDescent="0.25">
      <c r="A119">
        <v>114</v>
      </c>
      <c r="C119" s="24">
        <v>3.3662557050533959E-5</v>
      </c>
      <c r="D119" s="24">
        <v>6.4436513664070105E-3</v>
      </c>
      <c r="E119" s="24">
        <v>3.9702039866092125E-35</v>
      </c>
      <c r="F119" s="24">
        <v>4.8107325985927274E-22</v>
      </c>
      <c r="G119" s="24">
        <v>0.62040807767918371</v>
      </c>
      <c r="H119" s="24">
        <v>0.22976165879560351</v>
      </c>
      <c r="I119" s="53">
        <v>1843.7891526341703</v>
      </c>
      <c r="J119" s="53">
        <v>5028.095274741263</v>
      </c>
      <c r="K119" s="24">
        <v>0.875820812472479</v>
      </c>
      <c r="L119" s="24">
        <v>0.983702052906681</v>
      </c>
      <c r="M119" s="24">
        <v>0.66798414851170451</v>
      </c>
      <c r="O119" s="53">
        <v>4.7582965289184536</v>
      </c>
      <c r="P119" s="54">
        <v>18697.136809611005</v>
      </c>
      <c r="Q119" s="54">
        <v>4.873931183578148</v>
      </c>
      <c r="R119" s="54">
        <v>26931.01250076115</v>
      </c>
      <c r="S119" s="54">
        <v>0.11563465465969447</v>
      </c>
      <c r="T119" s="54">
        <v>8233.8756911501441</v>
      </c>
      <c r="V119" s="69">
        <f t="shared" si="8"/>
        <v>932962.16897407977</v>
      </c>
      <c r="W119" s="69">
        <f t="shared" si="9"/>
        <v>947855.22421486839</v>
      </c>
      <c r="X119" s="69">
        <f t="shared" si="6"/>
        <v>14893.055240788748</v>
      </c>
      <c r="Z119" s="68">
        <f t="shared" si="10"/>
        <v>0</v>
      </c>
      <c r="AA119" s="68">
        <f t="shared" si="11"/>
        <v>1</v>
      </c>
      <c r="AB119" s="68">
        <f t="shared" si="7"/>
        <v>1</v>
      </c>
    </row>
    <row r="120" spans="1:28" x14ac:dyDescent="0.25">
      <c r="A120">
        <v>115</v>
      </c>
      <c r="C120" s="24">
        <v>8.5343870254993545E-6</v>
      </c>
      <c r="D120" s="24">
        <v>2.8710569348341375E-3</v>
      </c>
      <c r="E120" s="24">
        <v>4.6944535206872631E-20</v>
      </c>
      <c r="F120" s="24">
        <v>4.2278924352158869E-35</v>
      </c>
      <c r="G120" s="24">
        <v>0.51903712897816034</v>
      </c>
      <c r="H120" s="24">
        <v>0.26534840573563856</v>
      </c>
      <c r="I120" s="53">
        <v>2063.5027043226401</v>
      </c>
      <c r="J120" s="53">
        <v>5349.363205466625</v>
      </c>
      <c r="K120" s="24">
        <v>0.60464606925180509</v>
      </c>
      <c r="L120" s="24">
        <v>0.95710650733805069</v>
      </c>
      <c r="M120" s="24">
        <v>0.70539978395948288</v>
      </c>
      <c r="O120" s="53">
        <v>4.4194808558813747</v>
      </c>
      <c r="P120" s="54">
        <v>15556.878842748389</v>
      </c>
      <c r="Q120" s="54">
        <v>4.6538314243794492</v>
      </c>
      <c r="R120" s="54">
        <v>33705.253409862678</v>
      </c>
      <c r="S120" s="54">
        <v>0.23435056849807445</v>
      </c>
      <c r="T120" s="54">
        <v>18148.37456711429</v>
      </c>
      <c r="V120" s="69">
        <f t="shared" si="8"/>
        <v>868339.29233352665</v>
      </c>
      <c r="W120" s="69">
        <f t="shared" si="9"/>
        <v>897061.03146602726</v>
      </c>
      <c r="X120" s="69">
        <f t="shared" si="6"/>
        <v>28721.739132500603</v>
      </c>
      <c r="Z120" s="68">
        <f t="shared" si="10"/>
        <v>0</v>
      </c>
      <c r="AA120" s="68">
        <f t="shared" si="11"/>
        <v>1</v>
      </c>
      <c r="AB120" s="68">
        <f t="shared" si="7"/>
        <v>1</v>
      </c>
    </row>
    <row r="121" spans="1:28" x14ac:dyDescent="0.25">
      <c r="A121">
        <v>116</v>
      </c>
      <c r="C121" s="24">
        <v>9.9722075887043182E-4</v>
      </c>
      <c r="D121" s="24">
        <v>7.1610137858081103E-4</v>
      </c>
      <c r="E121" s="24">
        <v>4.3172088106440378E-25</v>
      </c>
      <c r="F121" s="24">
        <v>2.0650148258027912E-14</v>
      </c>
      <c r="G121" s="24">
        <v>0.61161008743105227</v>
      </c>
      <c r="H121" s="24">
        <v>0.33878562087139774</v>
      </c>
      <c r="I121" s="53">
        <v>2040.1487722912966</v>
      </c>
      <c r="J121" s="53">
        <v>4900.9944467724536</v>
      </c>
      <c r="K121" s="24">
        <v>0.65903976016531418</v>
      </c>
      <c r="L121" s="24">
        <v>0.86927402925523478</v>
      </c>
      <c r="M121" s="24">
        <v>0.82196511380023385</v>
      </c>
      <c r="O121" s="53">
        <v>4.0432074488651164</v>
      </c>
      <c r="P121" s="54">
        <v>22644.724758841585</v>
      </c>
      <c r="Q121" s="54">
        <v>4.23890336061194</v>
      </c>
      <c r="R121" s="54">
        <v>43985.288213768741</v>
      </c>
      <c r="S121" s="54">
        <v>0.19569591174682355</v>
      </c>
      <c r="T121" s="54">
        <v>21340.563454927156</v>
      </c>
      <c r="V121" s="69">
        <f t="shared" si="8"/>
        <v>785996.76501418173</v>
      </c>
      <c r="W121" s="69">
        <f t="shared" si="9"/>
        <v>803795.38390861929</v>
      </c>
      <c r="X121" s="69">
        <f t="shared" si="6"/>
        <v>17798.618894437554</v>
      </c>
      <c r="Z121" s="68">
        <f t="shared" si="10"/>
        <v>0</v>
      </c>
      <c r="AA121" s="68">
        <f t="shared" si="11"/>
        <v>1</v>
      </c>
      <c r="AB121" s="68">
        <f t="shared" si="7"/>
        <v>1</v>
      </c>
    </row>
    <row r="122" spans="1:28" x14ac:dyDescent="0.25">
      <c r="A122">
        <v>117</v>
      </c>
      <c r="C122" s="24">
        <v>7.7734688825448206E-4</v>
      </c>
      <c r="D122" s="24">
        <v>5.4265361749208374E-3</v>
      </c>
      <c r="E122" s="24">
        <v>8.5912020197620453E-4</v>
      </c>
      <c r="F122" s="24">
        <v>3.3762349538113412E-5</v>
      </c>
      <c r="G122" s="24">
        <v>0.48709488178583249</v>
      </c>
      <c r="H122" s="24">
        <v>0.2791229805730171</v>
      </c>
      <c r="I122" s="53">
        <v>2166.5988916039287</v>
      </c>
      <c r="J122" s="53">
        <v>5543.5657908217227</v>
      </c>
      <c r="K122" s="24">
        <v>0.58103209322104499</v>
      </c>
      <c r="L122" s="24">
        <v>0.95865229908015115</v>
      </c>
      <c r="M122" s="24">
        <v>0.94383577996097612</v>
      </c>
      <c r="O122" s="53">
        <v>4.4378399151677232</v>
      </c>
      <c r="P122" s="54">
        <v>10828.406588745285</v>
      </c>
      <c r="Q122" s="54">
        <v>4.6465732949650533</v>
      </c>
      <c r="R122" s="54">
        <v>42432.273249017133</v>
      </c>
      <c r="S122" s="54">
        <v>0.20873337979733009</v>
      </c>
      <c r="T122" s="54">
        <v>31603.866660271848</v>
      </c>
      <c r="V122" s="69">
        <f t="shared" si="8"/>
        <v>876739.57644479931</v>
      </c>
      <c r="W122" s="69">
        <f t="shared" si="9"/>
        <v>886882.38574399357</v>
      </c>
      <c r="X122" s="69">
        <f t="shared" si="6"/>
        <v>10142.80929919417</v>
      </c>
      <c r="Z122" s="68">
        <f t="shared" si="10"/>
        <v>0</v>
      </c>
      <c r="AA122" s="68">
        <f t="shared" si="11"/>
        <v>1</v>
      </c>
      <c r="AB122" s="68">
        <f t="shared" si="7"/>
        <v>1</v>
      </c>
    </row>
    <row r="123" spans="1:28" x14ac:dyDescent="0.25">
      <c r="A123">
        <v>118</v>
      </c>
      <c r="C123" s="24">
        <v>1.2036217684465483E-6</v>
      </c>
      <c r="D123" s="24">
        <v>5.8571524508070258E-4</v>
      </c>
      <c r="E123" s="24">
        <v>1.1333375930393524E-13</v>
      </c>
      <c r="F123" s="24">
        <v>5.0385562389010374E-10</v>
      </c>
      <c r="G123" s="24">
        <v>0.56467318304989589</v>
      </c>
      <c r="H123" s="24">
        <v>0.30182148058394687</v>
      </c>
      <c r="I123" s="53">
        <v>1884.5713355107475</v>
      </c>
      <c r="J123" s="53">
        <v>6204.1715467193753</v>
      </c>
      <c r="K123" s="24">
        <v>0.6263873643044281</v>
      </c>
      <c r="L123" s="24">
        <v>0.6380646187591047</v>
      </c>
      <c r="M123" s="24">
        <v>0.82923129277672758</v>
      </c>
      <c r="O123" s="53">
        <v>3.1760478122108715</v>
      </c>
      <c r="P123" s="54">
        <v>15221.984719579443</v>
      </c>
      <c r="Q123" s="54">
        <v>3.186020387901606</v>
      </c>
      <c r="R123" s="54">
        <v>42026.099542739968</v>
      </c>
      <c r="S123" s="54">
        <v>9.9725756907345087E-3</v>
      </c>
      <c r="T123" s="54">
        <v>26804.114823160526</v>
      </c>
      <c r="V123" s="69">
        <f t="shared" si="8"/>
        <v>619987.57772259484</v>
      </c>
      <c r="W123" s="69">
        <f t="shared" si="9"/>
        <v>595177.97803758131</v>
      </c>
      <c r="X123" s="69">
        <f t="shared" si="6"/>
        <v>-24809.599685013625</v>
      </c>
      <c r="Z123" s="68">
        <f t="shared" si="10"/>
        <v>1</v>
      </c>
      <c r="AA123" s="68">
        <f t="shared" si="11"/>
        <v>0</v>
      </c>
      <c r="AB123" s="68">
        <f t="shared" si="7"/>
        <v>0</v>
      </c>
    </row>
    <row r="124" spans="1:28" x14ac:dyDescent="0.25">
      <c r="A124">
        <v>119</v>
      </c>
      <c r="C124" s="24">
        <v>1.5980017826100479E-4</v>
      </c>
      <c r="D124" s="24">
        <v>4.9462661655538254E-3</v>
      </c>
      <c r="E124" s="24">
        <v>6.4104693678054684E-42</v>
      </c>
      <c r="F124" s="24">
        <v>1.6712418116071603E-9</v>
      </c>
      <c r="G124" s="24">
        <v>0.63702862782560654</v>
      </c>
      <c r="H124" s="24">
        <v>0.25109012141108045</v>
      </c>
      <c r="I124" s="53">
        <v>1955.730347725279</v>
      </c>
      <c r="J124" s="53">
        <v>5212.3688840585755</v>
      </c>
      <c r="K124" s="24">
        <v>0.46978153134511302</v>
      </c>
      <c r="L124" s="24">
        <v>0.9844983402217643</v>
      </c>
      <c r="M124" s="24">
        <v>0.95454892728208662</v>
      </c>
      <c r="O124" s="53">
        <v>4.1138641928229704</v>
      </c>
      <c r="P124" s="54">
        <v>16869.182029597123</v>
      </c>
      <c r="Q124" s="54">
        <v>4.7491699143163837</v>
      </c>
      <c r="R124" s="54">
        <v>42534.254848369936</v>
      </c>
      <c r="S124" s="54">
        <v>0.63530572149341324</v>
      </c>
      <c r="T124" s="54">
        <v>25665.072818772813</v>
      </c>
      <c r="V124" s="69">
        <f t="shared" si="8"/>
        <v>805903.65653499693</v>
      </c>
      <c r="W124" s="69">
        <f t="shared" si="9"/>
        <v>907299.72801490675</v>
      </c>
      <c r="X124" s="69">
        <f t="shared" si="6"/>
        <v>101396.07147990984</v>
      </c>
      <c r="Z124" s="68">
        <f t="shared" si="10"/>
        <v>0</v>
      </c>
      <c r="AA124" s="68">
        <f t="shared" si="11"/>
        <v>1</v>
      </c>
      <c r="AB124" s="68">
        <f t="shared" si="7"/>
        <v>1</v>
      </c>
    </row>
    <row r="125" spans="1:28" x14ac:dyDescent="0.25">
      <c r="A125">
        <v>120</v>
      </c>
      <c r="C125" s="24">
        <v>5.8406571417420298E-6</v>
      </c>
      <c r="D125" s="24">
        <v>7.6639754021612383E-3</v>
      </c>
      <c r="E125" s="24">
        <v>1.5976968355424503E-5</v>
      </c>
      <c r="F125" s="24">
        <v>2.3000595884670183E-4</v>
      </c>
      <c r="G125" s="24">
        <v>0.4643149296553617</v>
      </c>
      <c r="H125" s="24">
        <v>0.20454793641625246</v>
      </c>
      <c r="I125" s="53">
        <v>1801.5349221915403</v>
      </c>
      <c r="J125" s="53">
        <v>5623.2691734004611</v>
      </c>
      <c r="K125" s="24">
        <v>0.64535944776635767</v>
      </c>
      <c r="L125" s="24">
        <v>0.9251839531117303</v>
      </c>
      <c r="M125" s="24">
        <v>0.87699755443580019</v>
      </c>
      <c r="O125" s="53">
        <v>4.3884941787440024</v>
      </c>
      <c r="P125" s="54">
        <v>11882.818075192803</v>
      </c>
      <c r="Q125" s="54">
        <v>4.5505187607264936</v>
      </c>
      <c r="R125" s="54">
        <v>34859.354742397336</v>
      </c>
      <c r="S125" s="54">
        <v>0.16202458198249126</v>
      </c>
      <c r="T125" s="54">
        <v>22976.536667204535</v>
      </c>
      <c r="V125" s="69">
        <f t="shared" si="8"/>
        <v>865816.01767360757</v>
      </c>
      <c r="W125" s="69">
        <f t="shared" si="9"/>
        <v>875244.39740290144</v>
      </c>
      <c r="X125" s="69">
        <f t="shared" si="6"/>
        <v>9428.3797292937161</v>
      </c>
      <c r="Z125" s="68">
        <f t="shared" si="10"/>
        <v>0</v>
      </c>
      <c r="AA125" s="68">
        <f t="shared" si="11"/>
        <v>1</v>
      </c>
      <c r="AB125" s="68">
        <f t="shared" si="7"/>
        <v>1</v>
      </c>
    </row>
    <row r="126" spans="1:28" x14ac:dyDescent="0.25">
      <c r="A126">
        <v>121</v>
      </c>
      <c r="C126" s="24">
        <v>3.6866212865643844E-3</v>
      </c>
      <c r="D126" s="24">
        <v>4.1280141883604914E-4</v>
      </c>
      <c r="E126" s="24">
        <v>2.081601557790691E-10</v>
      </c>
      <c r="F126" s="24">
        <v>2.9044584018826781E-40</v>
      </c>
      <c r="G126" s="24">
        <v>0.61548294240189938</v>
      </c>
      <c r="H126" s="24">
        <v>0.39481676296148327</v>
      </c>
      <c r="I126" s="53">
        <v>1900.9444294820782</v>
      </c>
      <c r="J126" s="53">
        <v>4715.0347864517262</v>
      </c>
      <c r="K126" s="24">
        <v>0.68466774453472179</v>
      </c>
      <c r="L126" s="24">
        <v>0.75065880428724163</v>
      </c>
      <c r="M126" s="24">
        <v>0.91708231569569088</v>
      </c>
      <c r="O126" s="53">
        <v>3.6626437129466094</v>
      </c>
      <c r="P126" s="54">
        <v>16167.228673736059</v>
      </c>
      <c r="Q126" s="54">
        <v>3.7111492430359321</v>
      </c>
      <c r="R126" s="54">
        <v>44937.471256356104</v>
      </c>
      <c r="S126" s="54">
        <v>4.8505530089322679E-2</v>
      </c>
      <c r="T126" s="54">
        <v>28770.242582620045</v>
      </c>
      <c r="V126" s="69">
        <f t="shared" si="8"/>
        <v>716361.51391558582</v>
      </c>
      <c r="W126" s="69">
        <f t="shared" si="9"/>
        <v>697292.37735083036</v>
      </c>
      <c r="X126" s="69">
        <f t="shared" si="6"/>
        <v>-19069.136564755507</v>
      </c>
      <c r="Z126" s="68">
        <f t="shared" si="10"/>
        <v>1</v>
      </c>
      <c r="AA126" s="68">
        <f t="shared" si="11"/>
        <v>0</v>
      </c>
      <c r="AB126" s="68">
        <f t="shared" si="7"/>
        <v>0</v>
      </c>
    </row>
    <row r="127" spans="1:28" x14ac:dyDescent="0.25">
      <c r="A127">
        <v>122</v>
      </c>
      <c r="C127" s="24">
        <v>3.7951005793068477E-19</v>
      </c>
      <c r="D127" s="24">
        <v>1.0774678211367572E-2</v>
      </c>
      <c r="E127" s="24">
        <v>5.2746707002171433E-10</v>
      </c>
      <c r="F127" s="24">
        <v>4.4162932144597988E-7</v>
      </c>
      <c r="G127" s="24">
        <v>0.55563596878898047</v>
      </c>
      <c r="H127" s="24">
        <v>0.23406173709793687</v>
      </c>
      <c r="I127" s="53">
        <v>1659.4995737482802</v>
      </c>
      <c r="J127" s="53">
        <v>4635.1719461625071</v>
      </c>
      <c r="K127" s="24">
        <v>0.5727249365417767</v>
      </c>
      <c r="L127" s="24">
        <v>0.96001350707620159</v>
      </c>
      <c r="M127" s="24">
        <v>0.81037567022051504</v>
      </c>
      <c r="O127" s="53">
        <v>4.341446205295262</v>
      </c>
      <c r="P127" s="54">
        <v>16020.047583566618</v>
      </c>
      <c r="Q127" s="54">
        <v>4.6719150553959299</v>
      </c>
      <c r="R127" s="54">
        <v>32137.642762275369</v>
      </c>
      <c r="S127" s="54">
        <v>0.33046885010066784</v>
      </c>
      <c r="T127" s="54">
        <v>16117.595178708751</v>
      </c>
      <c r="V127" s="69">
        <f t="shared" si="8"/>
        <v>852269.19347548578</v>
      </c>
      <c r="W127" s="69">
        <f t="shared" si="9"/>
        <v>902245.36831691058</v>
      </c>
      <c r="X127" s="69">
        <f t="shared" si="6"/>
        <v>49976.174841424814</v>
      </c>
      <c r="Z127" s="68">
        <f t="shared" si="10"/>
        <v>0</v>
      </c>
      <c r="AA127" s="68">
        <f t="shared" si="11"/>
        <v>1</v>
      </c>
      <c r="AB127" s="68">
        <f t="shared" si="7"/>
        <v>1</v>
      </c>
    </row>
    <row r="128" spans="1:28" x14ac:dyDescent="0.25">
      <c r="A128">
        <v>123</v>
      </c>
      <c r="C128" s="24">
        <v>1.6143047239993908E-11</v>
      </c>
      <c r="D128" s="24">
        <v>2.243314541265029E-3</v>
      </c>
      <c r="E128" s="24">
        <v>6.8176580888473271E-16</v>
      </c>
      <c r="F128" s="24">
        <v>1.7320397960318701E-5</v>
      </c>
      <c r="G128" s="24">
        <v>0.57323269498241114</v>
      </c>
      <c r="H128" s="24">
        <v>0.20066148794926608</v>
      </c>
      <c r="I128" s="53">
        <v>2158.3945599452536</v>
      </c>
      <c r="J128" s="53">
        <v>6810.0269014637206</v>
      </c>
      <c r="K128" s="24">
        <v>0.81520191539123532</v>
      </c>
      <c r="L128" s="24">
        <v>0.93585917578058164</v>
      </c>
      <c r="M128" s="24">
        <v>0.77904553943846233</v>
      </c>
      <c r="O128" s="53">
        <v>4.5272604595357322</v>
      </c>
      <c r="P128" s="54">
        <v>16735.246801416884</v>
      </c>
      <c r="Q128" s="54">
        <v>4.6468302855378454</v>
      </c>
      <c r="R128" s="54">
        <v>33349.669499537966</v>
      </c>
      <c r="S128" s="54">
        <v>0.11956982600211319</v>
      </c>
      <c r="T128" s="54">
        <v>16614.422698121081</v>
      </c>
      <c r="V128" s="69">
        <f t="shared" si="8"/>
        <v>888716.84510572953</v>
      </c>
      <c r="W128" s="69">
        <f t="shared" si="9"/>
        <v>896016.38760803104</v>
      </c>
      <c r="X128" s="69">
        <f t="shared" si="6"/>
        <v>7299.5425023015559</v>
      </c>
      <c r="Z128" s="68">
        <f t="shared" si="10"/>
        <v>0</v>
      </c>
      <c r="AA128" s="68">
        <f t="shared" si="11"/>
        <v>1</v>
      </c>
      <c r="AB128" s="68">
        <f t="shared" si="7"/>
        <v>1</v>
      </c>
    </row>
    <row r="129" spans="1:28" x14ac:dyDescent="0.25">
      <c r="A129">
        <v>124</v>
      </c>
      <c r="C129" s="24">
        <v>4.916581825631372E-4</v>
      </c>
      <c r="D129" s="24">
        <v>4.5439873428343855E-5</v>
      </c>
      <c r="E129" s="24">
        <v>6.5186720170117241E-21</v>
      </c>
      <c r="F129" s="24">
        <v>3.9714105017608403E-26</v>
      </c>
      <c r="G129" s="24">
        <v>0.53421258345595568</v>
      </c>
      <c r="H129" s="24">
        <v>0.25107025320099419</v>
      </c>
      <c r="I129" s="53">
        <v>1553.0957907107752</v>
      </c>
      <c r="J129" s="53">
        <v>7088.0728742017527</v>
      </c>
      <c r="K129" s="24">
        <v>0.72689860499581127</v>
      </c>
      <c r="L129" s="24">
        <v>0.95029618551778439</v>
      </c>
      <c r="M129" s="24">
        <v>0.88112466499472197</v>
      </c>
      <c r="O129" s="53">
        <v>4.5061282402519893</v>
      </c>
      <c r="P129" s="54">
        <v>18632.035198484613</v>
      </c>
      <c r="Q129" s="54">
        <v>4.6766445440899274</v>
      </c>
      <c r="R129" s="54">
        <v>36837.179516804339</v>
      </c>
      <c r="S129" s="54">
        <v>0.17051630383793803</v>
      </c>
      <c r="T129" s="54">
        <v>18205.144318319726</v>
      </c>
      <c r="V129" s="69">
        <f t="shared" si="8"/>
        <v>882593.6128519132</v>
      </c>
      <c r="W129" s="69">
        <f t="shared" si="9"/>
        <v>898491.72930118116</v>
      </c>
      <c r="X129" s="69">
        <f t="shared" si="6"/>
        <v>15898.11644926788</v>
      </c>
      <c r="Z129" s="68">
        <f t="shared" si="10"/>
        <v>0</v>
      </c>
      <c r="AA129" s="68">
        <f t="shared" si="11"/>
        <v>1</v>
      </c>
      <c r="AB129" s="68">
        <f t="shared" si="7"/>
        <v>1</v>
      </c>
    </row>
    <row r="130" spans="1:28" x14ac:dyDescent="0.25">
      <c r="A130">
        <v>125</v>
      </c>
      <c r="C130" s="24">
        <v>1.8935139989529892E-3</v>
      </c>
      <c r="D130" s="24">
        <v>6.432351477167586E-3</v>
      </c>
      <c r="E130" s="24">
        <v>7.5437650448595406E-7</v>
      </c>
      <c r="F130" s="24">
        <v>1.9460203046937635E-23</v>
      </c>
      <c r="G130" s="24">
        <v>0.59012459862475108</v>
      </c>
      <c r="H130" s="24">
        <v>0.22260822196506669</v>
      </c>
      <c r="I130" s="53">
        <v>2657.4127968605944</v>
      </c>
      <c r="J130" s="53">
        <v>5402.3136457458249</v>
      </c>
      <c r="K130" s="24">
        <v>0.84674436239056283</v>
      </c>
      <c r="L130" s="24">
        <v>0.88091643135390896</v>
      </c>
      <c r="M130" s="24">
        <v>0.92584399818902452</v>
      </c>
      <c r="O130" s="53">
        <v>4.3596578921053633</v>
      </c>
      <c r="P130" s="54">
        <v>21706.467146252839</v>
      </c>
      <c r="Q130" s="54">
        <v>4.3965545654619671</v>
      </c>
      <c r="R130" s="54">
        <v>28115.262721502691</v>
      </c>
      <c r="S130" s="54">
        <v>3.6896673356603849E-2</v>
      </c>
      <c r="T130" s="54">
        <v>6408.7955752498528</v>
      </c>
      <c r="V130" s="69">
        <f t="shared" si="8"/>
        <v>850225.11127481982</v>
      </c>
      <c r="W130" s="69">
        <f t="shared" si="9"/>
        <v>851195.65037089074</v>
      </c>
      <c r="X130" s="69">
        <f t="shared" si="6"/>
        <v>970.53909607091646</v>
      </c>
      <c r="Z130" s="68">
        <f t="shared" si="10"/>
        <v>0</v>
      </c>
      <c r="AA130" s="68">
        <f t="shared" si="11"/>
        <v>1</v>
      </c>
      <c r="AB130" s="68">
        <f t="shared" si="7"/>
        <v>1</v>
      </c>
    </row>
    <row r="131" spans="1:28" x14ac:dyDescent="0.25">
      <c r="A131">
        <v>126</v>
      </c>
      <c r="C131" s="24">
        <v>2.3156189950077621E-3</v>
      </c>
      <c r="D131" s="24">
        <v>2.7173546670929971E-3</v>
      </c>
      <c r="E131" s="24">
        <v>2.2376734535312082E-5</v>
      </c>
      <c r="F131" s="24">
        <v>5.3323751277378761E-4</v>
      </c>
      <c r="G131" s="24">
        <v>0.5310271754521938</v>
      </c>
      <c r="H131" s="24">
        <v>0.27811074489256793</v>
      </c>
      <c r="I131" s="53">
        <v>1574.2671652498079</v>
      </c>
      <c r="J131" s="53">
        <v>4900.9688493704089</v>
      </c>
      <c r="K131" s="24">
        <v>0.70080477564186916</v>
      </c>
      <c r="L131" s="24">
        <v>0.98465228376312308</v>
      </c>
      <c r="M131" s="24">
        <v>0.66635121966004107</v>
      </c>
      <c r="O131" s="53">
        <v>4.6090893348361339</v>
      </c>
      <c r="P131" s="54">
        <v>14553.654017490331</v>
      </c>
      <c r="Q131" s="54">
        <v>4.8052030787903419</v>
      </c>
      <c r="R131" s="54">
        <v>45169.846683952113</v>
      </c>
      <c r="S131" s="54">
        <v>0.196113743954208</v>
      </c>
      <c r="T131" s="54">
        <v>30616.192666461782</v>
      </c>
      <c r="V131" s="69">
        <f t="shared" si="8"/>
        <v>907264.21294973639</v>
      </c>
      <c r="W131" s="69">
        <f t="shared" si="9"/>
        <v>915870.76907411625</v>
      </c>
      <c r="X131" s="69">
        <f t="shared" si="6"/>
        <v>8606.5561243798184</v>
      </c>
      <c r="Z131" s="68">
        <f t="shared" si="10"/>
        <v>0</v>
      </c>
      <c r="AA131" s="68">
        <f t="shared" si="11"/>
        <v>1</v>
      </c>
      <c r="AB131" s="68">
        <f t="shared" si="7"/>
        <v>1</v>
      </c>
    </row>
    <row r="132" spans="1:28" x14ac:dyDescent="0.25">
      <c r="A132">
        <v>127</v>
      </c>
      <c r="C132" s="24">
        <v>1.3418494102941381E-3</v>
      </c>
      <c r="D132" s="24">
        <v>2.0924471025655089E-3</v>
      </c>
      <c r="E132" s="24">
        <v>6.1452930728012056E-5</v>
      </c>
      <c r="F132" s="24">
        <v>1.1541815662371272E-17</v>
      </c>
      <c r="G132" s="24">
        <v>0.58924487053936225</v>
      </c>
      <c r="H132" s="24">
        <v>0.26008622090662381</v>
      </c>
      <c r="I132" s="53">
        <v>2204.6091507592309</v>
      </c>
      <c r="J132" s="53">
        <v>5132.8774061596569</v>
      </c>
      <c r="K132" s="24">
        <v>0.62225215583244486</v>
      </c>
      <c r="L132" s="24">
        <v>0.90343383777872055</v>
      </c>
      <c r="M132" s="24">
        <v>0.82312101126927639</v>
      </c>
      <c r="O132" s="53">
        <v>4.1409983800538992</v>
      </c>
      <c r="P132" s="54">
        <v>17878.119993463919</v>
      </c>
      <c r="Q132" s="54">
        <v>4.4173931075032193</v>
      </c>
      <c r="R132" s="54">
        <v>39170.965021821146</v>
      </c>
      <c r="S132" s="54">
        <v>0.27639472744932014</v>
      </c>
      <c r="T132" s="54">
        <v>21292.845028357227</v>
      </c>
      <c r="V132" s="69">
        <f t="shared" si="8"/>
        <v>810321.55601731583</v>
      </c>
      <c r="W132" s="69">
        <f t="shared" si="9"/>
        <v>844307.6564788227</v>
      </c>
      <c r="X132" s="69">
        <f t="shared" si="6"/>
        <v>33986.100461506794</v>
      </c>
      <c r="Z132" s="68">
        <f t="shared" si="10"/>
        <v>0</v>
      </c>
      <c r="AA132" s="68">
        <f t="shared" si="11"/>
        <v>1</v>
      </c>
      <c r="AB132" s="68">
        <f t="shared" si="7"/>
        <v>1</v>
      </c>
    </row>
    <row r="133" spans="1:28" x14ac:dyDescent="0.25">
      <c r="A133">
        <v>128</v>
      </c>
      <c r="C133" s="24">
        <v>1.6289763271071234E-4</v>
      </c>
      <c r="D133" s="24">
        <v>1.6880015067255782E-2</v>
      </c>
      <c r="E133" s="24">
        <v>1.2015371025595318E-29</v>
      </c>
      <c r="F133" s="24">
        <v>4.0367492393309225E-18</v>
      </c>
      <c r="G133" s="24">
        <v>0.50720669547798702</v>
      </c>
      <c r="H133" s="24">
        <v>0.32576800029242869</v>
      </c>
      <c r="I133" s="53">
        <v>1486.1113996976094</v>
      </c>
      <c r="J133" s="53">
        <v>4312.760990954459</v>
      </c>
      <c r="K133" s="24">
        <v>0.60283143803600614</v>
      </c>
      <c r="L133" s="24">
        <v>0.6308450464493871</v>
      </c>
      <c r="M133" s="24">
        <v>0.93917183071538246</v>
      </c>
      <c r="O133" s="53">
        <v>3.126768357562355</v>
      </c>
      <c r="P133" s="54">
        <v>13418.982692962991</v>
      </c>
      <c r="Q133" s="54">
        <v>3.1756197864972635</v>
      </c>
      <c r="R133" s="54">
        <v>49714.184915482838</v>
      </c>
      <c r="S133" s="54">
        <v>4.8851428934908459E-2</v>
      </c>
      <c r="T133" s="54">
        <v>36295.202222519845</v>
      </c>
      <c r="V133" s="69">
        <f t="shared" si="8"/>
        <v>611934.68881950807</v>
      </c>
      <c r="W133" s="69">
        <f t="shared" si="9"/>
        <v>585409.77238396986</v>
      </c>
      <c r="X133" s="69">
        <f t="shared" si="6"/>
        <v>-26524.916435538151</v>
      </c>
      <c r="Z133" s="68">
        <f t="shared" si="10"/>
        <v>1</v>
      </c>
      <c r="AA133" s="68">
        <f t="shared" si="11"/>
        <v>0</v>
      </c>
      <c r="AB133" s="68">
        <f t="shared" si="7"/>
        <v>0</v>
      </c>
    </row>
    <row r="134" spans="1:28" x14ac:dyDescent="0.25">
      <c r="A134">
        <v>129</v>
      </c>
      <c r="C134" s="24">
        <v>1.7216003317251095E-12</v>
      </c>
      <c r="D134" s="24">
        <v>3.1513590078822151E-3</v>
      </c>
      <c r="E134" s="24">
        <v>9.9419361632158143E-12</v>
      </c>
      <c r="F134" s="24">
        <v>3.072072918659503E-16</v>
      </c>
      <c r="G134" s="24">
        <v>0.60159416923553732</v>
      </c>
      <c r="H134" s="24">
        <v>0.33027632922907812</v>
      </c>
      <c r="I134" s="53">
        <v>1496.6391981950246</v>
      </c>
      <c r="J134" s="53">
        <v>4190.2823556244857</v>
      </c>
      <c r="K134" s="24">
        <v>0.63810823719248677</v>
      </c>
      <c r="L134" s="24">
        <v>0.56669280810788936</v>
      </c>
      <c r="M134" s="24">
        <v>0.81024988480102855</v>
      </c>
      <c r="O134" s="53">
        <v>2.93280414368874</v>
      </c>
      <c r="P134" s="54">
        <v>15854.640809407148</v>
      </c>
      <c r="Q134" s="54">
        <v>2.8737116615282656</v>
      </c>
      <c r="R134" s="54">
        <v>58636.97634239246</v>
      </c>
      <c r="S134" s="54">
        <v>-5.9092482160474358E-2</v>
      </c>
      <c r="T134" s="54">
        <v>42782.335532985308</v>
      </c>
      <c r="V134" s="69">
        <f t="shared" si="8"/>
        <v>570706.18792834086</v>
      </c>
      <c r="W134" s="69">
        <f t="shared" si="9"/>
        <v>516105.35596326069</v>
      </c>
      <c r="X134" s="69">
        <f t="shared" si="6"/>
        <v>-54600.831965080179</v>
      </c>
      <c r="Z134" s="68">
        <f t="shared" si="10"/>
        <v>1</v>
      </c>
      <c r="AA134" s="68">
        <f t="shared" si="11"/>
        <v>0</v>
      </c>
      <c r="AB134" s="68">
        <f t="shared" si="7"/>
        <v>0</v>
      </c>
    </row>
    <row r="135" spans="1:28" x14ac:dyDescent="0.25">
      <c r="A135">
        <v>130</v>
      </c>
      <c r="C135" s="24">
        <v>3.2620074281607685E-10</v>
      </c>
      <c r="D135" s="24">
        <v>5.4157053752004192E-3</v>
      </c>
      <c r="E135" s="24">
        <v>1.5597211095586178E-25</v>
      </c>
      <c r="F135" s="24">
        <v>2.9978005633424232E-9</v>
      </c>
      <c r="G135" s="24">
        <v>0.63074127295267868</v>
      </c>
      <c r="H135" s="24">
        <v>0.29911955726685058</v>
      </c>
      <c r="I135" s="53">
        <v>1958.2395534805121</v>
      </c>
      <c r="J135" s="53">
        <v>5189.3031199625084</v>
      </c>
      <c r="K135" s="24">
        <v>0.55928916736353829</v>
      </c>
      <c r="L135" s="24">
        <v>0.92642770604770985</v>
      </c>
      <c r="M135" s="24">
        <v>0.90353256771547352</v>
      </c>
      <c r="O135" s="53">
        <v>4.0676234776886497</v>
      </c>
      <c r="P135" s="54">
        <v>18259.756479256132</v>
      </c>
      <c r="Q135" s="54">
        <v>4.4750182377426944</v>
      </c>
      <c r="R135" s="54">
        <v>37507.731471409119</v>
      </c>
      <c r="S135" s="54">
        <v>0.40739476005404462</v>
      </c>
      <c r="T135" s="54">
        <v>19247.974992152987</v>
      </c>
      <c r="V135" s="69">
        <f t="shared" si="8"/>
        <v>795264.93905847392</v>
      </c>
      <c r="W135" s="69">
        <f t="shared" si="9"/>
        <v>857495.91607712978</v>
      </c>
      <c r="X135" s="69">
        <f t="shared" ref="X135:X198" si="12">S135*cRatio-T135</f>
        <v>62230.977018655933</v>
      </c>
      <c r="Z135" s="68">
        <f t="shared" si="10"/>
        <v>0</v>
      </c>
      <c r="AA135" s="68">
        <f t="shared" si="11"/>
        <v>1</v>
      </c>
      <c r="AB135" s="68">
        <f t="shared" ref="AB135:AB198" si="13">IF(X135&gt;0,1,0)</f>
        <v>1</v>
      </c>
    </row>
    <row r="136" spans="1:28" x14ac:dyDescent="0.25">
      <c r="A136">
        <v>131</v>
      </c>
      <c r="C136" s="24">
        <v>2.5953184782867885E-9</v>
      </c>
      <c r="D136" s="24">
        <v>3.4367075694565763E-3</v>
      </c>
      <c r="E136" s="24">
        <v>3.3819046520555673E-5</v>
      </c>
      <c r="F136" s="24">
        <v>1.2656542480726785E-13</v>
      </c>
      <c r="G136" s="24">
        <v>0.52185517792299718</v>
      </c>
      <c r="H136" s="24">
        <v>0.40038915510208517</v>
      </c>
      <c r="I136" s="53">
        <v>2265.4890204016929</v>
      </c>
      <c r="J136" s="53">
        <v>5519.3882419625743</v>
      </c>
      <c r="K136" s="24">
        <v>0.51040733878668076</v>
      </c>
      <c r="L136" s="24">
        <v>0.9257746989909903</v>
      </c>
      <c r="M136" s="24">
        <v>0.82987021359813939</v>
      </c>
      <c r="O136" s="53">
        <v>4.1928217659840818</v>
      </c>
      <c r="P136" s="54">
        <v>17518.059276602919</v>
      </c>
      <c r="Q136" s="54">
        <v>4.3519815012788383</v>
      </c>
      <c r="R136" s="54">
        <v>58390.820306265479</v>
      </c>
      <c r="S136" s="54">
        <v>0.15915973529475647</v>
      </c>
      <c r="T136" s="54">
        <v>40872.761029662564</v>
      </c>
      <c r="V136" s="69">
        <f t="shared" si="8"/>
        <v>821046.29392021347</v>
      </c>
      <c r="W136" s="69">
        <f t="shared" si="9"/>
        <v>812005.47994950216</v>
      </c>
      <c r="X136" s="69">
        <f t="shared" si="12"/>
        <v>-9040.8139707112714</v>
      </c>
      <c r="Z136" s="68">
        <f t="shared" si="10"/>
        <v>1</v>
      </c>
      <c r="AA136" s="68">
        <f t="shared" si="11"/>
        <v>0</v>
      </c>
      <c r="AB136" s="68">
        <f t="shared" si="13"/>
        <v>0</v>
      </c>
    </row>
    <row r="137" spans="1:28" x14ac:dyDescent="0.25">
      <c r="A137">
        <v>132</v>
      </c>
      <c r="C137" s="24">
        <v>2.2634863051209391E-5</v>
      </c>
      <c r="D137" s="24">
        <v>4.4564678677930491E-4</v>
      </c>
      <c r="E137" s="24">
        <v>1.2857055116467385E-19</v>
      </c>
      <c r="F137" s="24">
        <v>4.9220175601938365E-8</v>
      </c>
      <c r="G137" s="24">
        <v>0.6857486316964112</v>
      </c>
      <c r="H137" s="24">
        <v>0.29992411655779228</v>
      </c>
      <c r="I137" s="53">
        <v>1439.7683561956901</v>
      </c>
      <c r="J137" s="53">
        <v>5904.8104155294795</v>
      </c>
      <c r="K137" s="24">
        <v>0.60900713108962834</v>
      </c>
      <c r="L137" s="24">
        <v>0.73727200576167151</v>
      </c>
      <c r="M137" s="24">
        <v>0.7361244947639598</v>
      </c>
      <c r="O137" s="53">
        <v>3.4489089147241283</v>
      </c>
      <c r="P137" s="54">
        <v>18891.848767286647</v>
      </c>
      <c r="Q137" s="54">
        <v>3.6315390141742085</v>
      </c>
      <c r="R137" s="54">
        <v>44877.970241648945</v>
      </c>
      <c r="S137" s="54">
        <v>0.18263009945008024</v>
      </c>
      <c r="T137" s="54">
        <v>25986.121474362299</v>
      </c>
      <c r="V137" s="69">
        <f t="shared" si="8"/>
        <v>670889.93417753908</v>
      </c>
      <c r="W137" s="69">
        <f t="shared" si="9"/>
        <v>681429.8325931927</v>
      </c>
      <c r="X137" s="69">
        <f t="shared" si="12"/>
        <v>10539.898415653748</v>
      </c>
      <c r="Z137" s="68">
        <f t="shared" si="10"/>
        <v>0</v>
      </c>
      <c r="AA137" s="68">
        <f t="shared" si="11"/>
        <v>1</v>
      </c>
      <c r="AB137" s="68">
        <f t="shared" si="13"/>
        <v>1</v>
      </c>
    </row>
    <row r="138" spans="1:28" x14ac:dyDescent="0.25">
      <c r="A138">
        <v>133</v>
      </c>
      <c r="C138" s="24">
        <v>1.0771317120439106E-2</v>
      </c>
      <c r="D138" s="24">
        <v>9.4463427060973437E-3</v>
      </c>
      <c r="E138" s="24">
        <v>1.0182868546664002E-29</v>
      </c>
      <c r="F138" s="24">
        <v>1.0999179678172766E-8</v>
      </c>
      <c r="G138" s="24">
        <v>0.5291442716860647</v>
      </c>
      <c r="H138" s="24">
        <v>0.39605307813401014</v>
      </c>
      <c r="I138" s="53">
        <v>2683.7270002367663</v>
      </c>
      <c r="J138" s="53">
        <v>5182.0469406600014</v>
      </c>
      <c r="K138" s="24">
        <v>0.61391001546790003</v>
      </c>
      <c r="L138" s="24">
        <v>0.80722508188294051</v>
      </c>
      <c r="M138" s="24">
        <v>0.91994427048206251</v>
      </c>
      <c r="O138" s="53">
        <v>3.8380066355316194</v>
      </c>
      <c r="P138" s="54">
        <v>15695.029788681637</v>
      </c>
      <c r="Q138" s="54">
        <v>3.9182598889516571</v>
      </c>
      <c r="R138" s="54">
        <v>52934.9606841477</v>
      </c>
      <c r="S138" s="54">
        <v>8.0253253420037751E-2</v>
      </c>
      <c r="T138" s="54">
        <v>37239.930895466066</v>
      </c>
      <c r="V138" s="69">
        <f t="shared" ref="V138:V201" si="14">O138*cRatio-P138</f>
        <v>751906.29731764225</v>
      </c>
      <c r="W138" s="69">
        <f t="shared" ref="W138:W201" si="15">Q138*cRatio-R138</f>
        <v>730717.0171061838</v>
      </c>
      <c r="X138" s="69">
        <f t="shared" si="12"/>
        <v>-21189.280211458514</v>
      </c>
      <c r="Z138" s="68">
        <f t="shared" ref="Z138:Z201" si="16">IF(MAX(V138:W138)=V138,1,0)</f>
        <v>1</v>
      </c>
      <c r="AA138" s="68">
        <f t="shared" ref="AA138:AA201" si="17">IF(MAX(V138:W138)=W138,1,0)</f>
        <v>0</v>
      </c>
      <c r="AB138" s="68">
        <f t="shared" si="13"/>
        <v>0</v>
      </c>
    </row>
    <row r="139" spans="1:28" x14ac:dyDescent="0.25">
      <c r="A139">
        <v>134</v>
      </c>
      <c r="C139" s="24">
        <v>6.8958680657472682E-3</v>
      </c>
      <c r="D139" s="24">
        <v>4.7190539758499558E-4</v>
      </c>
      <c r="E139" s="24">
        <v>1.0982519063285068E-5</v>
      </c>
      <c r="F139" s="24">
        <v>3.3812830531937903E-26</v>
      </c>
      <c r="G139" s="24">
        <v>0.54966538663196696</v>
      </c>
      <c r="H139" s="24">
        <v>0.25498950032250534</v>
      </c>
      <c r="I139" s="53">
        <v>1531.4787785973881</v>
      </c>
      <c r="J139" s="53">
        <v>4503.5154358636782</v>
      </c>
      <c r="K139" s="24">
        <v>0.43362101576547019</v>
      </c>
      <c r="L139" s="24">
        <v>0.96029424488840687</v>
      </c>
      <c r="M139" s="24">
        <v>0.71076935199936508</v>
      </c>
      <c r="O139" s="53">
        <v>4.1761192458522993</v>
      </c>
      <c r="P139" s="54">
        <v>14115.52226713846</v>
      </c>
      <c r="Q139" s="54">
        <v>4.6206685689986333</v>
      </c>
      <c r="R139" s="54">
        <v>25971.525473851296</v>
      </c>
      <c r="S139" s="54">
        <v>0.444549323146334</v>
      </c>
      <c r="T139" s="54">
        <v>11856.003206712836</v>
      </c>
      <c r="V139" s="69">
        <f t="shared" si="14"/>
        <v>821108.32690332143</v>
      </c>
      <c r="W139" s="69">
        <f t="shared" si="15"/>
        <v>898162.18832587544</v>
      </c>
      <c r="X139" s="69">
        <f t="shared" si="12"/>
        <v>77053.861422553964</v>
      </c>
      <c r="Z139" s="68">
        <f t="shared" si="16"/>
        <v>0</v>
      </c>
      <c r="AA139" s="68">
        <f t="shared" si="17"/>
        <v>1</v>
      </c>
      <c r="AB139" s="68">
        <f t="shared" si="13"/>
        <v>1</v>
      </c>
    </row>
    <row r="140" spans="1:28" x14ac:dyDescent="0.25">
      <c r="A140">
        <v>135</v>
      </c>
      <c r="C140" s="24">
        <v>6.7344182246853457E-5</v>
      </c>
      <c r="D140" s="24">
        <v>1.2271598519856508E-4</v>
      </c>
      <c r="E140" s="24">
        <v>9.7196869093219036E-44</v>
      </c>
      <c r="F140" s="24">
        <v>1.4135881103986225E-53</v>
      </c>
      <c r="G140" s="24">
        <v>0.55988684292622426</v>
      </c>
      <c r="H140" s="24">
        <v>0.28254421268573038</v>
      </c>
      <c r="I140" s="53">
        <v>1926.795203282491</v>
      </c>
      <c r="J140" s="53">
        <v>4760.7705580822767</v>
      </c>
      <c r="K140" s="24">
        <v>0.74100368454498255</v>
      </c>
      <c r="L140" s="24">
        <v>0.71154844862766642</v>
      </c>
      <c r="M140" s="24">
        <v>0.86156456251965219</v>
      </c>
      <c r="O140" s="53">
        <v>3.5932391144481834</v>
      </c>
      <c r="P140" s="54">
        <v>16396.382413872969</v>
      </c>
      <c r="Q140" s="54">
        <v>3.5694394526557627</v>
      </c>
      <c r="R140" s="54">
        <v>37515.980772345611</v>
      </c>
      <c r="S140" s="54">
        <v>-2.3799661792420768E-2</v>
      </c>
      <c r="T140" s="54">
        <v>21119.598358472642</v>
      </c>
      <c r="V140" s="69">
        <f t="shared" si="14"/>
        <v>702251.44047576375</v>
      </c>
      <c r="W140" s="69">
        <f t="shared" si="15"/>
        <v>676371.90975880693</v>
      </c>
      <c r="X140" s="69">
        <f t="shared" si="12"/>
        <v>-25879.530716956797</v>
      </c>
      <c r="Z140" s="68">
        <f t="shared" si="16"/>
        <v>1</v>
      </c>
      <c r="AA140" s="68">
        <f t="shared" si="17"/>
        <v>0</v>
      </c>
      <c r="AB140" s="68">
        <f t="shared" si="13"/>
        <v>0</v>
      </c>
    </row>
    <row r="141" spans="1:28" x14ac:dyDescent="0.25">
      <c r="A141">
        <v>136</v>
      </c>
      <c r="C141" s="24">
        <v>4.2834557228460163E-6</v>
      </c>
      <c r="D141" s="24">
        <v>2.1692032053200443E-4</v>
      </c>
      <c r="E141" s="24">
        <v>3.421326703512628E-17</v>
      </c>
      <c r="F141" s="24">
        <v>3.2846280470824667E-26</v>
      </c>
      <c r="G141" s="24">
        <v>0.65023323055564175</v>
      </c>
      <c r="H141" s="24">
        <v>0.25904069597299317</v>
      </c>
      <c r="I141" s="53">
        <v>2198.9076728152518</v>
      </c>
      <c r="J141" s="53">
        <v>4941.9540521787358</v>
      </c>
      <c r="K141" s="24">
        <v>0.48641593255981025</v>
      </c>
      <c r="L141" s="24">
        <v>0.94078691880132026</v>
      </c>
      <c r="M141" s="24">
        <v>0.86574583504269165</v>
      </c>
      <c r="O141" s="53">
        <v>3.9574194348041991</v>
      </c>
      <c r="P141" s="54">
        <v>15702.016511171936</v>
      </c>
      <c r="Q141" s="54">
        <v>4.5451687916027721</v>
      </c>
      <c r="R141" s="54">
        <v>39523.31969477547</v>
      </c>
      <c r="S141" s="54">
        <v>0.58774935679857299</v>
      </c>
      <c r="T141" s="54">
        <v>23821.303183603533</v>
      </c>
      <c r="V141" s="69">
        <f t="shared" si="14"/>
        <v>775781.87044966791</v>
      </c>
      <c r="W141" s="69">
        <f t="shared" si="15"/>
        <v>869510.43862577889</v>
      </c>
      <c r="X141" s="69">
        <f t="shared" si="12"/>
        <v>93728.568176111061</v>
      </c>
      <c r="Z141" s="68">
        <f t="shared" si="16"/>
        <v>0</v>
      </c>
      <c r="AA141" s="68">
        <f t="shared" si="17"/>
        <v>1</v>
      </c>
      <c r="AB141" s="68">
        <f t="shared" si="13"/>
        <v>1</v>
      </c>
    </row>
    <row r="142" spans="1:28" x14ac:dyDescent="0.25">
      <c r="A142">
        <v>137</v>
      </c>
      <c r="C142" s="24">
        <v>1.7667787975895743E-3</v>
      </c>
      <c r="D142" s="24">
        <v>1.9970306446922548E-3</v>
      </c>
      <c r="E142" s="24">
        <v>9.2518233074656564E-9</v>
      </c>
      <c r="F142" s="24">
        <v>3.6228380584368836E-7</v>
      </c>
      <c r="G142" s="24">
        <v>0.50314498189047496</v>
      </c>
      <c r="H142" s="24">
        <v>0.21100170107587135</v>
      </c>
      <c r="I142" s="53">
        <v>1713.8689486287187</v>
      </c>
      <c r="J142" s="53">
        <v>5442.4671134772125</v>
      </c>
      <c r="K142" s="24">
        <v>0.64057991010059578</v>
      </c>
      <c r="L142" s="24">
        <v>0.96031437430684319</v>
      </c>
      <c r="M142" s="24">
        <v>0.85239355036421827</v>
      </c>
      <c r="O142" s="53">
        <v>4.4866873694861606</v>
      </c>
      <c r="P142" s="54">
        <v>14149.461358670176</v>
      </c>
      <c r="Q142" s="54">
        <v>4.714806235792806</v>
      </c>
      <c r="R142" s="54">
        <v>36567.287622711505</v>
      </c>
      <c r="S142" s="54">
        <v>0.22811886630664535</v>
      </c>
      <c r="T142" s="54">
        <v>22417.82626404133</v>
      </c>
      <c r="V142" s="69">
        <f t="shared" si="14"/>
        <v>883188.01253856195</v>
      </c>
      <c r="W142" s="69">
        <f t="shared" si="15"/>
        <v>906393.95953584975</v>
      </c>
      <c r="X142" s="69">
        <f t="shared" si="12"/>
        <v>23205.946997287741</v>
      </c>
      <c r="Z142" s="68">
        <f t="shared" si="16"/>
        <v>0</v>
      </c>
      <c r="AA142" s="68">
        <f t="shared" si="17"/>
        <v>1</v>
      </c>
      <c r="AB142" s="68">
        <f t="shared" si="13"/>
        <v>1</v>
      </c>
    </row>
    <row r="143" spans="1:28" x14ac:dyDescent="0.25">
      <c r="A143">
        <v>138</v>
      </c>
      <c r="C143" s="24">
        <v>3.1753684204366417E-3</v>
      </c>
      <c r="D143" s="24">
        <v>2.1811530270889889E-3</v>
      </c>
      <c r="E143" s="24">
        <v>6.3519549193430244E-45</v>
      </c>
      <c r="F143" s="24">
        <v>2.2732367578348622E-4</v>
      </c>
      <c r="G143" s="24">
        <v>0.5744684532612897</v>
      </c>
      <c r="H143" s="24">
        <v>0.16108020353776153</v>
      </c>
      <c r="I143" s="53">
        <v>1636.2547069832628</v>
      </c>
      <c r="J143" s="53">
        <v>4863.6613149603281</v>
      </c>
      <c r="K143" s="24">
        <v>0.78003612224833252</v>
      </c>
      <c r="L143" s="24">
        <v>0.91732989084807115</v>
      </c>
      <c r="M143" s="24">
        <v>0.77157503296969621</v>
      </c>
      <c r="O143" s="53">
        <v>4.4088370491630915</v>
      </c>
      <c r="P143" s="54">
        <v>16325.223369174699</v>
      </c>
      <c r="Q143" s="54">
        <v>4.5572735101874935</v>
      </c>
      <c r="R143" s="54">
        <v>19486.570529605262</v>
      </c>
      <c r="S143" s="54">
        <v>0.148436461024402</v>
      </c>
      <c r="T143" s="54">
        <v>3161.3471604305632</v>
      </c>
      <c r="V143" s="69">
        <f t="shared" si="14"/>
        <v>865442.18646344356</v>
      </c>
      <c r="W143" s="69">
        <f t="shared" si="15"/>
        <v>891968.13150789344</v>
      </c>
      <c r="X143" s="69">
        <f t="shared" si="12"/>
        <v>26525.945044449836</v>
      </c>
      <c r="Z143" s="68">
        <f t="shared" si="16"/>
        <v>0</v>
      </c>
      <c r="AA143" s="68">
        <f t="shared" si="17"/>
        <v>1</v>
      </c>
      <c r="AB143" s="68">
        <f t="shared" si="13"/>
        <v>1</v>
      </c>
    </row>
    <row r="144" spans="1:28" x14ac:dyDescent="0.25">
      <c r="A144">
        <v>139</v>
      </c>
      <c r="C144" s="24">
        <v>4.2039398024751318E-4</v>
      </c>
      <c r="D144" s="24">
        <v>1.3606422376478688E-3</v>
      </c>
      <c r="E144" s="24">
        <v>2.7885510906784991E-16</v>
      </c>
      <c r="F144" s="24">
        <v>1.790528186240703E-5</v>
      </c>
      <c r="G144" s="24">
        <v>0.65248483928872303</v>
      </c>
      <c r="H144" s="24">
        <v>0.36627279516198463</v>
      </c>
      <c r="I144" s="53">
        <v>1710.4195723618554</v>
      </c>
      <c r="J144" s="53">
        <v>3905.6445258447684</v>
      </c>
      <c r="K144" s="24">
        <v>0.46793373620821466</v>
      </c>
      <c r="L144" s="24">
        <v>0.57960234784816467</v>
      </c>
      <c r="M144" s="24">
        <v>0.87217423641308667</v>
      </c>
      <c r="O144" s="53">
        <v>2.7143254544139275</v>
      </c>
      <c r="P144" s="54">
        <v>18553.246667068404</v>
      </c>
      <c r="Q144" s="54">
        <v>2.8366042188152778</v>
      </c>
      <c r="R144" s="54">
        <v>46269.760390805845</v>
      </c>
      <c r="S144" s="54">
        <v>0.12227876440135033</v>
      </c>
      <c r="T144" s="54">
        <v>27716.51372373744</v>
      </c>
      <c r="V144" s="69">
        <f t="shared" si="14"/>
        <v>524311.84421571705</v>
      </c>
      <c r="W144" s="69">
        <f t="shared" si="15"/>
        <v>521051.08337224968</v>
      </c>
      <c r="X144" s="69">
        <f t="shared" si="12"/>
        <v>-3260.7608434673748</v>
      </c>
      <c r="Z144" s="68">
        <f t="shared" si="16"/>
        <v>1</v>
      </c>
      <c r="AA144" s="68">
        <f t="shared" si="17"/>
        <v>0</v>
      </c>
      <c r="AB144" s="68">
        <f t="shared" si="13"/>
        <v>0</v>
      </c>
    </row>
    <row r="145" spans="1:28" x14ac:dyDescent="0.25">
      <c r="A145">
        <v>140</v>
      </c>
      <c r="C145" s="24">
        <v>8.7833967426442783E-4</v>
      </c>
      <c r="D145" s="24">
        <v>6.5038714500775807E-3</v>
      </c>
      <c r="E145" s="24">
        <v>6.8961266017538375E-14</v>
      </c>
      <c r="F145" s="24">
        <v>9.9734215815301224E-31</v>
      </c>
      <c r="G145" s="24">
        <v>0.64393391439385739</v>
      </c>
      <c r="H145" s="24">
        <v>0.20326520665373948</v>
      </c>
      <c r="I145" s="53">
        <v>1887.6530063754792</v>
      </c>
      <c r="J145" s="53">
        <v>5032.2713575270227</v>
      </c>
      <c r="K145" s="24">
        <v>0.68629621893579129</v>
      </c>
      <c r="L145" s="24">
        <v>0.86818134998206553</v>
      </c>
      <c r="M145" s="24">
        <v>0.84671359229528609</v>
      </c>
      <c r="O145" s="53">
        <v>4.0482116578607075</v>
      </c>
      <c r="P145" s="54">
        <v>19055.877416671072</v>
      </c>
      <c r="Q145" s="54">
        <v>4.293688278380607</v>
      </c>
      <c r="R145" s="54">
        <v>29604.044297299333</v>
      </c>
      <c r="S145" s="54">
        <v>0.24547662051989949</v>
      </c>
      <c r="T145" s="54">
        <v>10548.166880628261</v>
      </c>
      <c r="V145" s="69">
        <f t="shared" si="14"/>
        <v>790586.45415547048</v>
      </c>
      <c r="W145" s="69">
        <f t="shared" si="15"/>
        <v>829133.61137882201</v>
      </c>
      <c r="X145" s="69">
        <f t="shared" si="12"/>
        <v>38547.157223351634</v>
      </c>
      <c r="Z145" s="68">
        <f t="shared" si="16"/>
        <v>0</v>
      </c>
      <c r="AA145" s="68">
        <f t="shared" si="17"/>
        <v>1</v>
      </c>
      <c r="AB145" s="68">
        <f t="shared" si="13"/>
        <v>1</v>
      </c>
    </row>
    <row r="146" spans="1:28" x14ac:dyDescent="0.25">
      <c r="A146">
        <v>141</v>
      </c>
      <c r="C146" s="24">
        <v>5.1240950448752258E-5</v>
      </c>
      <c r="D146" s="24">
        <v>1.4570072033137736E-6</v>
      </c>
      <c r="E146" s="24">
        <v>6.2594952838433047E-19</v>
      </c>
      <c r="F146" s="24">
        <v>4.283691504548548E-3</v>
      </c>
      <c r="G146" s="24">
        <v>0.4878208188921076</v>
      </c>
      <c r="H146" s="24">
        <v>0.23263292012108283</v>
      </c>
      <c r="I146" s="53">
        <v>1585.6482386877174</v>
      </c>
      <c r="J146" s="53">
        <v>5246.3442661728441</v>
      </c>
      <c r="K146" s="24">
        <v>0.3370148990256091</v>
      </c>
      <c r="L146" s="24">
        <v>0.95169315771504359</v>
      </c>
      <c r="M146" s="24">
        <v>0.88791253401279879</v>
      </c>
      <c r="O146" s="53">
        <v>4.1891674776778975</v>
      </c>
      <c r="P146" s="54">
        <v>13498.896269589421</v>
      </c>
      <c r="Q146" s="54">
        <v>4.5472941667302234</v>
      </c>
      <c r="R146" s="54">
        <v>42090.581881652062</v>
      </c>
      <c r="S146" s="54">
        <v>0.35812668905232581</v>
      </c>
      <c r="T146" s="54">
        <v>28591.68561206264</v>
      </c>
      <c r="V146" s="69">
        <f t="shared" si="14"/>
        <v>824334.59926599008</v>
      </c>
      <c r="W146" s="69">
        <f t="shared" si="15"/>
        <v>867368.25146439252</v>
      </c>
      <c r="X146" s="69">
        <f t="shared" si="12"/>
        <v>43033.652198402524</v>
      </c>
      <c r="Z146" s="68">
        <f t="shared" si="16"/>
        <v>0</v>
      </c>
      <c r="AA146" s="68">
        <f t="shared" si="17"/>
        <v>1</v>
      </c>
      <c r="AB146" s="68">
        <f t="shared" si="13"/>
        <v>1</v>
      </c>
    </row>
    <row r="147" spans="1:28" x14ac:dyDescent="0.25">
      <c r="A147">
        <v>142</v>
      </c>
      <c r="C147" s="24">
        <v>1.3364511223831199E-3</v>
      </c>
      <c r="D147" s="24">
        <v>6.3610531537813264E-3</v>
      </c>
      <c r="E147" s="24">
        <v>1.1942669075892809E-12</v>
      </c>
      <c r="F147" s="24">
        <v>1.4146361859701528E-10</v>
      </c>
      <c r="G147" s="24">
        <v>0.69083148393439986</v>
      </c>
      <c r="H147" s="24">
        <v>0.35077262945457</v>
      </c>
      <c r="I147" s="53">
        <v>2243.9907773792338</v>
      </c>
      <c r="J147" s="53">
        <v>4981.8070356782855</v>
      </c>
      <c r="K147" s="24">
        <v>0.71510955001454879</v>
      </c>
      <c r="L147" s="24">
        <v>0.81607291177855867</v>
      </c>
      <c r="M147" s="24">
        <v>0.80641152367187729</v>
      </c>
      <c r="O147" s="53">
        <v>3.8901313493718082</v>
      </c>
      <c r="P147" s="54">
        <v>26703.186261152139</v>
      </c>
      <c r="Q147" s="54">
        <v>4.0256820678535767</v>
      </c>
      <c r="R147" s="54">
        <v>53899.905276869475</v>
      </c>
      <c r="S147" s="54">
        <v>0.13555071848176858</v>
      </c>
      <c r="T147" s="54">
        <v>27196.719015717335</v>
      </c>
      <c r="V147" s="69">
        <f t="shared" si="14"/>
        <v>751323.08361320943</v>
      </c>
      <c r="W147" s="69">
        <f t="shared" si="15"/>
        <v>751236.50829384592</v>
      </c>
      <c r="X147" s="69">
        <f t="shared" si="12"/>
        <v>-86.575319363619201</v>
      </c>
      <c r="Z147" s="68">
        <f t="shared" si="16"/>
        <v>1</v>
      </c>
      <c r="AA147" s="68">
        <f t="shared" si="17"/>
        <v>0</v>
      </c>
      <c r="AB147" s="68">
        <f t="shared" si="13"/>
        <v>0</v>
      </c>
    </row>
    <row r="148" spans="1:28" x14ac:dyDescent="0.25">
      <c r="A148">
        <v>143</v>
      </c>
      <c r="C148" s="24">
        <v>3.5687900735353936E-24</v>
      </c>
      <c r="D148" s="24">
        <v>5.476245736689811E-3</v>
      </c>
      <c r="E148" s="24">
        <v>8.5065075643480224E-40</v>
      </c>
      <c r="F148" s="24">
        <v>1.7598217327829957E-9</v>
      </c>
      <c r="G148" s="24">
        <v>0.63652994796623918</v>
      </c>
      <c r="H148" s="24">
        <v>0.27244199268484248</v>
      </c>
      <c r="I148" s="53">
        <v>1938.6681868199812</v>
      </c>
      <c r="J148" s="53">
        <v>4801.0463053118583</v>
      </c>
      <c r="K148" s="24">
        <v>0.67396206229388067</v>
      </c>
      <c r="L148" s="24">
        <v>0.95296406767020203</v>
      </c>
      <c r="M148" s="24">
        <v>0.84557896990832992</v>
      </c>
      <c r="O148" s="53">
        <v>4.3272723411520735</v>
      </c>
      <c r="P148" s="54">
        <v>21520.350987112484</v>
      </c>
      <c r="Q148" s="54">
        <v>4.6567626487653069</v>
      </c>
      <c r="R148" s="54">
        <v>44904.525714967458</v>
      </c>
      <c r="S148" s="54">
        <v>0.32949030761323339</v>
      </c>
      <c r="T148" s="54">
        <v>23384.174727854974</v>
      </c>
      <c r="V148" s="69">
        <f t="shared" si="14"/>
        <v>843934.11724330217</v>
      </c>
      <c r="W148" s="69">
        <f t="shared" si="15"/>
        <v>886448.00403809384</v>
      </c>
      <c r="X148" s="69">
        <f t="shared" si="12"/>
        <v>42513.886794791702</v>
      </c>
      <c r="Z148" s="68">
        <f t="shared" si="16"/>
        <v>0</v>
      </c>
      <c r="AA148" s="68">
        <f t="shared" si="17"/>
        <v>1</v>
      </c>
      <c r="AB148" s="68">
        <f t="shared" si="13"/>
        <v>1</v>
      </c>
    </row>
    <row r="149" spans="1:28" x14ac:dyDescent="0.25">
      <c r="A149">
        <v>144</v>
      </c>
      <c r="C149" s="24">
        <v>1.3672875429929261E-5</v>
      </c>
      <c r="D149" s="24">
        <v>6.2489074105875897E-3</v>
      </c>
      <c r="E149" s="24">
        <v>1.3487713601545437E-7</v>
      </c>
      <c r="F149" s="24">
        <v>1.9704666121000969E-8</v>
      </c>
      <c r="G149" s="24">
        <v>0.57164380797848913</v>
      </c>
      <c r="H149" s="24">
        <v>0.32007004883816348</v>
      </c>
      <c r="I149" s="53">
        <v>1686.4652883919521</v>
      </c>
      <c r="J149" s="53">
        <v>4999.7239091855618</v>
      </c>
      <c r="K149" s="24">
        <v>0.7959356536822495</v>
      </c>
      <c r="L149" s="24">
        <v>0.95640388186418102</v>
      </c>
      <c r="M149" s="24">
        <v>0.89440244260339663</v>
      </c>
      <c r="O149" s="53">
        <v>4.5809369390569401</v>
      </c>
      <c r="P149" s="54">
        <v>16328.413729688273</v>
      </c>
      <c r="Q149" s="54">
        <v>4.7041524673331558</v>
      </c>
      <c r="R149" s="54">
        <v>46020.687526523114</v>
      </c>
      <c r="S149" s="54">
        <v>0.12321552827621574</v>
      </c>
      <c r="T149" s="54">
        <v>29692.273796834841</v>
      </c>
      <c r="V149" s="69">
        <f t="shared" si="14"/>
        <v>899858.97408169974</v>
      </c>
      <c r="W149" s="69">
        <f t="shared" si="15"/>
        <v>894809.80594010802</v>
      </c>
      <c r="X149" s="69">
        <f t="shared" si="12"/>
        <v>-5049.1681415916937</v>
      </c>
      <c r="Z149" s="68">
        <f t="shared" si="16"/>
        <v>1</v>
      </c>
      <c r="AA149" s="68">
        <f t="shared" si="17"/>
        <v>0</v>
      </c>
      <c r="AB149" s="68">
        <f t="shared" si="13"/>
        <v>0</v>
      </c>
    </row>
    <row r="150" spans="1:28" x14ac:dyDescent="0.25">
      <c r="A150">
        <v>145</v>
      </c>
      <c r="C150" s="24">
        <v>4.8365689514221488E-3</v>
      </c>
      <c r="D150" s="24">
        <v>5.6424425807797274E-3</v>
      </c>
      <c r="E150" s="24">
        <v>1.4351824804026414E-5</v>
      </c>
      <c r="F150" s="24">
        <v>6.2546506187460349E-44</v>
      </c>
      <c r="G150" s="24">
        <v>0.64414417309909255</v>
      </c>
      <c r="H150" s="24">
        <v>0.2560377834696308</v>
      </c>
      <c r="I150" s="53">
        <v>2020.8906171045289</v>
      </c>
      <c r="J150" s="53">
        <v>5431.9476596885534</v>
      </c>
      <c r="K150" s="24">
        <v>0.62878763793403292</v>
      </c>
      <c r="L150" s="24">
        <v>0.91510222627025706</v>
      </c>
      <c r="M150" s="24">
        <v>0.65293863629426818</v>
      </c>
      <c r="O150" s="53">
        <v>4.1025125241722797</v>
      </c>
      <c r="P150" s="54">
        <v>18786.702517801834</v>
      </c>
      <c r="Q150" s="54">
        <v>4.46782504680447</v>
      </c>
      <c r="R150" s="54">
        <v>41223.838771136492</v>
      </c>
      <c r="S150" s="54">
        <v>0.36531252263219027</v>
      </c>
      <c r="T150" s="54">
        <v>22437.136253334658</v>
      </c>
      <c r="V150" s="69">
        <f t="shared" si="14"/>
        <v>801715.80231665412</v>
      </c>
      <c r="W150" s="69">
        <f t="shared" si="15"/>
        <v>852341.1705897575</v>
      </c>
      <c r="X150" s="69">
        <f t="shared" si="12"/>
        <v>50625.368273103406</v>
      </c>
      <c r="Z150" s="68">
        <f t="shared" si="16"/>
        <v>0</v>
      </c>
      <c r="AA150" s="68">
        <f t="shared" si="17"/>
        <v>1</v>
      </c>
      <c r="AB150" s="68">
        <f t="shared" si="13"/>
        <v>1</v>
      </c>
    </row>
    <row r="151" spans="1:28" x14ac:dyDescent="0.25">
      <c r="A151">
        <v>146</v>
      </c>
      <c r="C151" s="24">
        <v>8.7387162597809964E-7</v>
      </c>
      <c r="D151" s="24">
        <v>2.6522188915883982E-3</v>
      </c>
      <c r="E151" s="24">
        <v>2.6417326988228739E-69</v>
      </c>
      <c r="F151" s="24">
        <v>6.1259502934339984E-41</v>
      </c>
      <c r="G151" s="24">
        <v>0.49186601498599436</v>
      </c>
      <c r="H151" s="24">
        <v>0.18497512901996949</v>
      </c>
      <c r="I151" s="53">
        <v>1365.7948557883824</v>
      </c>
      <c r="J151" s="53">
        <v>4933.6145838488173</v>
      </c>
      <c r="K151" s="24">
        <v>0.47209261124098223</v>
      </c>
      <c r="L151" s="24">
        <v>0.96782679710282893</v>
      </c>
      <c r="M151" s="24">
        <v>0.83548802843314807</v>
      </c>
      <c r="O151" s="53">
        <v>4.3730848848662243</v>
      </c>
      <c r="P151" s="54">
        <v>13548.990096813886</v>
      </c>
      <c r="Q151" s="54">
        <v>4.7245927548973965</v>
      </c>
      <c r="R151" s="54">
        <v>22454.764274943744</v>
      </c>
      <c r="S151" s="54">
        <v>0.35150787003117223</v>
      </c>
      <c r="T151" s="54">
        <v>8905.7741781298573</v>
      </c>
      <c r="V151" s="69">
        <f t="shared" si="14"/>
        <v>861067.98687643092</v>
      </c>
      <c r="W151" s="69">
        <f t="shared" si="15"/>
        <v>922463.7867045356</v>
      </c>
      <c r="X151" s="69">
        <f t="shared" si="12"/>
        <v>61395.799828104588</v>
      </c>
      <c r="Z151" s="68">
        <f t="shared" si="16"/>
        <v>0</v>
      </c>
      <c r="AA151" s="68">
        <f t="shared" si="17"/>
        <v>1</v>
      </c>
      <c r="AB151" s="68">
        <f t="shared" si="13"/>
        <v>1</v>
      </c>
    </row>
    <row r="152" spans="1:28" x14ac:dyDescent="0.25">
      <c r="A152">
        <v>147</v>
      </c>
      <c r="C152" s="24">
        <v>1.1564123317464592E-4</v>
      </c>
      <c r="D152" s="24">
        <v>5.3188237990964401E-4</v>
      </c>
      <c r="E152" s="24">
        <v>6.2137593959121773E-8</v>
      </c>
      <c r="F152" s="24">
        <v>2.5926378109433471E-22</v>
      </c>
      <c r="G152" s="24">
        <v>0.6683115521044164</v>
      </c>
      <c r="H152" s="24">
        <v>0.23494840243000925</v>
      </c>
      <c r="I152" s="53">
        <v>1824.8469742454799</v>
      </c>
      <c r="J152" s="53">
        <v>4613.9211612925228</v>
      </c>
      <c r="K152" s="24">
        <v>0.56091463372230266</v>
      </c>
      <c r="L152" s="24">
        <v>0.96866842749470883</v>
      </c>
      <c r="M152" s="24">
        <v>0.75863870941452949</v>
      </c>
      <c r="O152" s="53">
        <v>4.1310615071819434</v>
      </c>
      <c r="P152" s="54">
        <v>21500.387024356482</v>
      </c>
      <c r="Q152" s="54">
        <v>4.7175247539307579</v>
      </c>
      <c r="R152" s="54">
        <v>38980.967045964324</v>
      </c>
      <c r="S152" s="54">
        <v>0.58646324674881445</v>
      </c>
      <c r="T152" s="54">
        <v>17480.580021607842</v>
      </c>
      <c r="V152" s="69">
        <f t="shared" si="14"/>
        <v>804711.91441203211</v>
      </c>
      <c r="W152" s="69">
        <f t="shared" si="15"/>
        <v>904523.98374018725</v>
      </c>
      <c r="X152" s="69">
        <f t="shared" si="12"/>
        <v>99812.069328155048</v>
      </c>
      <c r="Z152" s="68">
        <f t="shared" si="16"/>
        <v>0</v>
      </c>
      <c r="AA152" s="68">
        <f t="shared" si="17"/>
        <v>1</v>
      </c>
      <c r="AB152" s="68">
        <f t="shared" si="13"/>
        <v>1</v>
      </c>
    </row>
    <row r="153" spans="1:28" x14ac:dyDescent="0.25">
      <c r="A153">
        <v>148</v>
      </c>
      <c r="C153" s="24">
        <v>1.174454669078695E-2</v>
      </c>
      <c r="D153" s="24">
        <v>2.9165044663139739E-3</v>
      </c>
      <c r="E153" s="24">
        <v>1.5447186722415562E-31</v>
      </c>
      <c r="F153" s="24">
        <v>1.5443202272535927E-13</v>
      </c>
      <c r="G153" s="24">
        <v>0.5899525796971703</v>
      </c>
      <c r="H153" s="24">
        <v>0.345110294390089</v>
      </c>
      <c r="I153" s="53">
        <v>2187.7540858665984</v>
      </c>
      <c r="J153" s="53">
        <v>4466.7102705307288</v>
      </c>
      <c r="K153" s="24">
        <v>0.64026890066069164</v>
      </c>
      <c r="L153" s="24">
        <v>0.91940983046080038</v>
      </c>
      <c r="M153" s="24">
        <v>0.92763688660804067</v>
      </c>
      <c r="O153" s="53">
        <v>4.2250013513069797</v>
      </c>
      <c r="P153" s="54">
        <v>14394.000991754645</v>
      </c>
      <c r="Q153" s="54">
        <v>4.4508330461397287</v>
      </c>
      <c r="R153" s="54">
        <v>41231.608586839007</v>
      </c>
      <c r="S153" s="54">
        <v>0.22583169483274901</v>
      </c>
      <c r="T153" s="54">
        <v>26837.607595084362</v>
      </c>
      <c r="V153" s="69">
        <f t="shared" si="14"/>
        <v>830606.26926964126</v>
      </c>
      <c r="W153" s="69">
        <f t="shared" si="15"/>
        <v>848935.00064110674</v>
      </c>
      <c r="X153" s="69">
        <f t="shared" si="12"/>
        <v>18328.731371465441</v>
      </c>
      <c r="Z153" s="68">
        <f t="shared" si="16"/>
        <v>0</v>
      </c>
      <c r="AA153" s="68">
        <f t="shared" si="17"/>
        <v>1</v>
      </c>
      <c r="AB153" s="68">
        <f t="shared" si="13"/>
        <v>1</v>
      </c>
    </row>
    <row r="154" spans="1:28" x14ac:dyDescent="0.25">
      <c r="A154">
        <v>149</v>
      </c>
      <c r="C154" s="24">
        <v>6.1169055742578138E-3</v>
      </c>
      <c r="D154" s="24">
        <v>1.3998870116040618E-2</v>
      </c>
      <c r="E154" s="24">
        <v>2.8338035693478648E-34</v>
      </c>
      <c r="F154" s="24">
        <v>1.9284966971563115E-17</v>
      </c>
      <c r="G154" s="24">
        <v>0.55323850936132435</v>
      </c>
      <c r="H154" s="24">
        <v>0.24052078559842915</v>
      </c>
      <c r="I154" s="53">
        <v>1758.036914677708</v>
      </c>
      <c r="J154" s="53">
        <v>4566.7079728230265</v>
      </c>
      <c r="K154" s="24">
        <v>0.56789634664686661</v>
      </c>
      <c r="L154" s="24">
        <v>0.72312768665789118</v>
      </c>
      <c r="M154" s="24">
        <v>0.84944552688469521</v>
      </c>
      <c r="O154" s="53">
        <v>3.4399902178145085</v>
      </c>
      <c r="P154" s="54">
        <v>13634.671152437983</v>
      </c>
      <c r="Q154" s="54">
        <v>3.5774223346207243</v>
      </c>
      <c r="R154" s="54">
        <v>37538.983704949183</v>
      </c>
      <c r="S154" s="54">
        <v>0.13743211680621581</v>
      </c>
      <c r="T154" s="54">
        <v>23904.312552511201</v>
      </c>
      <c r="V154" s="69">
        <f t="shared" si="14"/>
        <v>674363.37241046363</v>
      </c>
      <c r="W154" s="69">
        <f t="shared" si="15"/>
        <v>677945.48321919574</v>
      </c>
      <c r="X154" s="69">
        <f t="shared" si="12"/>
        <v>3582.1108087319626</v>
      </c>
      <c r="Z154" s="68">
        <f t="shared" si="16"/>
        <v>0</v>
      </c>
      <c r="AA154" s="68">
        <f t="shared" si="17"/>
        <v>1</v>
      </c>
      <c r="AB154" s="68">
        <f t="shared" si="13"/>
        <v>1</v>
      </c>
    </row>
    <row r="155" spans="1:28" x14ac:dyDescent="0.25">
      <c r="A155">
        <v>150</v>
      </c>
      <c r="C155" s="24">
        <v>6.8032893021120253E-11</v>
      </c>
      <c r="D155" s="24">
        <v>9.9001348302148228E-4</v>
      </c>
      <c r="E155" s="24">
        <v>2.0934845560730366E-13</v>
      </c>
      <c r="F155" s="24">
        <v>2.7972479129667605E-5</v>
      </c>
      <c r="G155" s="24">
        <v>0.5809801201089857</v>
      </c>
      <c r="H155" s="24">
        <v>0.27862837756184455</v>
      </c>
      <c r="I155" s="53">
        <v>2300.14446453971</v>
      </c>
      <c r="J155" s="53">
        <v>5748.3689389150841</v>
      </c>
      <c r="K155" s="24">
        <v>0.54098498765444147</v>
      </c>
      <c r="L155" s="24">
        <v>0.75028903050958506</v>
      </c>
      <c r="M155" s="24">
        <v>0.55575761810834723</v>
      </c>
      <c r="O155" s="53">
        <v>3.4804498325394047</v>
      </c>
      <c r="P155" s="54">
        <v>17024.610279216948</v>
      </c>
      <c r="Q155" s="54">
        <v>3.6693714517330802</v>
      </c>
      <c r="R155" s="54">
        <v>37690.079878682664</v>
      </c>
      <c r="S155" s="54">
        <v>0.18892161919367556</v>
      </c>
      <c r="T155" s="54">
        <v>20665.469599465716</v>
      </c>
      <c r="V155" s="69">
        <f t="shared" si="14"/>
        <v>679065.35622866405</v>
      </c>
      <c r="W155" s="69">
        <f t="shared" si="15"/>
        <v>696184.21046793344</v>
      </c>
      <c r="X155" s="69">
        <f t="shared" si="12"/>
        <v>17118.8542392694</v>
      </c>
      <c r="Z155" s="68">
        <f t="shared" si="16"/>
        <v>0</v>
      </c>
      <c r="AA155" s="68">
        <f t="shared" si="17"/>
        <v>1</v>
      </c>
      <c r="AB155" s="68">
        <f t="shared" si="13"/>
        <v>1</v>
      </c>
    </row>
    <row r="156" spans="1:28" x14ac:dyDescent="0.25">
      <c r="A156">
        <v>151</v>
      </c>
      <c r="C156" s="24">
        <v>1.4495230126196912E-3</v>
      </c>
      <c r="D156" s="24">
        <v>1.0603887241090715E-5</v>
      </c>
      <c r="E156" s="24">
        <v>9.2189477680034937E-63</v>
      </c>
      <c r="F156" s="24">
        <v>8.6339485910734509E-18</v>
      </c>
      <c r="G156" s="24">
        <v>0.57980598955754803</v>
      </c>
      <c r="H156" s="24">
        <v>0.30024360406728268</v>
      </c>
      <c r="I156" s="53">
        <v>2327.0522709434467</v>
      </c>
      <c r="J156" s="53">
        <v>6667.5960866791984</v>
      </c>
      <c r="K156" s="24">
        <v>0.86374713274243531</v>
      </c>
      <c r="L156" s="24">
        <v>0.75934872054233216</v>
      </c>
      <c r="M156" s="24">
        <v>0.72552599507995807</v>
      </c>
      <c r="O156" s="53">
        <v>3.9309258254984085</v>
      </c>
      <c r="P156" s="54">
        <v>16157.959739887508</v>
      </c>
      <c r="Q156" s="54">
        <v>3.841426063602341</v>
      </c>
      <c r="R156" s="54">
        <v>54372.500120367804</v>
      </c>
      <c r="S156" s="54">
        <v>-8.9499761896067564E-2</v>
      </c>
      <c r="T156" s="54">
        <v>38214.540380480292</v>
      </c>
      <c r="V156" s="69">
        <f t="shared" si="14"/>
        <v>770027.2053597942</v>
      </c>
      <c r="W156" s="69">
        <f t="shared" si="15"/>
        <v>713912.71260010032</v>
      </c>
      <c r="X156" s="69">
        <f t="shared" si="12"/>
        <v>-56114.492759693807</v>
      </c>
      <c r="Z156" s="68">
        <f t="shared" si="16"/>
        <v>1</v>
      </c>
      <c r="AA156" s="68">
        <f t="shared" si="17"/>
        <v>0</v>
      </c>
      <c r="AB156" s="68">
        <f t="shared" si="13"/>
        <v>0</v>
      </c>
    </row>
    <row r="157" spans="1:28" x14ac:dyDescent="0.25">
      <c r="A157">
        <v>152</v>
      </c>
      <c r="C157" s="24">
        <v>7.1435675880926475E-4</v>
      </c>
      <c r="D157" s="24">
        <v>6.9297196169191698E-4</v>
      </c>
      <c r="E157" s="24">
        <v>3.268345866225264E-5</v>
      </c>
      <c r="F157" s="24">
        <v>1.759111297738869E-7</v>
      </c>
      <c r="G157" s="24">
        <v>0.64639174022189938</v>
      </c>
      <c r="H157" s="24">
        <v>0.28563730817546129</v>
      </c>
      <c r="I157" s="53">
        <v>1853.9647741346632</v>
      </c>
      <c r="J157" s="53">
        <v>5120.7246483556992</v>
      </c>
      <c r="K157" s="24">
        <v>0.79635933260799607</v>
      </c>
      <c r="L157" s="24">
        <v>0.90875674233522952</v>
      </c>
      <c r="M157" s="24">
        <v>0.93404504830416701</v>
      </c>
      <c r="O157" s="53">
        <v>4.3613964817010267</v>
      </c>
      <c r="P157" s="54">
        <v>23420.816127165388</v>
      </c>
      <c r="Q157" s="54">
        <v>4.4990389927064678</v>
      </c>
      <c r="R157" s="54">
        <v>48758.774323963276</v>
      </c>
      <c r="S157" s="54">
        <v>0.13764251100544111</v>
      </c>
      <c r="T157" s="54">
        <v>25337.958196797888</v>
      </c>
      <c r="V157" s="69">
        <f t="shared" si="14"/>
        <v>848858.48021304002</v>
      </c>
      <c r="W157" s="69">
        <f t="shared" si="15"/>
        <v>851049.02421733027</v>
      </c>
      <c r="X157" s="69">
        <f t="shared" si="12"/>
        <v>2190.5440042903356</v>
      </c>
      <c r="Z157" s="68">
        <f t="shared" si="16"/>
        <v>0</v>
      </c>
      <c r="AA157" s="68">
        <f t="shared" si="17"/>
        <v>1</v>
      </c>
      <c r="AB157" s="68">
        <f t="shared" si="13"/>
        <v>1</v>
      </c>
    </row>
    <row r="158" spans="1:28" x14ac:dyDescent="0.25">
      <c r="A158">
        <v>153</v>
      </c>
      <c r="C158" s="24">
        <v>1.2330534933424619E-4</v>
      </c>
      <c r="D158" s="24">
        <v>2.898910110393671E-3</v>
      </c>
      <c r="E158" s="24">
        <v>1.1936096235631855E-4</v>
      </c>
      <c r="F158" s="24">
        <v>5.7043327332724152E-31</v>
      </c>
      <c r="G158" s="24">
        <v>0.55067165635890003</v>
      </c>
      <c r="H158" s="24">
        <v>0.23401328182820302</v>
      </c>
      <c r="I158" s="53">
        <v>1794.9155237656917</v>
      </c>
      <c r="J158" s="53">
        <v>4570.0868810087204</v>
      </c>
      <c r="K158" s="24">
        <v>0.5517571860197702</v>
      </c>
      <c r="L158" s="24">
        <v>0.88965773874850973</v>
      </c>
      <c r="M158" s="24">
        <v>0.73725712010431943</v>
      </c>
      <c r="O158" s="53">
        <v>4.0540787379427723</v>
      </c>
      <c r="P158" s="54">
        <v>15198.734487430409</v>
      </c>
      <c r="Q158" s="54">
        <v>4.3424228539629501</v>
      </c>
      <c r="R158" s="54">
        <v>31983.4285522061</v>
      </c>
      <c r="S158" s="54">
        <v>0.28834411602017784</v>
      </c>
      <c r="T158" s="54">
        <v>16784.694064775693</v>
      </c>
      <c r="V158" s="69">
        <f t="shared" si="14"/>
        <v>795617.01310112409</v>
      </c>
      <c r="W158" s="69">
        <f t="shared" si="15"/>
        <v>836501.1422403839</v>
      </c>
      <c r="X158" s="69">
        <f t="shared" si="12"/>
        <v>40884.129139259872</v>
      </c>
      <c r="Z158" s="68">
        <f t="shared" si="16"/>
        <v>0</v>
      </c>
      <c r="AA158" s="68">
        <f t="shared" si="17"/>
        <v>1</v>
      </c>
      <c r="AB158" s="68">
        <f t="shared" si="13"/>
        <v>1</v>
      </c>
    </row>
    <row r="159" spans="1:28" x14ac:dyDescent="0.25">
      <c r="A159">
        <v>154</v>
      </c>
      <c r="C159" s="24">
        <v>4.3374387200930991E-13</v>
      </c>
      <c r="D159" s="24">
        <v>3.4255496353963188E-3</v>
      </c>
      <c r="E159" s="24">
        <v>2.9181433713887373E-7</v>
      </c>
      <c r="F159" s="24">
        <v>5.9757378993667274E-20</v>
      </c>
      <c r="G159" s="24">
        <v>0.51663967109741071</v>
      </c>
      <c r="H159" s="24">
        <v>0.39412632550358107</v>
      </c>
      <c r="I159" s="53">
        <v>1984.104354482608</v>
      </c>
      <c r="J159" s="53">
        <v>4307.442916152645</v>
      </c>
      <c r="K159" s="24">
        <v>0.59295938601475306</v>
      </c>
      <c r="L159" s="24">
        <v>0.80703237029161201</v>
      </c>
      <c r="M159" s="24">
        <v>0.81083728329378935</v>
      </c>
      <c r="O159" s="53">
        <v>3.8147700562955089</v>
      </c>
      <c r="P159" s="54">
        <v>17005.000007835832</v>
      </c>
      <c r="Q159" s="54">
        <v>3.8973234522351285</v>
      </c>
      <c r="R159" s="54">
        <v>64479.788710534143</v>
      </c>
      <c r="S159" s="54">
        <v>8.2553395939619634E-2</v>
      </c>
      <c r="T159" s="54">
        <v>47474.788702698308</v>
      </c>
      <c r="V159" s="69">
        <f t="shared" si="14"/>
        <v>745949.011251266</v>
      </c>
      <c r="W159" s="69">
        <f t="shared" si="15"/>
        <v>714984.90173649159</v>
      </c>
      <c r="X159" s="69">
        <f t="shared" si="12"/>
        <v>-30964.10951477438</v>
      </c>
      <c r="Z159" s="68">
        <f t="shared" si="16"/>
        <v>1</v>
      </c>
      <c r="AA159" s="68">
        <f t="shared" si="17"/>
        <v>0</v>
      </c>
      <c r="AB159" s="68">
        <f t="shared" si="13"/>
        <v>0</v>
      </c>
    </row>
    <row r="160" spans="1:28" x14ac:dyDescent="0.25">
      <c r="A160">
        <v>155</v>
      </c>
      <c r="C160" s="24">
        <v>3.7476285386330854E-3</v>
      </c>
      <c r="D160" s="24">
        <v>2.2965910781992424E-8</v>
      </c>
      <c r="E160" s="24">
        <v>2.8507216260929933E-59</v>
      </c>
      <c r="F160" s="24">
        <v>1.9187977004175849E-5</v>
      </c>
      <c r="G160" s="24">
        <v>0.5240667451738048</v>
      </c>
      <c r="H160" s="24">
        <v>0.31065826653250594</v>
      </c>
      <c r="I160" s="53">
        <v>2284.5827816686315</v>
      </c>
      <c r="J160" s="53">
        <v>4343.8962763664413</v>
      </c>
      <c r="K160" s="24">
        <v>0.32898830880988789</v>
      </c>
      <c r="L160" s="24">
        <v>0.98980545458705804</v>
      </c>
      <c r="M160" s="24">
        <v>0.98305165269200101</v>
      </c>
      <c r="O160" s="53">
        <v>4.2499331203991613</v>
      </c>
      <c r="P160" s="54">
        <v>17790.975136362063</v>
      </c>
      <c r="Q160" s="54">
        <v>4.6519601758243594</v>
      </c>
      <c r="R160" s="54">
        <v>38959.926933691786</v>
      </c>
      <c r="S160" s="54">
        <v>0.40202705542519812</v>
      </c>
      <c r="T160" s="54">
        <v>21168.951797329722</v>
      </c>
      <c r="V160" s="69">
        <f t="shared" si="14"/>
        <v>832195.64894347021</v>
      </c>
      <c r="W160" s="69">
        <f t="shared" si="15"/>
        <v>891432.10823118</v>
      </c>
      <c r="X160" s="69">
        <f t="shared" si="12"/>
        <v>59236.459287709906</v>
      </c>
      <c r="Z160" s="68">
        <f t="shared" si="16"/>
        <v>0</v>
      </c>
      <c r="AA160" s="68">
        <f t="shared" si="17"/>
        <v>1</v>
      </c>
      <c r="AB160" s="68">
        <f t="shared" si="13"/>
        <v>1</v>
      </c>
    </row>
    <row r="161" spans="1:28" x14ac:dyDescent="0.25">
      <c r="A161">
        <v>156</v>
      </c>
      <c r="C161" s="24">
        <v>1.4317459380694668E-5</v>
      </c>
      <c r="D161" s="24">
        <v>3.1551473452502449E-4</v>
      </c>
      <c r="E161" s="24">
        <v>7.8153026108298057E-17</v>
      </c>
      <c r="F161" s="24">
        <v>4.4741987892393809E-14</v>
      </c>
      <c r="G161" s="24">
        <v>0.54693384061296979</v>
      </c>
      <c r="H161" s="24">
        <v>0.2610892115449549</v>
      </c>
      <c r="I161" s="53">
        <v>2146.6028134246117</v>
      </c>
      <c r="J161" s="53">
        <v>4147.8458909889878</v>
      </c>
      <c r="K161" s="24">
        <v>0.5792938824957522</v>
      </c>
      <c r="L161" s="24">
        <v>0.86565124414660066</v>
      </c>
      <c r="M161" s="24">
        <v>0.80440604315768316</v>
      </c>
      <c r="O161" s="53">
        <v>3.9994812316953725</v>
      </c>
      <c r="P161" s="54">
        <v>17536.662056779904</v>
      </c>
      <c r="Q161" s="54">
        <v>4.227074980876381</v>
      </c>
      <c r="R161" s="54">
        <v>34869.754402004735</v>
      </c>
      <c r="S161" s="54">
        <v>0.2275937491810085</v>
      </c>
      <c r="T161" s="54">
        <v>17333.092345224832</v>
      </c>
      <c r="V161" s="69">
        <f t="shared" si="14"/>
        <v>782359.5842822945</v>
      </c>
      <c r="W161" s="69">
        <f t="shared" si="15"/>
        <v>810545.24177327147</v>
      </c>
      <c r="X161" s="69">
        <f t="shared" si="12"/>
        <v>28185.657490976868</v>
      </c>
      <c r="Z161" s="68">
        <f t="shared" si="16"/>
        <v>0</v>
      </c>
      <c r="AA161" s="68">
        <f t="shared" si="17"/>
        <v>1</v>
      </c>
      <c r="AB161" s="68">
        <f t="shared" si="13"/>
        <v>1</v>
      </c>
    </row>
    <row r="162" spans="1:28" x14ac:dyDescent="0.25">
      <c r="A162">
        <v>157</v>
      </c>
      <c r="C162" s="24">
        <v>6.1737902612324369E-4</v>
      </c>
      <c r="D162" s="24">
        <v>8.3927521686254453E-4</v>
      </c>
      <c r="E162" s="24">
        <v>4.0498930245549052E-15</v>
      </c>
      <c r="F162" s="24">
        <v>6.2081526649403063E-44</v>
      </c>
      <c r="G162" s="24">
        <v>0.66105884763613276</v>
      </c>
      <c r="H162" s="24">
        <v>0.25012269530392028</v>
      </c>
      <c r="I162" s="53">
        <v>1833.2207772010204</v>
      </c>
      <c r="J162" s="53">
        <v>5461.5426736073814</v>
      </c>
      <c r="K162" s="24">
        <v>0.61610164070360729</v>
      </c>
      <c r="L162" s="24">
        <v>0.97221045305964782</v>
      </c>
      <c r="M162" s="24">
        <v>0.74851137070750173</v>
      </c>
      <c r="O162" s="53">
        <v>4.2528469912490561</v>
      </c>
      <c r="P162" s="54">
        <v>22501.406864556164</v>
      </c>
      <c r="Q162" s="54">
        <v>4.7412195105567214</v>
      </c>
      <c r="R162" s="54">
        <v>35473.547167119876</v>
      </c>
      <c r="S162" s="54">
        <v>0.48837251930766534</v>
      </c>
      <c r="T162" s="54">
        <v>12972.140302563712</v>
      </c>
      <c r="V162" s="69">
        <f t="shared" si="14"/>
        <v>828067.99138525513</v>
      </c>
      <c r="W162" s="69">
        <f t="shared" si="15"/>
        <v>912770.35494422435</v>
      </c>
      <c r="X162" s="69">
        <f t="shared" si="12"/>
        <v>84702.363558969359</v>
      </c>
      <c r="Z162" s="68">
        <f t="shared" si="16"/>
        <v>0</v>
      </c>
      <c r="AA162" s="68">
        <f t="shared" si="17"/>
        <v>1</v>
      </c>
      <c r="AB162" s="68">
        <f t="shared" si="13"/>
        <v>1</v>
      </c>
    </row>
    <row r="163" spans="1:28" x14ac:dyDescent="0.25">
      <c r="A163">
        <v>158</v>
      </c>
      <c r="C163" s="24">
        <v>8.652402307447904E-3</v>
      </c>
      <c r="D163" s="24">
        <v>4.9977285343150157E-3</v>
      </c>
      <c r="E163" s="24">
        <v>2.3712633861320524E-41</v>
      </c>
      <c r="F163" s="24">
        <v>8.992806499463768E-15</v>
      </c>
      <c r="G163" s="24">
        <v>0.60345349803969639</v>
      </c>
      <c r="H163" s="24">
        <v>0.14161647425451673</v>
      </c>
      <c r="I163" s="53">
        <v>2506.7678830392356</v>
      </c>
      <c r="J163" s="53">
        <v>6621.013964368809</v>
      </c>
      <c r="K163" s="24">
        <v>0.67013660268547126</v>
      </c>
      <c r="L163" s="24">
        <v>0.91733798614869588</v>
      </c>
      <c r="M163" s="24">
        <v>0.54736670696669509</v>
      </c>
      <c r="O163" s="53">
        <v>4.2115481704930327</v>
      </c>
      <c r="P163" s="54">
        <v>20607.302628566191</v>
      </c>
      <c r="Q163" s="54">
        <v>4.5354938872133586</v>
      </c>
      <c r="R163" s="54">
        <v>17879.464771361709</v>
      </c>
      <c r="S163" s="54">
        <v>0.3239457167203259</v>
      </c>
      <c r="T163" s="54">
        <v>-2727.8378572044821</v>
      </c>
      <c r="V163" s="69">
        <f t="shared" si="14"/>
        <v>821702.33147004037</v>
      </c>
      <c r="W163" s="69">
        <f t="shared" si="15"/>
        <v>889219.31267131004</v>
      </c>
      <c r="X163" s="69">
        <f t="shared" si="12"/>
        <v>67516.981201269664</v>
      </c>
      <c r="Z163" s="68">
        <f t="shared" si="16"/>
        <v>0</v>
      </c>
      <c r="AA163" s="68">
        <f t="shared" si="17"/>
        <v>1</v>
      </c>
      <c r="AB163" s="68">
        <f t="shared" si="13"/>
        <v>1</v>
      </c>
    </row>
    <row r="164" spans="1:28" x14ac:dyDescent="0.25">
      <c r="A164">
        <v>159</v>
      </c>
      <c r="C164" s="24">
        <v>5.3164133524450374E-3</v>
      </c>
      <c r="D164" s="24">
        <v>1.3623447721597217E-4</v>
      </c>
      <c r="E164" s="24">
        <v>5.6313176292047176E-15</v>
      </c>
      <c r="F164" s="24">
        <v>2.6222211267984931E-58</v>
      </c>
      <c r="G164" s="24">
        <v>0.47736220138176322</v>
      </c>
      <c r="H164" s="24">
        <v>0.2825383158102408</v>
      </c>
      <c r="I164" s="53">
        <v>2198.2522978282009</v>
      </c>
      <c r="J164" s="53">
        <v>4466.2789281865007</v>
      </c>
      <c r="K164" s="24">
        <v>0.64348675819516921</v>
      </c>
      <c r="L164" s="24">
        <v>0.8536339126711272</v>
      </c>
      <c r="M164" s="24">
        <v>0.88655585313761276</v>
      </c>
      <c r="O164" s="53">
        <v>4.0823612579780777</v>
      </c>
      <c r="P164" s="54">
        <v>18091.329013312305</v>
      </c>
      <c r="Q164" s="54">
        <v>4.1855908563524133</v>
      </c>
      <c r="R164" s="54">
        <v>35518.242782319801</v>
      </c>
      <c r="S164" s="54">
        <v>0.10322959837433565</v>
      </c>
      <c r="T164" s="54">
        <v>17426.913769007497</v>
      </c>
      <c r="V164" s="69">
        <f t="shared" si="14"/>
        <v>798380.92258230317</v>
      </c>
      <c r="W164" s="69">
        <f t="shared" si="15"/>
        <v>801599.92848816293</v>
      </c>
      <c r="X164" s="69">
        <f t="shared" si="12"/>
        <v>3219.0059058596344</v>
      </c>
      <c r="Z164" s="68">
        <f t="shared" si="16"/>
        <v>0</v>
      </c>
      <c r="AA164" s="68">
        <f t="shared" si="17"/>
        <v>1</v>
      </c>
      <c r="AB164" s="68">
        <f t="shared" si="13"/>
        <v>1</v>
      </c>
    </row>
    <row r="165" spans="1:28" x14ac:dyDescent="0.25">
      <c r="A165">
        <v>160</v>
      </c>
      <c r="C165" s="24">
        <v>1.5955761938437157E-5</v>
      </c>
      <c r="D165" s="24">
        <v>6.3286352951366087E-3</v>
      </c>
      <c r="E165" s="24">
        <v>4.8773477479002736E-9</v>
      </c>
      <c r="F165" s="24">
        <v>7.0607153437390974E-17</v>
      </c>
      <c r="G165" s="24">
        <v>0.63704167628522934</v>
      </c>
      <c r="H165" s="24">
        <v>0.20963278934256846</v>
      </c>
      <c r="I165" s="53">
        <v>2018.323828195573</v>
      </c>
      <c r="J165" s="53">
        <v>4762.8088508359187</v>
      </c>
      <c r="K165" s="24">
        <v>0.74744136093105962</v>
      </c>
      <c r="L165" s="24">
        <v>0.8187214734681818</v>
      </c>
      <c r="M165" s="24">
        <v>0.85385884338946194</v>
      </c>
      <c r="O165" s="53">
        <v>3.9816318307255161</v>
      </c>
      <c r="P165" s="54">
        <v>20170.369485007657</v>
      </c>
      <c r="Q165" s="54">
        <v>4.0760412311786514</v>
      </c>
      <c r="R165" s="54">
        <v>24115.636889252921</v>
      </c>
      <c r="S165" s="54">
        <v>9.4409400453135284E-2</v>
      </c>
      <c r="T165" s="54">
        <v>3945.2674042452636</v>
      </c>
      <c r="V165" s="69">
        <f t="shared" si="14"/>
        <v>776155.99666009564</v>
      </c>
      <c r="W165" s="69">
        <f t="shared" si="15"/>
        <v>791092.60934647731</v>
      </c>
      <c r="X165" s="69">
        <f t="shared" si="12"/>
        <v>14936.612686381792</v>
      </c>
      <c r="Z165" s="68">
        <f t="shared" si="16"/>
        <v>0</v>
      </c>
      <c r="AA165" s="68">
        <f t="shared" si="17"/>
        <v>1</v>
      </c>
      <c r="AB165" s="68">
        <f t="shared" si="13"/>
        <v>1</v>
      </c>
    </row>
    <row r="166" spans="1:28" x14ac:dyDescent="0.25">
      <c r="A166">
        <v>161</v>
      </c>
      <c r="C166" s="24">
        <v>3.1867112957609675E-5</v>
      </c>
      <c r="D166" s="24">
        <v>1.3804541929698377E-3</v>
      </c>
      <c r="E166" s="24">
        <v>7.9972088677491244E-22</v>
      </c>
      <c r="F166" s="24">
        <v>1.1093262203165644E-5</v>
      </c>
      <c r="G166" s="24">
        <v>0.69822464200459045</v>
      </c>
      <c r="H166" s="24">
        <v>0.24361038475089647</v>
      </c>
      <c r="I166" s="53">
        <v>2114.7644434119643</v>
      </c>
      <c r="J166" s="53">
        <v>5546.8654202680464</v>
      </c>
      <c r="K166" s="24">
        <v>0.77050640298405348</v>
      </c>
      <c r="L166" s="24">
        <v>0.93787187165547636</v>
      </c>
      <c r="M166" s="24">
        <v>0.90427385850591491</v>
      </c>
      <c r="O166" s="53">
        <v>4.3663729344354945</v>
      </c>
      <c r="P166" s="54">
        <v>21130.86844678779</v>
      </c>
      <c r="Q166" s="54">
        <v>4.6351510062857715</v>
      </c>
      <c r="R166" s="54">
        <v>34466.801838148807</v>
      </c>
      <c r="S166" s="54">
        <v>0.26877807185027702</v>
      </c>
      <c r="T166" s="54">
        <v>13335.933391361017</v>
      </c>
      <c r="V166" s="69">
        <f t="shared" si="14"/>
        <v>852143.71844031103</v>
      </c>
      <c r="W166" s="69">
        <f t="shared" si="15"/>
        <v>892563.39941900549</v>
      </c>
      <c r="X166" s="69">
        <f t="shared" si="12"/>
        <v>40419.680978694385</v>
      </c>
      <c r="Z166" s="68">
        <f t="shared" si="16"/>
        <v>0</v>
      </c>
      <c r="AA166" s="68">
        <f t="shared" si="17"/>
        <v>1</v>
      </c>
      <c r="AB166" s="68">
        <f t="shared" si="13"/>
        <v>1</v>
      </c>
    </row>
    <row r="167" spans="1:28" x14ac:dyDescent="0.25">
      <c r="A167">
        <v>162</v>
      </c>
      <c r="C167" s="24">
        <v>2.2449629704925466E-5</v>
      </c>
      <c r="D167" s="24">
        <v>1.4855269716150143E-2</v>
      </c>
      <c r="E167" s="24">
        <v>3.3732905357908294E-11</v>
      </c>
      <c r="F167" s="24">
        <v>1.7831291998504639E-12</v>
      </c>
      <c r="G167" s="24">
        <v>0.59706717588049285</v>
      </c>
      <c r="H167" s="24">
        <v>0.21662541726447027</v>
      </c>
      <c r="I167" s="53">
        <v>2189.2557575904898</v>
      </c>
      <c r="J167" s="53">
        <v>5483.3778303678491</v>
      </c>
      <c r="K167" s="24">
        <v>0.6212406332321907</v>
      </c>
      <c r="L167" s="24">
        <v>0.70901796610863632</v>
      </c>
      <c r="M167" s="24">
        <v>0.88552947690058059</v>
      </c>
      <c r="O167" s="53">
        <v>3.4249261549539818</v>
      </c>
      <c r="P167" s="54">
        <v>21294.125755632213</v>
      </c>
      <c r="Q167" s="54">
        <v>3.5366394070572746</v>
      </c>
      <c r="R167" s="54">
        <v>42867.676138144925</v>
      </c>
      <c r="S167" s="54">
        <v>0.11171325210329286</v>
      </c>
      <c r="T167" s="54">
        <v>21573.550382512713</v>
      </c>
      <c r="V167" s="69">
        <f t="shared" si="14"/>
        <v>663691.10523516417</v>
      </c>
      <c r="W167" s="69">
        <f t="shared" si="15"/>
        <v>664460.20527330996</v>
      </c>
      <c r="X167" s="69">
        <f t="shared" si="12"/>
        <v>769.10003814585798</v>
      </c>
      <c r="Z167" s="68">
        <f t="shared" si="16"/>
        <v>0</v>
      </c>
      <c r="AA167" s="68">
        <f t="shared" si="17"/>
        <v>1</v>
      </c>
      <c r="AB167" s="68">
        <f t="shared" si="13"/>
        <v>1</v>
      </c>
    </row>
    <row r="168" spans="1:28" x14ac:dyDescent="0.25">
      <c r="A168">
        <v>163</v>
      </c>
      <c r="C168" s="24">
        <v>2.7330147185196108E-3</v>
      </c>
      <c r="D168" s="24">
        <v>1.0891484658381711E-4</v>
      </c>
      <c r="E168" s="24">
        <v>1.3002387521855445E-20</v>
      </c>
      <c r="F168" s="24">
        <v>1.5839152747710102E-17</v>
      </c>
      <c r="G168" s="24">
        <v>0.57515380221050305</v>
      </c>
      <c r="H168" s="24">
        <v>0.3582189047416372</v>
      </c>
      <c r="I168" s="53">
        <v>1688.2048660112957</v>
      </c>
      <c r="J168" s="53">
        <v>4786.3526004589321</v>
      </c>
      <c r="K168" s="24">
        <v>0.68008817472048677</v>
      </c>
      <c r="L168" s="24">
        <v>0.87869335099211709</v>
      </c>
      <c r="M168" s="24">
        <v>0.80518327783616739</v>
      </c>
      <c r="O168" s="53">
        <v>4.1397543576429623</v>
      </c>
      <c r="P168" s="54">
        <v>14563.04873028877</v>
      </c>
      <c r="Q168" s="54">
        <v>4.2832109778584533</v>
      </c>
      <c r="R168" s="54">
        <v>53428.826803257485</v>
      </c>
      <c r="S168" s="54">
        <v>0.14345662021549099</v>
      </c>
      <c r="T168" s="54">
        <v>38865.778072968715</v>
      </c>
      <c r="V168" s="69">
        <f t="shared" si="14"/>
        <v>813387.82279830368</v>
      </c>
      <c r="W168" s="69">
        <f t="shared" si="15"/>
        <v>803213.36876843323</v>
      </c>
      <c r="X168" s="69">
        <f t="shared" si="12"/>
        <v>-10174.454029870518</v>
      </c>
      <c r="Z168" s="68">
        <f t="shared" si="16"/>
        <v>1</v>
      </c>
      <c r="AA168" s="68">
        <f t="shared" si="17"/>
        <v>0</v>
      </c>
      <c r="AB168" s="68">
        <f t="shared" si="13"/>
        <v>0</v>
      </c>
    </row>
    <row r="169" spans="1:28" x14ac:dyDescent="0.25">
      <c r="A169">
        <v>164</v>
      </c>
      <c r="C169" s="24">
        <v>9.8640607475342141E-7</v>
      </c>
      <c r="D169" s="24">
        <v>2.5580643167416595E-3</v>
      </c>
      <c r="E169" s="24">
        <v>3.2431631769267272E-17</v>
      </c>
      <c r="F169" s="24">
        <v>3.117482348993487E-64</v>
      </c>
      <c r="G169" s="24">
        <v>0.67381923652427933</v>
      </c>
      <c r="H169" s="24">
        <v>0.36060739577456069</v>
      </c>
      <c r="I169" s="53">
        <v>1708.2221410438519</v>
      </c>
      <c r="J169" s="53">
        <v>5943.2744850321469</v>
      </c>
      <c r="K169" s="24">
        <v>0.68783445036790303</v>
      </c>
      <c r="L169" s="24">
        <v>0.93080576675573523</v>
      </c>
      <c r="M169" s="24">
        <v>0.96866453282460252</v>
      </c>
      <c r="O169" s="53">
        <v>4.2218227244740714</v>
      </c>
      <c r="P169" s="54">
        <v>22717.6711169193</v>
      </c>
      <c r="Q169" s="54">
        <v>4.5185048365915685</v>
      </c>
      <c r="R169" s="54">
        <v>56691.912854164628</v>
      </c>
      <c r="S169" s="54">
        <v>0.29668211211749718</v>
      </c>
      <c r="T169" s="54">
        <v>33974.241737245327</v>
      </c>
      <c r="V169" s="69">
        <f t="shared" si="14"/>
        <v>821646.873777895</v>
      </c>
      <c r="W169" s="69">
        <f t="shared" si="15"/>
        <v>847009.05446414906</v>
      </c>
      <c r="X169" s="69">
        <f t="shared" si="12"/>
        <v>25362.180686254105</v>
      </c>
      <c r="Z169" s="68">
        <f t="shared" si="16"/>
        <v>0</v>
      </c>
      <c r="AA169" s="68">
        <f t="shared" si="17"/>
        <v>1</v>
      </c>
      <c r="AB169" s="68">
        <f t="shared" si="13"/>
        <v>1</v>
      </c>
    </row>
    <row r="170" spans="1:28" x14ac:dyDescent="0.25">
      <c r="A170">
        <v>165</v>
      </c>
      <c r="C170" s="24">
        <v>1.0706862328302424E-4</v>
      </c>
      <c r="D170" s="24">
        <v>1.3656228623543099E-3</v>
      </c>
      <c r="E170" s="24">
        <v>8.3554274610264656E-12</v>
      </c>
      <c r="F170" s="24">
        <v>5.9194923588051391E-73</v>
      </c>
      <c r="G170" s="24">
        <v>0.54349760803136549</v>
      </c>
      <c r="H170" s="24">
        <v>0.25870984192412039</v>
      </c>
      <c r="I170" s="53">
        <v>1989.0023295679428</v>
      </c>
      <c r="J170" s="53">
        <v>5939.2460501195073</v>
      </c>
      <c r="K170" s="24">
        <v>0.81796959882024267</v>
      </c>
      <c r="L170" s="24">
        <v>0.89016789135269758</v>
      </c>
      <c r="M170" s="24">
        <v>0.88594327800638295</v>
      </c>
      <c r="O170" s="53">
        <v>4.3689549087476367</v>
      </c>
      <c r="P170" s="54">
        <v>14413.642581484832</v>
      </c>
      <c r="Q170" s="54">
        <v>4.4256352957220901</v>
      </c>
      <c r="R170" s="54">
        <v>35269.77515232336</v>
      </c>
      <c r="S170" s="54">
        <v>5.6680386974453434E-2</v>
      </c>
      <c r="T170" s="54">
        <v>20856.132570838527</v>
      </c>
      <c r="V170" s="69">
        <f t="shared" si="14"/>
        <v>859377.33916804253</v>
      </c>
      <c r="W170" s="69">
        <f t="shared" si="15"/>
        <v>849857.28399209469</v>
      </c>
      <c r="X170" s="69">
        <f t="shared" si="12"/>
        <v>-9520.0551759478403</v>
      </c>
      <c r="Z170" s="68">
        <f t="shared" si="16"/>
        <v>1</v>
      </c>
      <c r="AA170" s="68">
        <f t="shared" si="17"/>
        <v>0</v>
      </c>
      <c r="AB170" s="68">
        <f t="shared" si="13"/>
        <v>0</v>
      </c>
    </row>
    <row r="171" spans="1:28" x14ac:dyDescent="0.25">
      <c r="A171">
        <v>166</v>
      </c>
      <c r="C171" s="24">
        <v>2.47095101383773E-2</v>
      </c>
      <c r="D171" s="24">
        <v>7.6945018066131845E-4</v>
      </c>
      <c r="E171" s="24">
        <v>8.5174398609928497E-24</v>
      </c>
      <c r="F171" s="24">
        <v>2.9198865547641617E-14</v>
      </c>
      <c r="G171" s="24">
        <v>0.54255937604429494</v>
      </c>
      <c r="H171" s="24">
        <v>0.16639231002151067</v>
      </c>
      <c r="I171" s="53">
        <v>2066.5440855110969</v>
      </c>
      <c r="J171" s="53">
        <v>4692.3642737865439</v>
      </c>
      <c r="K171" s="24">
        <v>0.59412027580954119</v>
      </c>
      <c r="L171" s="24">
        <v>0.97178146035152735</v>
      </c>
      <c r="M171" s="24">
        <v>0.80985163788843262</v>
      </c>
      <c r="O171" s="53">
        <v>4.3981841345799024</v>
      </c>
      <c r="P171" s="54">
        <v>17399.441866252899</v>
      </c>
      <c r="Q171" s="54">
        <v>4.7828163295350388</v>
      </c>
      <c r="R171" s="54">
        <v>27591.886034855634</v>
      </c>
      <c r="S171" s="54">
        <v>0.38463219495513634</v>
      </c>
      <c r="T171" s="54">
        <v>10192.444168602735</v>
      </c>
      <c r="V171" s="69">
        <f t="shared" si="14"/>
        <v>862237.38504972751</v>
      </c>
      <c r="W171" s="69">
        <f t="shared" si="15"/>
        <v>928971.37987215212</v>
      </c>
      <c r="X171" s="69">
        <f t="shared" si="12"/>
        <v>66733.994822424545</v>
      </c>
      <c r="Z171" s="68">
        <f t="shared" si="16"/>
        <v>0</v>
      </c>
      <c r="AA171" s="68">
        <f t="shared" si="17"/>
        <v>1</v>
      </c>
      <c r="AB171" s="68">
        <f t="shared" si="13"/>
        <v>1</v>
      </c>
    </row>
    <row r="172" spans="1:28" x14ac:dyDescent="0.25">
      <c r="A172">
        <v>167</v>
      </c>
      <c r="C172" s="24">
        <v>2.1186969697384317E-4</v>
      </c>
      <c r="D172" s="24">
        <v>4.9517571208013145E-3</v>
      </c>
      <c r="E172" s="24">
        <v>8.5391287478208896E-17</v>
      </c>
      <c r="F172" s="24">
        <v>2.1828063493153447E-29</v>
      </c>
      <c r="G172" s="24">
        <v>0.31238780040316483</v>
      </c>
      <c r="H172" s="24">
        <v>0.22780359538682848</v>
      </c>
      <c r="I172" s="53">
        <v>1836.641714592542</v>
      </c>
      <c r="J172" s="53">
        <v>4924.4230529352562</v>
      </c>
      <c r="K172" s="24">
        <v>0.5645819975975892</v>
      </c>
      <c r="L172" s="24">
        <v>0.66621972342316771</v>
      </c>
      <c r="M172" s="24">
        <v>0.84150697382253947</v>
      </c>
      <c r="O172" s="53">
        <v>3.2853067252696024</v>
      </c>
      <c r="P172" s="54">
        <v>8471.6662084294967</v>
      </c>
      <c r="Q172" s="54">
        <v>3.3064219430361352</v>
      </c>
      <c r="R172" s="54">
        <v>46089.56529389663</v>
      </c>
      <c r="S172" s="54">
        <v>2.1115217766532801E-2</v>
      </c>
      <c r="T172" s="54">
        <v>37617.899085467136</v>
      </c>
      <c r="V172" s="69">
        <f t="shared" si="14"/>
        <v>648589.67884549103</v>
      </c>
      <c r="W172" s="69">
        <f t="shared" si="15"/>
        <v>615194.82331333042</v>
      </c>
      <c r="X172" s="69">
        <f t="shared" si="12"/>
        <v>-33394.855532160575</v>
      </c>
      <c r="Z172" s="68">
        <f t="shared" si="16"/>
        <v>1</v>
      </c>
      <c r="AA172" s="68">
        <f t="shared" si="17"/>
        <v>0</v>
      </c>
      <c r="AB172" s="68">
        <f t="shared" si="13"/>
        <v>0</v>
      </c>
    </row>
    <row r="173" spans="1:28" x14ac:dyDescent="0.25">
      <c r="A173">
        <v>168</v>
      </c>
      <c r="C173" s="24">
        <v>1.9259974529913459E-2</v>
      </c>
      <c r="D173" s="24">
        <v>6.7085686315733971E-4</v>
      </c>
      <c r="E173" s="24">
        <v>1.661266446772848E-25</v>
      </c>
      <c r="F173" s="24">
        <v>2.2004637713641061E-23</v>
      </c>
      <c r="G173" s="24">
        <v>0.34882257742043765</v>
      </c>
      <c r="H173" s="24">
        <v>0.20064513657933569</v>
      </c>
      <c r="I173" s="53">
        <v>2240.3498605351297</v>
      </c>
      <c r="J173" s="53">
        <v>6281.4278867903904</v>
      </c>
      <c r="K173" s="24">
        <v>0.70855704548408149</v>
      </c>
      <c r="L173" s="24">
        <v>0.89799149025362923</v>
      </c>
      <c r="M173" s="24">
        <v>0.93735788652138785</v>
      </c>
      <c r="O173" s="53">
        <v>4.3942065515409343</v>
      </c>
      <c r="P173" s="54">
        <v>12092.65424802955</v>
      </c>
      <c r="Q173" s="54">
        <v>4.4425800946870124</v>
      </c>
      <c r="R173" s="54">
        <v>25174.832920569199</v>
      </c>
      <c r="S173" s="54">
        <v>4.8373543146078113E-2</v>
      </c>
      <c r="T173" s="54">
        <v>13082.178672539649</v>
      </c>
      <c r="V173" s="69">
        <f t="shared" si="14"/>
        <v>866748.65606015734</v>
      </c>
      <c r="W173" s="69">
        <f t="shared" si="15"/>
        <v>863341.18601683329</v>
      </c>
      <c r="X173" s="69">
        <f t="shared" si="12"/>
        <v>-3407.4700433240268</v>
      </c>
      <c r="Z173" s="68">
        <f t="shared" si="16"/>
        <v>1</v>
      </c>
      <c r="AA173" s="68">
        <f t="shared" si="17"/>
        <v>0</v>
      </c>
      <c r="AB173" s="68">
        <f t="shared" si="13"/>
        <v>0</v>
      </c>
    </row>
    <row r="174" spans="1:28" x14ac:dyDescent="0.25">
      <c r="A174">
        <v>169</v>
      </c>
      <c r="C174" s="24">
        <v>2.4593754869250972E-4</v>
      </c>
      <c r="D174" s="24">
        <v>1.1497908003124779E-3</v>
      </c>
      <c r="E174" s="24">
        <v>6.9300121197102271E-13</v>
      </c>
      <c r="F174" s="24">
        <v>6.9371175470678281E-12</v>
      </c>
      <c r="G174" s="24">
        <v>0.62392838750219237</v>
      </c>
      <c r="H174" s="24">
        <v>0.23755779879147454</v>
      </c>
      <c r="I174" s="53">
        <v>2177.0021471446125</v>
      </c>
      <c r="J174" s="53">
        <v>5849.8349360565862</v>
      </c>
      <c r="K174" s="24">
        <v>0.67574813164147773</v>
      </c>
      <c r="L174" s="24">
        <v>0.91990675852198356</v>
      </c>
      <c r="M174" s="24">
        <v>0.83621712127588055</v>
      </c>
      <c r="O174" s="53">
        <v>4.2325675763731994</v>
      </c>
      <c r="P174" s="54">
        <v>18658.348387161928</v>
      </c>
      <c r="Q174" s="54">
        <v>4.522925922737608</v>
      </c>
      <c r="R174" s="54">
        <v>36723.715891111817</v>
      </c>
      <c r="S174" s="54">
        <v>0.2903583463644086</v>
      </c>
      <c r="T174" s="54">
        <v>18065.367503949888</v>
      </c>
      <c r="V174" s="69">
        <f t="shared" si="14"/>
        <v>827855.16688747786</v>
      </c>
      <c r="W174" s="69">
        <f t="shared" si="15"/>
        <v>867861.46865640976</v>
      </c>
      <c r="X174" s="69">
        <f t="shared" si="12"/>
        <v>40006.301768931837</v>
      </c>
      <c r="Z174" s="68">
        <f t="shared" si="16"/>
        <v>0</v>
      </c>
      <c r="AA174" s="68">
        <f t="shared" si="17"/>
        <v>1</v>
      </c>
      <c r="AB174" s="68">
        <f t="shared" si="13"/>
        <v>1</v>
      </c>
    </row>
    <row r="175" spans="1:28" x14ac:dyDescent="0.25">
      <c r="A175">
        <v>170</v>
      </c>
      <c r="C175" s="24">
        <v>1.0532584894284991E-4</v>
      </c>
      <c r="D175" s="24">
        <v>4.9427162849767781E-3</v>
      </c>
      <c r="E175" s="24">
        <v>8.9205649095627248E-21</v>
      </c>
      <c r="F175" s="24">
        <v>3.2217182417992721E-38</v>
      </c>
      <c r="G175" s="24">
        <v>0.56572925873611479</v>
      </c>
      <c r="H175" s="24">
        <v>0.3242127873417292</v>
      </c>
      <c r="I175" s="53">
        <v>1441.8727771128888</v>
      </c>
      <c r="J175" s="53">
        <v>7126.5338290702757</v>
      </c>
      <c r="K175" s="24">
        <v>0.64911564435841329</v>
      </c>
      <c r="L175" s="24">
        <v>0.90184891571048165</v>
      </c>
      <c r="M175" s="24">
        <v>0.87394119322877084</v>
      </c>
      <c r="O175" s="53">
        <v>4.199059552768257</v>
      </c>
      <c r="P175" s="54">
        <v>19092.946725657235</v>
      </c>
      <c r="Q175" s="54">
        <v>4.3875056755215063</v>
      </c>
      <c r="R175" s="54">
        <v>49495.616735160314</v>
      </c>
      <c r="S175" s="54">
        <v>0.18844612275324923</v>
      </c>
      <c r="T175" s="54">
        <v>30402.670009503079</v>
      </c>
      <c r="V175" s="69">
        <f t="shared" si="14"/>
        <v>820718.96382799419</v>
      </c>
      <c r="W175" s="69">
        <f t="shared" si="15"/>
        <v>828005.51836914092</v>
      </c>
      <c r="X175" s="69">
        <f t="shared" si="12"/>
        <v>7286.5545411467647</v>
      </c>
      <c r="Z175" s="68">
        <f t="shared" si="16"/>
        <v>0</v>
      </c>
      <c r="AA175" s="68">
        <f t="shared" si="17"/>
        <v>1</v>
      </c>
      <c r="AB175" s="68">
        <f t="shared" si="13"/>
        <v>1</v>
      </c>
    </row>
    <row r="176" spans="1:28" x14ac:dyDescent="0.25">
      <c r="A176">
        <v>171</v>
      </c>
      <c r="C176" s="24">
        <v>1.4901562866892482E-3</v>
      </c>
      <c r="D176" s="24">
        <v>2.1240482899581581E-3</v>
      </c>
      <c r="E176" s="24">
        <v>2.2685285039156922E-38</v>
      </c>
      <c r="F176" s="24">
        <v>2.4902302442342261E-13</v>
      </c>
      <c r="G176" s="24">
        <v>0.55615099076535568</v>
      </c>
      <c r="H176" s="24">
        <v>0.33215242463459949</v>
      </c>
      <c r="I176" s="53">
        <v>1997.3504248912966</v>
      </c>
      <c r="J176" s="53">
        <v>4165.226460994646</v>
      </c>
      <c r="K176" s="24">
        <v>0.64206526150697796</v>
      </c>
      <c r="L176" s="24">
        <v>0.93788802719442754</v>
      </c>
      <c r="M176" s="24">
        <v>0.91984725039071402</v>
      </c>
      <c r="O176" s="53">
        <v>4.3382598435400066</v>
      </c>
      <c r="P176" s="54">
        <v>17142.425094856553</v>
      </c>
      <c r="Q176" s="54">
        <v>4.5426497215986057</v>
      </c>
      <c r="R176" s="54">
        <v>55608.367924214159</v>
      </c>
      <c r="S176" s="54">
        <v>0.20438987805859909</v>
      </c>
      <c r="T176" s="54">
        <v>38465.942829357606</v>
      </c>
      <c r="V176" s="69">
        <f t="shared" si="14"/>
        <v>850509.54361314478</v>
      </c>
      <c r="W176" s="69">
        <f t="shared" si="15"/>
        <v>852921.57639550709</v>
      </c>
      <c r="X176" s="69">
        <f t="shared" si="12"/>
        <v>2412.0327823622138</v>
      </c>
      <c r="Z176" s="68">
        <f t="shared" si="16"/>
        <v>0</v>
      </c>
      <c r="AA176" s="68">
        <f t="shared" si="17"/>
        <v>1</v>
      </c>
      <c r="AB176" s="68">
        <f t="shared" si="13"/>
        <v>1</v>
      </c>
    </row>
    <row r="177" spans="1:28" x14ac:dyDescent="0.25">
      <c r="A177">
        <v>172</v>
      </c>
      <c r="C177" s="24">
        <v>3.4837531916311182E-7</v>
      </c>
      <c r="D177" s="24">
        <v>1.5278615633777415E-2</v>
      </c>
      <c r="E177" s="24">
        <v>1.5101106549440302E-2</v>
      </c>
      <c r="F177" s="24">
        <v>2.1658586887629561E-4</v>
      </c>
      <c r="G177" s="24">
        <v>0.46535072209854744</v>
      </c>
      <c r="H177" s="24">
        <v>0.26565292065079071</v>
      </c>
      <c r="I177" s="53">
        <v>1496.2492001137973</v>
      </c>
      <c r="J177" s="53">
        <v>6474.8759918437327</v>
      </c>
      <c r="K177" s="24">
        <v>0.58515248670743936</v>
      </c>
      <c r="L177" s="24">
        <v>0.94465938869330257</v>
      </c>
      <c r="M177" s="24">
        <v>0.84178221877782589</v>
      </c>
      <c r="O177" s="53">
        <v>4.3065233413440929</v>
      </c>
      <c r="P177" s="54">
        <v>14488.86393325957</v>
      </c>
      <c r="Q177" s="54">
        <v>4.5821946882497695</v>
      </c>
      <c r="R177" s="54">
        <v>35563.235194313726</v>
      </c>
      <c r="S177" s="54">
        <v>0.27567134690567663</v>
      </c>
      <c r="T177" s="54">
        <v>21074.371261054155</v>
      </c>
      <c r="V177" s="69">
        <f t="shared" si="14"/>
        <v>846815.8043355589</v>
      </c>
      <c r="W177" s="69">
        <f t="shared" si="15"/>
        <v>880875.70245564019</v>
      </c>
      <c r="X177" s="69">
        <f t="shared" si="12"/>
        <v>34059.898120081169</v>
      </c>
      <c r="Z177" s="68">
        <f t="shared" si="16"/>
        <v>0</v>
      </c>
      <c r="AA177" s="68">
        <f t="shared" si="17"/>
        <v>1</v>
      </c>
      <c r="AB177" s="68">
        <f t="shared" si="13"/>
        <v>1</v>
      </c>
    </row>
    <row r="178" spans="1:28" x14ac:dyDescent="0.25">
      <c r="A178">
        <v>173</v>
      </c>
      <c r="C178" s="24">
        <v>3.2191024802503243E-2</v>
      </c>
      <c r="D178" s="24">
        <v>1.8957730688444752E-3</v>
      </c>
      <c r="E178" s="24">
        <v>2.7889517020442766E-14</v>
      </c>
      <c r="F178" s="24">
        <v>7.6265262162182879E-3</v>
      </c>
      <c r="G178" s="24">
        <v>0.58385992330623737</v>
      </c>
      <c r="H178" s="24">
        <v>0.21727339324221384</v>
      </c>
      <c r="I178" s="53">
        <v>2080.3782596147075</v>
      </c>
      <c r="J178" s="53">
        <v>4823.4401299803785</v>
      </c>
      <c r="K178" s="24">
        <v>0.61379963076550914</v>
      </c>
      <c r="L178" s="24">
        <v>0.89227429271987135</v>
      </c>
      <c r="M178" s="24">
        <v>0.65217522129718009</v>
      </c>
      <c r="O178" s="53">
        <v>4.0285954778065509</v>
      </c>
      <c r="P178" s="54">
        <v>19685.001988911463</v>
      </c>
      <c r="Q178" s="54">
        <v>4.3403047444559721</v>
      </c>
      <c r="R178" s="54">
        <v>34160.876033854191</v>
      </c>
      <c r="S178" s="54">
        <v>0.31170926664942122</v>
      </c>
      <c r="T178" s="54">
        <v>14475.874044942728</v>
      </c>
      <c r="V178" s="69">
        <f t="shared" si="14"/>
        <v>786034.09357239876</v>
      </c>
      <c r="W178" s="69">
        <f t="shared" si="15"/>
        <v>833900.07285734022</v>
      </c>
      <c r="X178" s="69">
        <f t="shared" si="12"/>
        <v>47865.979284941517</v>
      </c>
      <c r="Z178" s="68">
        <f t="shared" si="16"/>
        <v>0</v>
      </c>
      <c r="AA178" s="68">
        <f t="shared" si="17"/>
        <v>1</v>
      </c>
      <c r="AB178" s="68">
        <f t="shared" si="13"/>
        <v>1</v>
      </c>
    </row>
    <row r="179" spans="1:28" x14ac:dyDescent="0.25">
      <c r="A179">
        <v>174</v>
      </c>
      <c r="C179" s="24">
        <v>4.8565941541247604E-3</v>
      </c>
      <c r="D179" s="24">
        <v>1.3118385594748699E-3</v>
      </c>
      <c r="E179" s="24">
        <v>9.9034871414716008E-9</v>
      </c>
      <c r="F179" s="24">
        <v>6.1182640636214989E-22</v>
      </c>
      <c r="G179" s="24">
        <v>0.76348135328374156</v>
      </c>
      <c r="H179" s="24">
        <v>0.31137447533017493</v>
      </c>
      <c r="I179" s="53">
        <v>2275.7699985737172</v>
      </c>
      <c r="J179" s="53">
        <v>5141.2269889589588</v>
      </c>
      <c r="K179" s="24">
        <v>0.76346427661869809</v>
      </c>
      <c r="L179" s="24">
        <v>0.86546165144469933</v>
      </c>
      <c r="M179" s="24">
        <v>0.74721898298013023</v>
      </c>
      <c r="O179" s="53">
        <v>4.0771366004351766</v>
      </c>
      <c r="P179" s="54">
        <v>25130.816845856196</v>
      </c>
      <c r="Q179" s="54">
        <v>4.2802985786382015</v>
      </c>
      <c r="R179" s="54">
        <v>50405.094291822403</v>
      </c>
      <c r="S179" s="54">
        <v>0.20316197820302495</v>
      </c>
      <c r="T179" s="54">
        <v>25274.277445966207</v>
      </c>
      <c r="V179" s="69">
        <f t="shared" si="14"/>
        <v>790296.50324117916</v>
      </c>
      <c r="W179" s="69">
        <f t="shared" si="15"/>
        <v>805654.62143581791</v>
      </c>
      <c r="X179" s="69">
        <f t="shared" si="12"/>
        <v>15358.118194638784</v>
      </c>
      <c r="Z179" s="68">
        <f t="shared" si="16"/>
        <v>0</v>
      </c>
      <c r="AA179" s="68">
        <f t="shared" si="17"/>
        <v>1</v>
      </c>
      <c r="AB179" s="68">
        <f t="shared" si="13"/>
        <v>1</v>
      </c>
    </row>
    <row r="180" spans="1:28" x14ac:dyDescent="0.25">
      <c r="A180">
        <v>175</v>
      </c>
      <c r="C180" s="24">
        <v>1.1954202976993678E-4</v>
      </c>
      <c r="D180" s="24">
        <v>1.8222670247152184E-3</v>
      </c>
      <c r="E180" s="24">
        <v>3.1183993831169765E-3</v>
      </c>
      <c r="F180" s="24">
        <v>2.3928230087988326E-69</v>
      </c>
      <c r="G180" s="24">
        <v>0.53685629024607229</v>
      </c>
      <c r="H180" s="24">
        <v>0.26664903592894951</v>
      </c>
      <c r="I180" s="53">
        <v>2030.5625162201463</v>
      </c>
      <c r="J180" s="53">
        <v>3723.3669782020584</v>
      </c>
      <c r="K180" s="24">
        <v>0.6124735773349349</v>
      </c>
      <c r="L180" s="24">
        <v>0.94691953297385956</v>
      </c>
      <c r="M180" s="24">
        <v>0.84764380352740543</v>
      </c>
      <c r="O180" s="53">
        <v>4.3392933759226855</v>
      </c>
      <c r="P180" s="54">
        <v>12635.122694184736</v>
      </c>
      <c r="Q180" s="54">
        <v>4.6120119948167222</v>
      </c>
      <c r="R180" s="54">
        <v>33456.362445895065</v>
      </c>
      <c r="S180" s="54">
        <v>0.2727186188940367</v>
      </c>
      <c r="T180" s="54">
        <v>20821.239751710331</v>
      </c>
      <c r="V180" s="69">
        <f t="shared" si="14"/>
        <v>855223.5524903523</v>
      </c>
      <c r="W180" s="69">
        <f t="shared" si="15"/>
        <v>888946.03651744931</v>
      </c>
      <c r="X180" s="69">
        <f t="shared" si="12"/>
        <v>33722.484027097009</v>
      </c>
      <c r="Z180" s="68">
        <f t="shared" si="16"/>
        <v>0</v>
      </c>
      <c r="AA180" s="68">
        <f t="shared" si="17"/>
        <v>1</v>
      </c>
      <c r="AB180" s="68">
        <f t="shared" si="13"/>
        <v>1</v>
      </c>
    </row>
    <row r="181" spans="1:28" x14ac:dyDescent="0.25">
      <c r="A181">
        <v>176</v>
      </c>
      <c r="C181" s="24">
        <v>1.3315726012663731E-4</v>
      </c>
      <c r="D181" s="24">
        <v>6.6315404964663038E-3</v>
      </c>
      <c r="E181" s="24">
        <v>3.6292455499509213E-4</v>
      </c>
      <c r="F181" s="24">
        <v>1.5631224079714223E-23</v>
      </c>
      <c r="G181" s="24">
        <v>0.44942737558383972</v>
      </c>
      <c r="H181" s="24">
        <v>0.2535403906042375</v>
      </c>
      <c r="I181" s="53">
        <v>2228.479347464232</v>
      </c>
      <c r="J181" s="53">
        <v>4663.9957865260058</v>
      </c>
      <c r="K181" s="24">
        <v>0.62308980877327547</v>
      </c>
      <c r="L181" s="24">
        <v>0.84665565334465098</v>
      </c>
      <c r="M181" s="24">
        <v>0.91506983229087879</v>
      </c>
      <c r="O181" s="53">
        <v>4.0518559005889756</v>
      </c>
      <c r="P181" s="54">
        <v>13260.456498774043</v>
      </c>
      <c r="Q181" s="54">
        <v>4.1602548031654845</v>
      </c>
      <c r="R181" s="54">
        <v>35757.810798719816</v>
      </c>
      <c r="S181" s="54">
        <v>0.10839890257650886</v>
      </c>
      <c r="T181" s="54">
        <v>22497.354299945771</v>
      </c>
      <c r="V181" s="69">
        <f t="shared" si="14"/>
        <v>797110.72361902113</v>
      </c>
      <c r="W181" s="69">
        <f t="shared" si="15"/>
        <v>796293.14983437699</v>
      </c>
      <c r="X181" s="69">
        <f t="shared" si="12"/>
        <v>-817.57378464399881</v>
      </c>
      <c r="Z181" s="68">
        <f t="shared" si="16"/>
        <v>1</v>
      </c>
      <c r="AA181" s="68">
        <f t="shared" si="17"/>
        <v>0</v>
      </c>
      <c r="AB181" s="68">
        <f t="shared" si="13"/>
        <v>0</v>
      </c>
    </row>
    <row r="182" spans="1:28" x14ac:dyDescent="0.25">
      <c r="A182">
        <v>177</v>
      </c>
      <c r="C182" s="24">
        <v>1.7610274192803173E-15</v>
      </c>
      <c r="D182" s="24">
        <v>2.1214835308940305E-3</v>
      </c>
      <c r="E182" s="24">
        <v>4.7996129748373306E-7</v>
      </c>
      <c r="F182" s="24">
        <v>1.0069252513625759E-40</v>
      </c>
      <c r="G182" s="24">
        <v>0.42744659744365154</v>
      </c>
      <c r="H182" s="24">
        <v>0.36668043947893891</v>
      </c>
      <c r="I182" s="53">
        <v>1749.8463628973147</v>
      </c>
      <c r="J182" s="53">
        <v>5821.8623966844043</v>
      </c>
      <c r="K182" s="24">
        <v>0.66496494840977916</v>
      </c>
      <c r="L182" s="24">
        <v>0.84262338980985374</v>
      </c>
      <c r="M182" s="24">
        <v>0.85387571799221285</v>
      </c>
      <c r="O182" s="53">
        <v>4.0823735102594432</v>
      </c>
      <c r="P182" s="54">
        <v>11648.403702881122</v>
      </c>
      <c r="Q182" s="54">
        <v>4.1111045979861078</v>
      </c>
      <c r="R182" s="54">
        <v>54744.922791401797</v>
      </c>
      <c r="S182" s="54">
        <v>2.8731087726664661E-2</v>
      </c>
      <c r="T182" s="54">
        <v>43096.519088520676</v>
      </c>
      <c r="V182" s="69">
        <f t="shared" si="14"/>
        <v>804826.29834900761</v>
      </c>
      <c r="W182" s="69">
        <f t="shared" si="15"/>
        <v>767475.99680581968</v>
      </c>
      <c r="X182" s="69">
        <f t="shared" si="12"/>
        <v>-37350.301543187743</v>
      </c>
      <c r="Z182" s="68">
        <f t="shared" si="16"/>
        <v>1</v>
      </c>
      <c r="AA182" s="68">
        <f t="shared" si="17"/>
        <v>0</v>
      </c>
      <c r="AB182" s="68">
        <f t="shared" si="13"/>
        <v>0</v>
      </c>
    </row>
    <row r="183" spans="1:28" x14ac:dyDescent="0.25">
      <c r="A183">
        <v>178</v>
      </c>
      <c r="C183" s="24">
        <v>1.9513930783309021E-6</v>
      </c>
      <c r="D183" s="24">
        <v>3.18151618422291E-3</v>
      </c>
      <c r="E183" s="24">
        <v>3.4603707481338786E-3</v>
      </c>
      <c r="F183" s="24">
        <v>4.4107868979922865E-23</v>
      </c>
      <c r="G183" s="24">
        <v>0.6306701579204379</v>
      </c>
      <c r="H183" s="24">
        <v>0.20821974065306226</v>
      </c>
      <c r="I183" s="53">
        <v>1899.8876612330894</v>
      </c>
      <c r="J183" s="53">
        <v>5319.711388323889</v>
      </c>
      <c r="K183" s="24">
        <v>0.73171811249412788</v>
      </c>
      <c r="L183" s="24">
        <v>0.91019040838341359</v>
      </c>
      <c r="M183" s="24">
        <v>0.67121599068260807</v>
      </c>
      <c r="O183" s="53">
        <v>4.2470639072974752</v>
      </c>
      <c r="P183" s="54">
        <v>16381.55147870064</v>
      </c>
      <c r="Q183" s="54">
        <v>4.4994875708253499</v>
      </c>
      <c r="R183" s="54">
        <v>33155.948943953801</v>
      </c>
      <c r="S183" s="54">
        <v>0.25242366352787471</v>
      </c>
      <c r="T183" s="54">
        <v>16774.397465253161</v>
      </c>
      <c r="V183" s="69">
        <f t="shared" si="14"/>
        <v>833031.22998079448</v>
      </c>
      <c r="W183" s="69">
        <f t="shared" si="15"/>
        <v>866741.56522111618</v>
      </c>
      <c r="X183" s="69">
        <f t="shared" si="12"/>
        <v>33710.33524032178</v>
      </c>
      <c r="Z183" s="68">
        <f t="shared" si="16"/>
        <v>0</v>
      </c>
      <c r="AA183" s="68">
        <f t="shared" si="17"/>
        <v>1</v>
      </c>
      <c r="AB183" s="68">
        <f t="shared" si="13"/>
        <v>1</v>
      </c>
    </row>
    <row r="184" spans="1:28" x14ac:dyDescent="0.25">
      <c r="A184">
        <v>179</v>
      </c>
      <c r="C184" s="24">
        <v>3.0830060911442686E-7</v>
      </c>
      <c r="D184" s="24">
        <v>6.6122795176171479E-5</v>
      </c>
      <c r="E184" s="24">
        <v>1.7812013308748931E-8</v>
      </c>
      <c r="F184" s="24">
        <v>1.4452386898901048E-3</v>
      </c>
      <c r="G184" s="24">
        <v>0.63126296904351498</v>
      </c>
      <c r="H184" s="24">
        <v>0.26618886305316525</v>
      </c>
      <c r="I184" s="53">
        <v>2149.9097495457036</v>
      </c>
      <c r="J184" s="53">
        <v>4964.7889566386184</v>
      </c>
      <c r="K184" s="24">
        <v>0.61169273347173803</v>
      </c>
      <c r="L184" s="24">
        <v>0.74181930517488393</v>
      </c>
      <c r="M184" s="24">
        <v>0.98787516237528827</v>
      </c>
      <c r="O184" s="53">
        <v>3.5086568070130526</v>
      </c>
      <c r="P184" s="54">
        <v>17052.33698157419</v>
      </c>
      <c r="Q184" s="54">
        <v>3.6552834403169983</v>
      </c>
      <c r="R184" s="54">
        <v>39841.837610584822</v>
      </c>
      <c r="S184" s="54">
        <v>0.14662663330394565</v>
      </c>
      <c r="T184" s="54">
        <v>22789.500629010632</v>
      </c>
      <c r="V184" s="69">
        <f t="shared" si="14"/>
        <v>684679.02442103636</v>
      </c>
      <c r="W184" s="69">
        <f t="shared" si="15"/>
        <v>691214.85045281483</v>
      </c>
      <c r="X184" s="69">
        <f t="shared" si="12"/>
        <v>6535.8260317784989</v>
      </c>
      <c r="Z184" s="68">
        <f t="shared" si="16"/>
        <v>0</v>
      </c>
      <c r="AA184" s="68">
        <f t="shared" si="17"/>
        <v>1</v>
      </c>
      <c r="AB184" s="68">
        <f t="shared" si="13"/>
        <v>1</v>
      </c>
    </row>
    <row r="185" spans="1:28" x14ac:dyDescent="0.25">
      <c r="A185">
        <v>180</v>
      </c>
      <c r="C185" s="24">
        <v>5.0759066025199516E-12</v>
      </c>
      <c r="D185" s="24">
        <v>8.6138652585109618E-4</v>
      </c>
      <c r="E185" s="24">
        <v>3.0128297418841193E-18</v>
      </c>
      <c r="F185" s="24">
        <v>8.9417362403310108E-13</v>
      </c>
      <c r="G185" s="24">
        <v>0.55655923639692384</v>
      </c>
      <c r="H185" s="24">
        <v>0.26673601681165593</v>
      </c>
      <c r="I185" s="53">
        <v>1798.0689502390901</v>
      </c>
      <c r="J185" s="53">
        <v>5453.4586692213152</v>
      </c>
      <c r="K185" s="24">
        <v>0.62617199116616407</v>
      </c>
      <c r="L185" s="24">
        <v>0.98351868192941072</v>
      </c>
      <c r="M185" s="24">
        <v>0.85391151554879141</v>
      </c>
      <c r="O185" s="53">
        <v>4.4930411475102252</v>
      </c>
      <c r="P185" s="54">
        <v>16521.423150435741</v>
      </c>
      <c r="Q185" s="54">
        <v>4.7870726320150716</v>
      </c>
      <c r="R185" s="54">
        <v>33328.188520688112</v>
      </c>
      <c r="S185" s="54">
        <v>0.2940314845048464</v>
      </c>
      <c r="T185" s="54">
        <v>16806.765370252371</v>
      </c>
      <c r="V185" s="69">
        <f t="shared" si="14"/>
        <v>882086.8063516093</v>
      </c>
      <c r="W185" s="69">
        <f t="shared" si="15"/>
        <v>924086.33788232622</v>
      </c>
      <c r="X185" s="69">
        <f t="shared" si="12"/>
        <v>41999.531530716908</v>
      </c>
      <c r="Z185" s="68">
        <f t="shared" si="16"/>
        <v>0</v>
      </c>
      <c r="AA185" s="68">
        <f t="shared" si="17"/>
        <v>1</v>
      </c>
      <c r="AB185" s="68">
        <f t="shared" si="13"/>
        <v>1</v>
      </c>
    </row>
    <row r="186" spans="1:28" x14ac:dyDescent="0.25">
      <c r="A186">
        <v>181</v>
      </c>
      <c r="C186" s="24">
        <v>2.8754680327576744E-13</v>
      </c>
      <c r="D186" s="24">
        <v>1.2957285490643412E-5</v>
      </c>
      <c r="E186" s="24">
        <v>9.7409230589734698E-73</v>
      </c>
      <c r="F186" s="24">
        <v>3.8004670743269076E-3</v>
      </c>
      <c r="G186" s="24">
        <v>0.59579124676796524</v>
      </c>
      <c r="H186" s="24">
        <v>0.32440196000885713</v>
      </c>
      <c r="I186" s="53">
        <v>1496.5839559506196</v>
      </c>
      <c r="J186" s="53">
        <v>4417.1825470296053</v>
      </c>
      <c r="K186" s="24">
        <v>0.77566640471870085</v>
      </c>
      <c r="L186" s="24">
        <v>0.95837639966530874</v>
      </c>
      <c r="M186" s="24">
        <v>0.84849855680471842</v>
      </c>
      <c r="O186" s="53">
        <v>4.5427903095985513</v>
      </c>
      <c r="P186" s="54">
        <v>12156.008728853318</v>
      </c>
      <c r="Q186" s="54">
        <v>4.6800792240409637</v>
      </c>
      <c r="R186" s="54">
        <v>42685.041103235839</v>
      </c>
      <c r="S186" s="54">
        <v>0.13728891444241231</v>
      </c>
      <c r="T186" s="54">
        <v>30529.032374382521</v>
      </c>
      <c r="V186" s="69">
        <f t="shared" si="14"/>
        <v>896402.05319085694</v>
      </c>
      <c r="W186" s="69">
        <f t="shared" si="15"/>
        <v>893330.8037049569</v>
      </c>
      <c r="X186" s="69">
        <f t="shared" si="12"/>
        <v>-3071.2494859000581</v>
      </c>
      <c r="Z186" s="68">
        <f t="shared" si="16"/>
        <v>1</v>
      </c>
      <c r="AA186" s="68">
        <f t="shared" si="17"/>
        <v>0</v>
      </c>
      <c r="AB186" s="68">
        <f t="shared" si="13"/>
        <v>0</v>
      </c>
    </row>
    <row r="187" spans="1:28" x14ac:dyDescent="0.25">
      <c r="A187">
        <v>182</v>
      </c>
      <c r="C187" s="24">
        <v>7.7035002515126779E-6</v>
      </c>
      <c r="D187" s="24">
        <v>9.1624630326347998E-4</v>
      </c>
      <c r="E187" s="24">
        <v>6.3388556438390796E-19</v>
      </c>
      <c r="F187" s="24">
        <v>9.5020128091372058E-6</v>
      </c>
      <c r="G187" s="24">
        <v>0.59203664875103668</v>
      </c>
      <c r="H187" s="24">
        <v>0.14952671870578893</v>
      </c>
      <c r="I187" s="53">
        <v>2220.8289683829812</v>
      </c>
      <c r="J187" s="53">
        <v>8440.7924262305205</v>
      </c>
      <c r="K187" s="24">
        <v>0.66784898718608399</v>
      </c>
      <c r="L187" s="24">
        <v>0.73985565009889898</v>
      </c>
      <c r="M187" s="24">
        <v>0.82288601478637147</v>
      </c>
      <c r="O187" s="53">
        <v>3.6023883856465782</v>
      </c>
      <c r="P187" s="54">
        <v>16696.897833781986</v>
      </c>
      <c r="Q187" s="54">
        <v>3.6870109362441004</v>
      </c>
      <c r="R187" s="54">
        <v>19926.256014871706</v>
      </c>
      <c r="S187" s="54">
        <v>8.4622550597522217E-2</v>
      </c>
      <c r="T187" s="54">
        <v>3229.3581810897194</v>
      </c>
      <c r="V187" s="69">
        <f t="shared" si="14"/>
        <v>703780.77929553366</v>
      </c>
      <c r="W187" s="69">
        <f t="shared" si="15"/>
        <v>717475.93123394833</v>
      </c>
      <c r="X187" s="69">
        <f t="shared" si="12"/>
        <v>13695.151938414725</v>
      </c>
      <c r="Z187" s="68">
        <f t="shared" si="16"/>
        <v>0</v>
      </c>
      <c r="AA187" s="68">
        <f t="shared" si="17"/>
        <v>1</v>
      </c>
      <c r="AB187" s="68">
        <f t="shared" si="13"/>
        <v>1</v>
      </c>
    </row>
    <row r="188" spans="1:28" x14ac:dyDescent="0.25">
      <c r="A188">
        <v>183</v>
      </c>
      <c r="C188" s="24">
        <v>1.5441456361697803E-4</v>
      </c>
      <c r="D188" s="24">
        <v>1.7079668563327877E-3</v>
      </c>
      <c r="E188" s="24">
        <v>8.1190333404360039E-26</v>
      </c>
      <c r="F188" s="24">
        <v>1.392223213386482E-22</v>
      </c>
      <c r="G188" s="24">
        <v>0.53752174874912551</v>
      </c>
      <c r="H188" s="24">
        <v>0.37535979260794627</v>
      </c>
      <c r="I188" s="53">
        <v>1794.7548570107517</v>
      </c>
      <c r="J188" s="53">
        <v>5988.7933993576507</v>
      </c>
      <c r="K188" s="24">
        <v>0.76340602802164814</v>
      </c>
      <c r="L188" s="24">
        <v>0.88421507933524801</v>
      </c>
      <c r="M188" s="24">
        <v>0.80256259044122402</v>
      </c>
      <c r="O188" s="53">
        <v>4.286857992583144</v>
      </c>
      <c r="P188" s="54">
        <v>17129.865538139413</v>
      </c>
      <c r="Q188" s="54">
        <v>4.3480364208918481</v>
      </c>
      <c r="R188" s="54">
        <v>52120.811807226572</v>
      </c>
      <c r="S188" s="54">
        <v>6.1178428308704014E-2</v>
      </c>
      <c r="T188" s="54">
        <v>34990.946269087159</v>
      </c>
      <c r="V188" s="69">
        <f t="shared" si="14"/>
        <v>840241.73297848948</v>
      </c>
      <c r="W188" s="69">
        <f t="shared" si="15"/>
        <v>817486.47237114294</v>
      </c>
      <c r="X188" s="69">
        <f t="shared" si="12"/>
        <v>-22755.260607346354</v>
      </c>
      <c r="Z188" s="68">
        <f t="shared" si="16"/>
        <v>1</v>
      </c>
      <c r="AA188" s="68">
        <f t="shared" si="17"/>
        <v>0</v>
      </c>
      <c r="AB188" s="68">
        <f t="shared" si="13"/>
        <v>0</v>
      </c>
    </row>
    <row r="189" spans="1:28" x14ac:dyDescent="0.25">
      <c r="A189">
        <v>184</v>
      </c>
      <c r="C189" s="24">
        <v>2.1298394197161081E-10</v>
      </c>
      <c r="D189" s="24">
        <v>4.889478326732255E-3</v>
      </c>
      <c r="E189" s="24">
        <v>2.9179727247807818E-5</v>
      </c>
      <c r="F189" s="24">
        <v>6.8223204863215869E-13</v>
      </c>
      <c r="G189" s="24">
        <v>0.65231423694195456</v>
      </c>
      <c r="H189" s="24">
        <v>0.23189083817696932</v>
      </c>
      <c r="I189" s="53">
        <v>2347.2636988635622</v>
      </c>
      <c r="J189" s="53">
        <v>4727.817831317825</v>
      </c>
      <c r="K189" s="24">
        <v>0.69843026714601986</v>
      </c>
      <c r="L189" s="24">
        <v>0.97217544832203462</v>
      </c>
      <c r="M189" s="24">
        <v>0.87756607911709628</v>
      </c>
      <c r="O189" s="53">
        <v>4.4076742004443821</v>
      </c>
      <c r="P189" s="54">
        <v>19508.978256929771</v>
      </c>
      <c r="Q189" s="54">
        <v>4.7754599221667497</v>
      </c>
      <c r="R189" s="54">
        <v>34083.552538045245</v>
      </c>
      <c r="S189" s="54">
        <v>0.36778572172236768</v>
      </c>
      <c r="T189" s="54">
        <v>14574.574281115474</v>
      </c>
      <c r="V189" s="69">
        <f t="shared" si="14"/>
        <v>862025.86183194665</v>
      </c>
      <c r="W189" s="69">
        <f t="shared" si="15"/>
        <v>921008.4318953047</v>
      </c>
      <c r="X189" s="69">
        <f t="shared" si="12"/>
        <v>58982.570063358056</v>
      </c>
      <c r="Z189" s="68">
        <f t="shared" si="16"/>
        <v>0</v>
      </c>
      <c r="AA189" s="68">
        <f t="shared" si="17"/>
        <v>1</v>
      </c>
      <c r="AB189" s="68">
        <f t="shared" si="13"/>
        <v>1</v>
      </c>
    </row>
    <row r="190" spans="1:28" x14ac:dyDescent="0.25">
      <c r="A190">
        <v>185</v>
      </c>
      <c r="C190" s="24">
        <v>9.3434604193562528E-17</v>
      </c>
      <c r="D190" s="24">
        <v>3.8293875551538732E-4</v>
      </c>
      <c r="E190" s="24">
        <v>1.2055630826957042E-8</v>
      </c>
      <c r="F190" s="24">
        <v>4.8088124325891695E-35</v>
      </c>
      <c r="G190" s="24">
        <v>0.47827760790870588</v>
      </c>
      <c r="H190" s="24">
        <v>0.29783262842544389</v>
      </c>
      <c r="I190" s="53">
        <v>1752.3008988464935</v>
      </c>
      <c r="J190" s="53">
        <v>4423.2065547977436</v>
      </c>
      <c r="K190" s="24">
        <v>0.53340444129220388</v>
      </c>
      <c r="L190" s="24">
        <v>0.88731940302170742</v>
      </c>
      <c r="M190" s="24">
        <v>0.9194450553311011</v>
      </c>
      <c r="O190" s="53">
        <v>4.1202728150619166</v>
      </c>
      <c r="P190" s="54">
        <v>12015.753036569171</v>
      </c>
      <c r="Q190" s="54">
        <v>4.2869117657215359</v>
      </c>
      <c r="R190" s="54">
        <v>50834.210981225006</v>
      </c>
      <c r="S190" s="54">
        <v>0.16663895065961931</v>
      </c>
      <c r="T190" s="54">
        <v>38818.457944655835</v>
      </c>
      <c r="V190" s="69">
        <f t="shared" si="14"/>
        <v>812038.80997581407</v>
      </c>
      <c r="W190" s="69">
        <f t="shared" si="15"/>
        <v>806548.14216308214</v>
      </c>
      <c r="X190" s="69">
        <f t="shared" si="12"/>
        <v>-5490.6678127319756</v>
      </c>
      <c r="Z190" s="68">
        <f t="shared" si="16"/>
        <v>1</v>
      </c>
      <c r="AA190" s="68">
        <f t="shared" si="17"/>
        <v>0</v>
      </c>
      <c r="AB190" s="68">
        <f t="shared" si="13"/>
        <v>0</v>
      </c>
    </row>
    <row r="191" spans="1:28" x14ac:dyDescent="0.25">
      <c r="A191">
        <v>186</v>
      </c>
      <c r="C191" s="24">
        <v>4.9664802482345224E-9</v>
      </c>
      <c r="D191" s="24">
        <v>4.9861634907298104E-4</v>
      </c>
      <c r="E191" s="24">
        <v>8.8851148660751278E-13</v>
      </c>
      <c r="F191" s="24">
        <v>6.3407901151890655E-10</v>
      </c>
      <c r="G191" s="24">
        <v>0.64641972197528363</v>
      </c>
      <c r="H191" s="24">
        <v>0.19298882866361977</v>
      </c>
      <c r="I191" s="53">
        <v>2098.270774636318</v>
      </c>
      <c r="J191" s="53">
        <v>5381.0016937949385</v>
      </c>
      <c r="K191" s="24">
        <v>0.51486353203301172</v>
      </c>
      <c r="L191" s="24">
        <v>0.9480949516973205</v>
      </c>
      <c r="M191" s="24">
        <v>0.63599365049449241</v>
      </c>
      <c r="O191" s="53">
        <v>4.0378321366089125</v>
      </c>
      <c r="P191" s="54">
        <v>18326.858670806399</v>
      </c>
      <c r="Q191" s="54">
        <v>4.6359813677432848</v>
      </c>
      <c r="R191" s="54">
        <v>25520.766930704522</v>
      </c>
      <c r="S191" s="54">
        <v>0.59814923113437235</v>
      </c>
      <c r="T191" s="54">
        <v>7193.9082598981222</v>
      </c>
      <c r="V191" s="69">
        <f t="shared" si="14"/>
        <v>789239.56865097606</v>
      </c>
      <c r="W191" s="69">
        <f t="shared" si="15"/>
        <v>901675.50661795249</v>
      </c>
      <c r="X191" s="69">
        <f t="shared" si="12"/>
        <v>112435.93796697636</v>
      </c>
      <c r="Z191" s="68">
        <f t="shared" si="16"/>
        <v>0</v>
      </c>
      <c r="AA191" s="68">
        <f t="shared" si="17"/>
        <v>1</v>
      </c>
      <c r="AB191" s="68">
        <f t="shared" si="13"/>
        <v>1</v>
      </c>
    </row>
    <row r="192" spans="1:28" x14ac:dyDescent="0.25">
      <c r="A192">
        <v>187</v>
      </c>
      <c r="C192" s="24">
        <v>8.6671064995931246E-3</v>
      </c>
      <c r="D192" s="24">
        <v>1.2169274995174167E-4</v>
      </c>
      <c r="E192" s="24">
        <v>2.8255253076362496E-33</v>
      </c>
      <c r="F192" s="24">
        <v>2.2343793482093588E-11</v>
      </c>
      <c r="G192" s="24">
        <v>0.69499876489442347</v>
      </c>
      <c r="H192" s="24">
        <v>0.26948366171298266</v>
      </c>
      <c r="I192" s="53">
        <v>1868.5232150684633</v>
      </c>
      <c r="J192" s="53">
        <v>4198.74074365463</v>
      </c>
      <c r="K192" s="24">
        <v>0.70033974087491369</v>
      </c>
      <c r="L192" s="24">
        <v>0.76021602224288398</v>
      </c>
      <c r="M192" s="24">
        <v>0.91381334944179604</v>
      </c>
      <c r="O192" s="53">
        <v>3.7002557281232011</v>
      </c>
      <c r="P192" s="54">
        <v>19422.336694780621</v>
      </c>
      <c r="Q192" s="54">
        <v>3.7791419649303872</v>
      </c>
      <c r="R192" s="54">
        <v>39180.262153015516</v>
      </c>
      <c r="S192" s="54">
        <v>7.8886236807186094E-2</v>
      </c>
      <c r="T192" s="54">
        <v>19757.925458234895</v>
      </c>
      <c r="V192" s="69">
        <f t="shared" si="14"/>
        <v>720628.80892985966</v>
      </c>
      <c r="W192" s="69">
        <f t="shared" si="15"/>
        <v>716648.13083306199</v>
      </c>
      <c r="X192" s="69">
        <f t="shared" si="12"/>
        <v>-3980.6780967976756</v>
      </c>
      <c r="Z192" s="68">
        <f t="shared" si="16"/>
        <v>1</v>
      </c>
      <c r="AA192" s="68">
        <f t="shared" si="17"/>
        <v>0</v>
      </c>
      <c r="AB192" s="68">
        <f t="shared" si="13"/>
        <v>0</v>
      </c>
    </row>
    <row r="193" spans="1:28" x14ac:dyDescent="0.25">
      <c r="A193">
        <v>188</v>
      </c>
      <c r="C193" s="24">
        <v>1.0697619644695067E-4</v>
      </c>
      <c r="D193" s="24">
        <v>1.7040698010795108E-3</v>
      </c>
      <c r="E193" s="24">
        <v>5.7368807487945085E-18</v>
      </c>
      <c r="F193" s="24">
        <v>2.253594903178709E-22</v>
      </c>
      <c r="G193" s="24">
        <v>0.63257928765164828</v>
      </c>
      <c r="H193" s="24">
        <v>0.27376987261143382</v>
      </c>
      <c r="I193" s="53">
        <v>2831.76628862097</v>
      </c>
      <c r="J193" s="53">
        <v>5326.6173694068439</v>
      </c>
      <c r="K193" s="24">
        <v>0.71303063648628573</v>
      </c>
      <c r="L193" s="24">
        <v>0.97283779122815373</v>
      </c>
      <c r="M193" s="24">
        <v>0.91719922318891989</v>
      </c>
      <c r="O193" s="53">
        <v>4.4621376254862</v>
      </c>
      <c r="P193" s="54">
        <v>17254.202619970842</v>
      </c>
      <c r="Q193" s="54">
        <v>4.7657954091654569</v>
      </c>
      <c r="R193" s="54">
        <v>29557.209489017954</v>
      </c>
      <c r="S193" s="54">
        <v>0.30365778367925689</v>
      </c>
      <c r="T193" s="54">
        <v>12303.006869047113</v>
      </c>
      <c r="V193" s="69">
        <f t="shared" si="14"/>
        <v>875173.3224772691</v>
      </c>
      <c r="W193" s="69">
        <f t="shared" si="15"/>
        <v>923601.87234407337</v>
      </c>
      <c r="X193" s="69">
        <f t="shared" si="12"/>
        <v>48428.549866804271</v>
      </c>
      <c r="Z193" s="68">
        <f t="shared" si="16"/>
        <v>0</v>
      </c>
      <c r="AA193" s="68">
        <f t="shared" si="17"/>
        <v>1</v>
      </c>
      <c r="AB193" s="68">
        <f t="shared" si="13"/>
        <v>1</v>
      </c>
    </row>
    <row r="194" spans="1:28" x14ac:dyDescent="0.25">
      <c r="A194">
        <v>189</v>
      </c>
      <c r="C194" s="24">
        <v>3.2077786059932013E-7</v>
      </c>
      <c r="D194" s="24">
        <v>1.5968651233143203E-6</v>
      </c>
      <c r="E194" s="24">
        <v>8.5004480772834852E-29</v>
      </c>
      <c r="F194" s="24">
        <v>6.8440267507969296E-40</v>
      </c>
      <c r="G194" s="24">
        <v>0.67165608529287102</v>
      </c>
      <c r="H194" s="24">
        <v>0.19895207971062046</v>
      </c>
      <c r="I194" s="53">
        <v>1686.7547689719238</v>
      </c>
      <c r="J194" s="53">
        <v>6058.4558750125134</v>
      </c>
      <c r="K194" s="24">
        <v>0.76216159234284753</v>
      </c>
      <c r="L194" s="24">
        <v>0.90662615834647631</v>
      </c>
      <c r="M194" s="24">
        <v>0.78336136659195121</v>
      </c>
      <c r="O194" s="53">
        <v>4.2780092878204332</v>
      </c>
      <c r="P194" s="54">
        <v>22788.656388867308</v>
      </c>
      <c r="Q194" s="54">
        <v>4.4972608998223604</v>
      </c>
      <c r="R194" s="54">
        <v>35415.398400335012</v>
      </c>
      <c r="S194" s="54">
        <v>0.21925161200192722</v>
      </c>
      <c r="T194" s="54">
        <v>12626.742011467704</v>
      </c>
      <c r="V194" s="69">
        <f t="shared" si="14"/>
        <v>832813.20117521938</v>
      </c>
      <c r="W194" s="69">
        <f t="shared" si="15"/>
        <v>864036.78156413708</v>
      </c>
      <c r="X194" s="69">
        <f t="shared" si="12"/>
        <v>31223.580388917737</v>
      </c>
      <c r="Z194" s="68">
        <f t="shared" si="16"/>
        <v>0</v>
      </c>
      <c r="AA194" s="68">
        <f t="shared" si="17"/>
        <v>1</v>
      </c>
      <c r="AB194" s="68">
        <f t="shared" si="13"/>
        <v>1</v>
      </c>
    </row>
    <row r="195" spans="1:28" x14ac:dyDescent="0.25">
      <c r="A195">
        <v>190</v>
      </c>
      <c r="C195" s="24">
        <v>3.5661737559510631E-2</v>
      </c>
      <c r="D195" s="24">
        <v>1.1002849911386618E-3</v>
      </c>
      <c r="E195" s="24">
        <v>1.1880572127959121E-2</v>
      </c>
      <c r="F195" s="24">
        <v>1.6605464732725748E-55</v>
      </c>
      <c r="G195" s="24">
        <v>0.5533501074761038</v>
      </c>
      <c r="H195" s="24">
        <v>0.29406018935776534</v>
      </c>
      <c r="I195" s="53">
        <v>2091.7096029357758</v>
      </c>
      <c r="J195" s="53">
        <v>4880.5361171909171</v>
      </c>
      <c r="K195" s="24">
        <v>0.82970292120532751</v>
      </c>
      <c r="L195" s="24">
        <v>0.91307505055005012</v>
      </c>
      <c r="M195" s="24">
        <v>0.77761676858564288</v>
      </c>
      <c r="O195" s="53">
        <v>4.3331644201174138</v>
      </c>
      <c r="P195" s="54">
        <v>18879.462660939938</v>
      </c>
      <c r="Q195" s="54">
        <v>4.5297549579993701</v>
      </c>
      <c r="R195" s="54">
        <v>49450.963707901443</v>
      </c>
      <c r="S195" s="54">
        <v>0.19659053788195635</v>
      </c>
      <c r="T195" s="54">
        <v>30571.501046961504</v>
      </c>
      <c r="V195" s="69">
        <f t="shared" si="14"/>
        <v>847753.4213625429</v>
      </c>
      <c r="W195" s="69">
        <f t="shared" si="15"/>
        <v>856500.02789197257</v>
      </c>
      <c r="X195" s="69">
        <f t="shared" si="12"/>
        <v>8746.6065294297623</v>
      </c>
      <c r="Z195" s="68">
        <f t="shared" si="16"/>
        <v>0</v>
      </c>
      <c r="AA195" s="68">
        <f t="shared" si="17"/>
        <v>1</v>
      </c>
      <c r="AB195" s="68">
        <f t="shared" si="13"/>
        <v>1</v>
      </c>
    </row>
    <row r="196" spans="1:28" x14ac:dyDescent="0.25">
      <c r="A196">
        <v>191</v>
      </c>
      <c r="C196" s="24">
        <v>1.0339343295630576E-2</v>
      </c>
      <c r="D196" s="24">
        <v>1.2750252404161944E-2</v>
      </c>
      <c r="E196" s="24">
        <v>2.9903834963818099E-10</v>
      </c>
      <c r="F196" s="24">
        <v>2.309197187921241E-27</v>
      </c>
      <c r="G196" s="24">
        <v>0.51393453874137096</v>
      </c>
      <c r="H196" s="24">
        <v>0.28125839176596545</v>
      </c>
      <c r="I196" s="53">
        <v>2358.7507578047644</v>
      </c>
      <c r="J196" s="53">
        <v>5133.7272738262318</v>
      </c>
      <c r="K196" s="24">
        <v>0.60490263066083805</v>
      </c>
      <c r="L196" s="24">
        <v>0.92311908347660676</v>
      </c>
      <c r="M196" s="24">
        <v>0.68086129833119657</v>
      </c>
      <c r="O196" s="53">
        <v>4.2706845807120244</v>
      </c>
      <c r="P196" s="54">
        <v>13286.322833067021</v>
      </c>
      <c r="Q196" s="54">
        <v>4.4714808196702052</v>
      </c>
      <c r="R196" s="54">
        <v>45364.877075878474</v>
      </c>
      <c r="S196" s="54">
        <v>0.20079623895818077</v>
      </c>
      <c r="T196" s="54">
        <v>32078.554242811453</v>
      </c>
      <c r="V196" s="69">
        <f t="shared" si="14"/>
        <v>840850.59330933786</v>
      </c>
      <c r="W196" s="69">
        <f t="shared" si="15"/>
        <v>848931.28685816261</v>
      </c>
      <c r="X196" s="69">
        <f t="shared" si="12"/>
        <v>8080.6935488247</v>
      </c>
      <c r="Z196" s="68">
        <f t="shared" si="16"/>
        <v>0</v>
      </c>
      <c r="AA196" s="68">
        <f t="shared" si="17"/>
        <v>1</v>
      </c>
      <c r="AB196" s="68">
        <f t="shared" si="13"/>
        <v>1</v>
      </c>
    </row>
    <row r="197" spans="1:28" x14ac:dyDescent="0.25">
      <c r="A197">
        <v>192</v>
      </c>
      <c r="C197" s="24">
        <v>2.3264040075043494E-9</v>
      </c>
      <c r="D197" s="24">
        <v>1.2797558106154683E-2</v>
      </c>
      <c r="E197" s="24">
        <v>1.3000037564157019E-3</v>
      </c>
      <c r="F197" s="24">
        <v>2.2537527399890678E-14</v>
      </c>
      <c r="G197" s="24">
        <v>0.53994107510660383</v>
      </c>
      <c r="H197" s="24">
        <v>0.3650861480210047</v>
      </c>
      <c r="I197" s="53">
        <v>2348.941271522373</v>
      </c>
      <c r="J197" s="53">
        <v>4645.6051589356284</v>
      </c>
      <c r="K197" s="24">
        <v>0.71649144168319689</v>
      </c>
      <c r="L197" s="24">
        <v>0.89868243684096605</v>
      </c>
      <c r="M197" s="24">
        <v>0.77525380082537965</v>
      </c>
      <c r="O197" s="53">
        <v>4.2795457091398212</v>
      </c>
      <c r="P197" s="54">
        <v>17413.528379406853</v>
      </c>
      <c r="Q197" s="54">
        <v>4.3783107126419596</v>
      </c>
      <c r="R197" s="54">
        <v>50940.459717253558</v>
      </c>
      <c r="S197" s="54">
        <v>9.8765003502138349E-2</v>
      </c>
      <c r="T197" s="54">
        <v>33526.931337846705</v>
      </c>
      <c r="V197" s="69">
        <f t="shared" si="14"/>
        <v>838495.61344855733</v>
      </c>
      <c r="W197" s="69">
        <f t="shared" si="15"/>
        <v>824721.68281113834</v>
      </c>
      <c r="X197" s="69">
        <f t="shared" si="12"/>
        <v>-13773.930637419035</v>
      </c>
      <c r="Z197" s="68">
        <f t="shared" si="16"/>
        <v>1</v>
      </c>
      <c r="AA197" s="68">
        <f t="shared" si="17"/>
        <v>0</v>
      </c>
      <c r="AB197" s="68">
        <f t="shared" si="13"/>
        <v>0</v>
      </c>
    </row>
    <row r="198" spans="1:28" x14ac:dyDescent="0.25">
      <c r="A198">
        <v>193</v>
      </c>
      <c r="C198" s="24">
        <v>4.001459771171085E-8</v>
      </c>
      <c r="D198" s="24">
        <v>6.8804581317344349E-3</v>
      </c>
      <c r="E198" s="24">
        <v>2.8495081859520806E-32</v>
      </c>
      <c r="F198" s="24">
        <v>1.3211653993039363E-14</v>
      </c>
      <c r="G198" s="24">
        <v>0.53539580871498282</v>
      </c>
      <c r="H198" s="24">
        <v>0.37645920365852237</v>
      </c>
      <c r="I198" s="53">
        <v>1860.4536508786216</v>
      </c>
      <c r="J198" s="53">
        <v>5048.1964037994476</v>
      </c>
      <c r="K198" s="24">
        <v>0.55310392031157496</v>
      </c>
      <c r="L198" s="24">
        <v>0.73027945450922349</v>
      </c>
      <c r="M198" s="24">
        <v>0.84738101043502623</v>
      </c>
      <c r="O198" s="53">
        <v>3.4562075342938137</v>
      </c>
      <c r="P198" s="54">
        <v>14169.046075371931</v>
      </c>
      <c r="Q198" s="54">
        <v>3.55092391238539</v>
      </c>
      <c r="R198" s="54">
        <v>48041.290281094487</v>
      </c>
      <c r="S198" s="54">
        <v>9.4716378091576292E-2</v>
      </c>
      <c r="T198" s="54">
        <v>33872.244205722556</v>
      </c>
      <c r="V198" s="69">
        <f t="shared" si="14"/>
        <v>677072.46078339079</v>
      </c>
      <c r="W198" s="69">
        <f t="shared" si="15"/>
        <v>662143.49219598353</v>
      </c>
      <c r="X198" s="69">
        <f t="shared" si="12"/>
        <v>-14928.968587407297</v>
      </c>
      <c r="Z198" s="68">
        <f t="shared" si="16"/>
        <v>1</v>
      </c>
      <c r="AA198" s="68">
        <f t="shared" si="17"/>
        <v>0</v>
      </c>
      <c r="AB198" s="68">
        <f t="shared" si="13"/>
        <v>0</v>
      </c>
    </row>
    <row r="199" spans="1:28" x14ac:dyDescent="0.25">
      <c r="A199">
        <v>194</v>
      </c>
      <c r="C199" s="24">
        <v>2.6014387888677368E-9</v>
      </c>
      <c r="D199" s="24">
        <v>6.1646292566515143E-4</v>
      </c>
      <c r="E199" s="24">
        <v>1.0399347706080856E-33</v>
      </c>
      <c r="F199" s="24">
        <v>2.7308392628916792E-22</v>
      </c>
      <c r="G199" s="24">
        <v>0.52023758742050363</v>
      </c>
      <c r="H199" s="24">
        <v>0.25913431387650376</v>
      </c>
      <c r="I199" s="53">
        <v>1731.7055520417503</v>
      </c>
      <c r="J199" s="53">
        <v>4986.394371006747</v>
      </c>
      <c r="K199" s="24">
        <v>0.63817321732671128</v>
      </c>
      <c r="L199" s="24">
        <v>0.69821873448564586</v>
      </c>
      <c r="M199" s="24">
        <v>0.78626444404743823</v>
      </c>
      <c r="O199" s="53">
        <v>3.4284636316443677</v>
      </c>
      <c r="P199" s="54">
        <v>9305.7755911723234</v>
      </c>
      <c r="Q199" s="54">
        <v>3.4704566656671059</v>
      </c>
      <c r="R199" s="54">
        <v>37639.221205961716</v>
      </c>
      <c r="S199" s="54">
        <v>4.1993034022738129E-2</v>
      </c>
      <c r="T199" s="54">
        <v>28333.445614789394</v>
      </c>
      <c r="V199" s="69">
        <f t="shared" si="14"/>
        <v>676386.95073770126</v>
      </c>
      <c r="W199" s="69">
        <f t="shared" si="15"/>
        <v>656452.11192745948</v>
      </c>
      <c r="X199" s="69">
        <f t="shared" ref="X199:X262" si="18">S199*cRatio-T199</f>
        <v>-19934.838810241767</v>
      </c>
      <c r="Z199" s="68">
        <f t="shared" si="16"/>
        <v>1</v>
      </c>
      <c r="AA199" s="68">
        <f t="shared" si="17"/>
        <v>0</v>
      </c>
      <c r="AB199" s="68">
        <f t="shared" ref="AB199:AB262" si="19">IF(X199&gt;0,1,0)</f>
        <v>0</v>
      </c>
    </row>
    <row r="200" spans="1:28" x14ac:dyDescent="0.25">
      <c r="A200">
        <v>195</v>
      </c>
      <c r="C200" s="24">
        <v>2.6842831305901323E-8</v>
      </c>
      <c r="D200" s="24">
        <v>6.1903990804510302E-4</v>
      </c>
      <c r="E200" s="24">
        <v>1.831493817642476E-14</v>
      </c>
      <c r="F200" s="24">
        <v>9.3612477864830203E-25</v>
      </c>
      <c r="G200" s="24">
        <v>0.54267454190563214</v>
      </c>
      <c r="H200" s="24">
        <v>0.32419203562690502</v>
      </c>
      <c r="I200" s="53">
        <v>2062.8237987351404</v>
      </c>
      <c r="J200" s="53">
        <v>4617.4848041497025</v>
      </c>
      <c r="K200" s="24">
        <v>0.52752892036841248</v>
      </c>
      <c r="L200" s="24">
        <v>0.98086403723182047</v>
      </c>
      <c r="M200" s="24">
        <v>0.8824542751076333</v>
      </c>
      <c r="O200" s="53">
        <v>4.3916987413881579</v>
      </c>
      <c r="P200" s="54">
        <v>15562.008445430343</v>
      </c>
      <c r="Q200" s="54">
        <v>4.6872218079213042</v>
      </c>
      <c r="R200" s="54">
        <v>50111.900794008201</v>
      </c>
      <c r="S200" s="54">
        <v>0.29552306653314631</v>
      </c>
      <c r="T200" s="54">
        <v>34549.892348577858</v>
      </c>
      <c r="V200" s="69">
        <f t="shared" si="14"/>
        <v>862777.73983220127</v>
      </c>
      <c r="W200" s="69">
        <f t="shared" si="15"/>
        <v>887332.46079025266</v>
      </c>
      <c r="X200" s="69">
        <f t="shared" si="18"/>
        <v>24554.720958051403</v>
      </c>
      <c r="Z200" s="68">
        <f t="shared" si="16"/>
        <v>0</v>
      </c>
      <c r="AA200" s="68">
        <f t="shared" si="17"/>
        <v>1</v>
      </c>
      <c r="AB200" s="68">
        <f t="shared" si="19"/>
        <v>1</v>
      </c>
    </row>
    <row r="201" spans="1:28" x14ac:dyDescent="0.25">
      <c r="A201">
        <v>196</v>
      </c>
      <c r="C201" s="24">
        <v>1.8727768769565833E-2</v>
      </c>
      <c r="D201" s="24">
        <v>4.3571719139211636E-4</v>
      </c>
      <c r="E201" s="24">
        <v>5.1780290755143454E-7</v>
      </c>
      <c r="F201" s="24">
        <v>3.1087590054981197E-58</v>
      </c>
      <c r="G201" s="24">
        <v>0.47755674653875568</v>
      </c>
      <c r="H201" s="24">
        <v>0.22459909044944992</v>
      </c>
      <c r="I201" s="53">
        <v>1720.7271744893892</v>
      </c>
      <c r="J201" s="53">
        <v>5308.5627303893179</v>
      </c>
      <c r="K201" s="24">
        <v>0.55011899156852573</v>
      </c>
      <c r="L201" s="24">
        <v>0.90315436998873699</v>
      </c>
      <c r="M201" s="24">
        <v>0.92178442440137542</v>
      </c>
      <c r="O201" s="53">
        <v>4.2038236651969658</v>
      </c>
      <c r="P201" s="54">
        <v>14943.673187880015</v>
      </c>
      <c r="Q201" s="54">
        <v>4.4136209894933494</v>
      </c>
      <c r="R201" s="54">
        <v>32938.099614061757</v>
      </c>
      <c r="S201" s="54">
        <v>0.20979732429638354</v>
      </c>
      <c r="T201" s="54">
        <v>17994.426426181744</v>
      </c>
      <c r="V201" s="69">
        <f t="shared" si="14"/>
        <v>825821.05985151324</v>
      </c>
      <c r="W201" s="69">
        <f t="shared" si="15"/>
        <v>849786.0982846081</v>
      </c>
      <c r="X201" s="69">
        <f t="shared" si="18"/>
        <v>23965.03843309496</v>
      </c>
      <c r="Z201" s="68">
        <f t="shared" si="16"/>
        <v>0</v>
      </c>
      <c r="AA201" s="68">
        <f t="shared" si="17"/>
        <v>1</v>
      </c>
      <c r="AB201" s="68">
        <f t="shared" si="19"/>
        <v>1</v>
      </c>
    </row>
    <row r="202" spans="1:28" x14ac:dyDescent="0.25">
      <c r="A202">
        <v>197</v>
      </c>
      <c r="C202" s="24">
        <v>5.3585924307464339E-3</v>
      </c>
      <c r="D202" s="24">
        <v>5.6281520533813336E-4</v>
      </c>
      <c r="E202" s="24">
        <v>1.3614192933696823E-27</v>
      </c>
      <c r="F202" s="24">
        <v>2.9086940687666073E-34</v>
      </c>
      <c r="G202" s="24">
        <v>0.66151248036419674</v>
      </c>
      <c r="H202" s="24">
        <v>0.2270399440648202</v>
      </c>
      <c r="I202" s="53">
        <v>1928.534804007433</v>
      </c>
      <c r="J202" s="53">
        <v>5205.6218512749765</v>
      </c>
      <c r="K202" s="24">
        <v>0.64725255130784298</v>
      </c>
      <c r="L202" s="24">
        <v>0.98630086670544337</v>
      </c>
      <c r="M202" s="24">
        <v>0.8449377200974445</v>
      </c>
      <c r="O202" s="53">
        <v>4.3454616574839982</v>
      </c>
      <c r="P202" s="54">
        <v>19324.85816923629</v>
      </c>
      <c r="Q202" s="54">
        <v>4.831492019638957</v>
      </c>
      <c r="R202" s="54">
        <v>21713.883074294397</v>
      </c>
      <c r="S202" s="54">
        <v>0.48603036215495887</v>
      </c>
      <c r="T202" s="54">
        <v>2389.0249050581078</v>
      </c>
      <c r="V202" s="69">
        <f t="shared" ref="V202:V265" si="20">O202*cRatio-P202</f>
        <v>849767.47332756326</v>
      </c>
      <c r="W202" s="69">
        <f t="shared" ref="W202:W265" si="21">Q202*cRatio-R202</f>
        <v>944584.52085349697</v>
      </c>
      <c r="X202" s="69">
        <f t="shared" si="18"/>
        <v>94817.047525933667</v>
      </c>
      <c r="Z202" s="68">
        <f t="shared" ref="Z202:Z265" si="22">IF(MAX(V202:W202)=V202,1,0)</f>
        <v>0</v>
      </c>
      <c r="AA202" s="68">
        <f t="shared" ref="AA202:AA265" si="23">IF(MAX(V202:W202)=W202,1,0)</f>
        <v>1</v>
      </c>
      <c r="AB202" s="68">
        <f t="shared" si="19"/>
        <v>1</v>
      </c>
    </row>
    <row r="203" spans="1:28" x14ac:dyDescent="0.25">
      <c r="A203">
        <v>198</v>
      </c>
      <c r="C203" s="24">
        <v>1.3122667971788848E-3</v>
      </c>
      <c r="D203" s="24">
        <v>7.3871560612871479E-3</v>
      </c>
      <c r="E203" s="24">
        <v>2.6166513684610934E-29</v>
      </c>
      <c r="F203" s="24">
        <v>1.3800870565750921E-21</v>
      </c>
      <c r="G203" s="24">
        <v>0.50946489242168957</v>
      </c>
      <c r="H203" s="24">
        <v>0.30860676186641389</v>
      </c>
      <c r="I203" s="53">
        <v>1738.3249581280716</v>
      </c>
      <c r="J203" s="53">
        <v>4992.8106540395047</v>
      </c>
      <c r="K203" s="24">
        <v>0.45569761131804121</v>
      </c>
      <c r="L203" s="24">
        <v>0.78489056504334476</v>
      </c>
      <c r="M203" s="24">
        <v>0.93803028580309022</v>
      </c>
      <c r="O203" s="53">
        <v>3.5959283258623986</v>
      </c>
      <c r="P203" s="54">
        <v>12731.526528961745</v>
      </c>
      <c r="Q203" s="54">
        <v>3.7853800159167603</v>
      </c>
      <c r="R203" s="54">
        <v>50962.912345379315</v>
      </c>
      <c r="S203" s="54">
        <v>0.18945169005436169</v>
      </c>
      <c r="T203" s="54">
        <v>38231.385816417569</v>
      </c>
      <c r="V203" s="69">
        <f t="shared" si="20"/>
        <v>706454.13864351797</v>
      </c>
      <c r="W203" s="69">
        <f t="shared" si="21"/>
        <v>706113.0908379727</v>
      </c>
      <c r="X203" s="69">
        <f t="shared" si="18"/>
        <v>-341.04780554523313</v>
      </c>
      <c r="Z203" s="68">
        <f t="shared" si="22"/>
        <v>1</v>
      </c>
      <c r="AA203" s="68">
        <f t="shared" si="23"/>
        <v>0</v>
      </c>
      <c r="AB203" s="68">
        <f t="shared" si="19"/>
        <v>0</v>
      </c>
    </row>
    <row r="204" spans="1:28" x14ac:dyDescent="0.25">
      <c r="A204">
        <v>199</v>
      </c>
      <c r="C204" s="24">
        <v>1.9782763781728274E-4</v>
      </c>
      <c r="D204" s="24">
        <v>1.26451705771426E-6</v>
      </c>
      <c r="E204" s="24">
        <v>1.1533319521639385E-7</v>
      </c>
      <c r="F204" s="24">
        <v>3.5527136788005009E-15</v>
      </c>
      <c r="G204" s="24">
        <v>0.55394299299051986</v>
      </c>
      <c r="H204" s="24">
        <v>0.27469563093854332</v>
      </c>
      <c r="I204" s="53">
        <v>1823.104965752008</v>
      </c>
      <c r="J204" s="53">
        <v>4926.7725254663865</v>
      </c>
      <c r="K204" s="24">
        <v>0.36634644342083927</v>
      </c>
      <c r="L204" s="24">
        <v>0.8301020168271579</v>
      </c>
      <c r="M204" s="24">
        <v>0.89963168852682474</v>
      </c>
      <c r="O204" s="53">
        <v>3.6047441688304906</v>
      </c>
      <c r="P204" s="54">
        <v>19254.224922261805</v>
      </c>
      <c r="Q204" s="54">
        <v>3.9751465012104124</v>
      </c>
      <c r="R204" s="54">
        <v>51919.680573039106</v>
      </c>
      <c r="S204" s="54">
        <v>0.37040233237992171</v>
      </c>
      <c r="T204" s="54">
        <v>32665.455650777301</v>
      </c>
      <c r="V204" s="69">
        <f t="shared" si="20"/>
        <v>701694.60884383635</v>
      </c>
      <c r="W204" s="69">
        <f t="shared" si="21"/>
        <v>743109.61966904334</v>
      </c>
      <c r="X204" s="69">
        <f t="shared" si="18"/>
        <v>41415.010825207042</v>
      </c>
      <c r="Z204" s="68">
        <f t="shared" si="22"/>
        <v>0</v>
      </c>
      <c r="AA204" s="68">
        <f t="shared" si="23"/>
        <v>1</v>
      </c>
      <c r="AB204" s="68">
        <f t="shared" si="19"/>
        <v>1</v>
      </c>
    </row>
    <row r="205" spans="1:28" x14ac:dyDescent="0.25">
      <c r="A205">
        <v>200</v>
      </c>
      <c r="C205" s="24">
        <v>5.6067671387316228E-15</v>
      </c>
      <c r="D205" s="24">
        <v>2.7001732112200234E-5</v>
      </c>
      <c r="E205" s="24">
        <v>1.6631391163554055E-3</v>
      </c>
      <c r="F205" s="24">
        <v>9.7186400271825708E-33</v>
      </c>
      <c r="G205" s="24">
        <v>0.52287630343569935</v>
      </c>
      <c r="H205" s="24">
        <v>0.26613547288477424</v>
      </c>
      <c r="I205" s="53">
        <v>2186.8971168563103</v>
      </c>
      <c r="J205" s="53">
        <v>4502.3132391362215</v>
      </c>
      <c r="K205" s="24">
        <v>0.67842882123007686</v>
      </c>
      <c r="L205" s="24">
        <v>0.82175528839030265</v>
      </c>
      <c r="M205" s="24">
        <v>0.90023586799709954</v>
      </c>
      <c r="O205" s="53">
        <v>3.9465391357812645</v>
      </c>
      <c r="P205" s="54">
        <v>13000.173856106519</v>
      </c>
      <c r="Q205" s="54">
        <v>4.0568819829378961</v>
      </c>
      <c r="R205" s="54">
        <v>39868.39852164976</v>
      </c>
      <c r="S205" s="54">
        <v>0.11034284715663167</v>
      </c>
      <c r="T205" s="54">
        <v>26868.224665543239</v>
      </c>
      <c r="V205" s="69">
        <f t="shared" si="20"/>
        <v>776307.65330014646</v>
      </c>
      <c r="W205" s="69">
        <f t="shared" si="21"/>
        <v>771507.99806592951</v>
      </c>
      <c r="X205" s="69">
        <f t="shared" si="18"/>
        <v>-4799.6552342169052</v>
      </c>
      <c r="Z205" s="68">
        <f t="shared" si="22"/>
        <v>1</v>
      </c>
      <c r="AA205" s="68">
        <f t="shared" si="23"/>
        <v>0</v>
      </c>
      <c r="AB205" s="68">
        <f t="shared" si="19"/>
        <v>0</v>
      </c>
    </row>
    <row r="206" spans="1:28" x14ac:dyDescent="0.25">
      <c r="A206">
        <v>201</v>
      </c>
      <c r="C206" s="24">
        <v>2.3415232031398946E-13</v>
      </c>
      <c r="D206" s="24">
        <v>1.1312789683959664E-3</v>
      </c>
      <c r="E206" s="24">
        <v>2.8357538539580673E-11</v>
      </c>
      <c r="F206" s="24">
        <v>2.9216637734701734E-21</v>
      </c>
      <c r="G206" s="24">
        <v>0.60000196120957994</v>
      </c>
      <c r="H206" s="24">
        <v>0.25449365570241578</v>
      </c>
      <c r="I206" s="53">
        <v>2376.3334210241574</v>
      </c>
      <c r="J206" s="53">
        <v>5940.6150039914555</v>
      </c>
      <c r="K206" s="24">
        <v>0.50994117288291096</v>
      </c>
      <c r="L206" s="24">
        <v>0.9862207858403288</v>
      </c>
      <c r="M206" s="24">
        <v>0.94590451724159474</v>
      </c>
      <c r="O206" s="53">
        <v>4.2722332874236777</v>
      </c>
      <c r="P206" s="54">
        <v>15317.141552496922</v>
      </c>
      <c r="Q206" s="54">
        <v>4.7684047976377233</v>
      </c>
      <c r="R206" s="54">
        <v>39574.781804422149</v>
      </c>
      <c r="S206" s="54">
        <v>0.4961715102140456</v>
      </c>
      <c r="T206" s="54">
        <v>24257.64025192523</v>
      </c>
      <c r="V206" s="69">
        <f t="shared" si="20"/>
        <v>839129.51593223866</v>
      </c>
      <c r="W206" s="69">
        <f t="shared" si="21"/>
        <v>914106.17772312253</v>
      </c>
      <c r="X206" s="69">
        <f t="shared" si="18"/>
        <v>74976.661790883896</v>
      </c>
      <c r="Z206" s="68">
        <f t="shared" si="22"/>
        <v>0</v>
      </c>
      <c r="AA206" s="68">
        <f t="shared" si="23"/>
        <v>1</v>
      </c>
      <c r="AB206" s="68">
        <f t="shared" si="19"/>
        <v>1</v>
      </c>
    </row>
    <row r="207" spans="1:28" x14ac:dyDescent="0.25">
      <c r="A207">
        <v>202</v>
      </c>
      <c r="C207" s="24">
        <v>3.4998707908528787E-7</v>
      </c>
      <c r="D207" s="24">
        <v>5.3761437779437093E-3</v>
      </c>
      <c r="E207" s="24">
        <v>1.2431911056154377E-10</v>
      </c>
      <c r="F207" s="24">
        <v>6.9358690832517307E-31</v>
      </c>
      <c r="G207" s="24">
        <v>0.7109278168960399</v>
      </c>
      <c r="H207" s="24">
        <v>0.31154120438052701</v>
      </c>
      <c r="I207" s="53">
        <v>1291.7097124530906</v>
      </c>
      <c r="J207" s="53">
        <v>4700.1265016965699</v>
      </c>
      <c r="K207" s="24">
        <v>0.75070647550620073</v>
      </c>
      <c r="L207" s="24">
        <v>0.76913327551824329</v>
      </c>
      <c r="M207" s="24">
        <v>0.9134013935771832</v>
      </c>
      <c r="O207" s="53">
        <v>3.8085790060510152</v>
      </c>
      <c r="P207" s="54">
        <v>18064.565048460005</v>
      </c>
      <c r="Q207" s="54">
        <v>3.8424769695617105</v>
      </c>
      <c r="R207" s="54">
        <v>33747.596546661684</v>
      </c>
      <c r="S207" s="54">
        <v>3.3897963510695295E-2</v>
      </c>
      <c r="T207" s="54">
        <v>15683.031498201679</v>
      </c>
      <c r="V207" s="69">
        <f t="shared" si="20"/>
        <v>743651.23616174306</v>
      </c>
      <c r="W207" s="69">
        <f t="shared" si="21"/>
        <v>734747.79736568045</v>
      </c>
      <c r="X207" s="69">
        <f t="shared" si="18"/>
        <v>-8903.4387960626191</v>
      </c>
      <c r="Z207" s="68">
        <f t="shared" si="22"/>
        <v>1</v>
      </c>
      <c r="AA207" s="68">
        <f t="shared" si="23"/>
        <v>0</v>
      </c>
      <c r="AB207" s="68">
        <f t="shared" si="19"/>
        <v>0</v>
      </c>
    </row>
    <row r="208" spans="1:28" x14ac:dyDescent="0.25">
      <c r="A208">
        <v>203</v>
      </c>
      <c r="C208" s="24">
        <v>1.0667638269294348E-26</v>
      </c>
      <c r="D208" s="24">
        <v>1.1682533578056523E-3</v>
      </c>
      <c r="E208" s="24">
        <v>2.3213817660439689E-14</v>
      </c>
      <c r="F208" s="24">
        <v>1.6376368670304279E-43</v>
      </c>
      <c r="G208" s="24">
        <v>0.56893749826089268</v>
      </c>
      <c r="H208" s="24">
        <v>0.3998603495684262</v>
      </c>
      <c r="I208" s="53">
        <v>1884.3717810930955</v>
      </c>
      <c r="J208" s="53">
        <v>6184.2060291203989</v>
      </c>
      <c r="K208" s="24">
        <v>0.66152601005750089</v>
      </c>
      <c r="L208" s="24">
        <v>0.99253930564066517</v>
      </c>
      <c r="M208" s="24">
        <v>0.97538545919260522</v>
      </c>
      <c r="O208" s="53">
        <v>4.5518519867159819</v>
      </c>
      <c r="P208" s="54">
        <v>16285.869637500571</v>
      </c>
      <c r="Q208" s="54">
        <v>4.7442588968687271</v>
      </c>
      <c r="R208" s="54">
        <v>43472.223026148844</v>
      </c>
      <c r="S208" s="54">
        <v>0.19240691015274525</v>
      </c>
      <c r="T208" s="54">
        <v>27186.353388648273</v>
      </c>
      <c r="V208" s="69">
        <f t="shared" si="20"/>
        <v>894084.52770569571</v>
      </c>
      <c r="W208" s="69">
        <f t="shared" si="21"/>
        <v>905379.55634759658</v>
      </c>
      <c r="X208" s="69">
        <f t="shared" si="18"/>
        <v>11295.028641900779</v>
      </c>
      <c r="Z208" s="68">
        <f t="shared" si="22"/>
        <v>0</v>
      </c>
      <c r="AA208" s="68">
        <f t="shared" si="23"/>
        <v>1</v>
      </c>
      <c r="AB208" s="68">
        <f t="shared" si="19"/>
        <v>1</v>
      </c>
    </row>
    <row r="209" spans="1:28" x14ac:dyDescent="0.25">
      <c r="A209">
        <v>204</v>
      </c>
      <c r="C209" s="24">
        <v>3.7159275520007647E-11</v>
      </c>
      <c r="D209" s="24">
        <v>3.0031479041069535E-9</v>
      </c>
      <c r="E209" s="24">
        <v>9.9177843003552003E-19</v>
      </c>
      <c r="F209" s="24">
        <v>8.5043083686286991E-13</v>
      </c>
      <c r="G209" s="24">
        <v>0.64068926235986101</v>
      </c>
      <c r="H209" s="24">
        <v>0.27904089612326333</v>
      </c>
      <c r="I209" s="53">
        <v>2084.6810657983083</v>
      </c>
      <c r="J209" s="53">
        <v>5408.8913748218292</v>
      </c>
      <c r="K209" s="24">
        <v>0.64545269959138729</v>
      </c>
      <c r="L209" s="24">
        <v>0.84383750189555062</v>
      </c>
      <c r="M209" s="24">
        <v>0.69642646488300108</v>
      </c>
      <c r="O209" s="53">
        <v>3.9036339511910523</v>
      </c>
      <c r="P209" s="54">
        <v>18614.817466225064</v>
      </c>
      <c r="Q209" s="54">
        <v>4.1425343080876749</v>
      </c>
      <c r="R209" s="54">
        <v>40757.248549351498</v>
      </c>
      <c r="S209" s="54">
        <v>0.23890035689662259</v>
      </c>
      <c r="T209" s="54">
        <v>22142.431083126434</v>
      </c>
      <c r="V209" s="69">
        <f t="shared" si="20"/>
        <v>762111.97277198546</v>
      </c>
      <c r="W209" s="69">
        <f t="shared" si="21"/>
        <v>787749.61306818353</v>
      </c>
      <c r="X209" s="69">
        <f t="shared" si="18"/>
        <v>25637.640296198082</v>
      </c>
      <c r="Z209" s="68">
        <f t="shared" si="22"/>
        <v>0</v>
      </c>
      <c r="AA209" s="68">
        <f t="shared" si="23"/>
        <v>1</v>
      </c>
      <c r="AB209" s="68">
        <f t="shared" si="19"/>
        <v>1</v>
      </c>
    </row>
    <row r="210" spans="1:28" x14ac:dyDescent="0.25">
      <c r="A210">
        <v>205</v>
      </c>
      <c r="C210" s="24">
        <v>6.6260046694726898E-6</v>
      </c>
      <c r="D210" s="24">
        <v>2.9926600511237522E-3</v>
      </c>
      <c r="E210" s="24">
        <v>3.893552147360424E-13</v>
      </c>
      <c r="F210" s="24">
        <v>8.1601246597125357E-23</v>
      </c>
      <c r="G210" s="24">
        <v>0.57432676902987467</v>
      </c>
      <c r="H210" s="24">
        <v>0.38032985679144338</v>
      </c>
      <c r="I210" s="53">
        <v>1994.8433819601157</v>
      </c>
      <c r="J210" s="53">
        <v>6612.0695078144809</v>
      </c>
      <c r="K210" s="24">
        <v>0.59918364867564333</v>
      </c>
      <c r="L210" s="24">
        <v>0.89128068981868547</v>
      </c>
      <c r="M210" s="24">
        <v>0.87799592595214293</v>
      </c>
      <c r="O210" s="53">
        <v>4.0869261938478889</v>
      </c>
      <c r="P210" s="54">
        <v>19971.848947085429</v>
      </c>
      <c r="Q210" s="54">
        <v>4.2782704088257928</v>
      </c>
      <c r="R210" s="54">
        <v>50704.947988665481</v>
      </c>
      <c r="S210" s="54">
        <v>0.19134421497790388</v>
      </c>
      <c r="T210" s="54">
        <v>30733.099041580052</v>
      </c>
      <c r="V210" s="69">
        <f t="shared" si="20"/>
        <v>797413.38982249238</v>
      </c>
      <c r="W210" s="69">
        <f t="shared" si="21"/>
        <v>804949.13377649314</v>
      </c>
      <c r="X210" s="69">
        <f t="shared" si="18"/>
        <v>7535.7439540007217</v>
      </c>
      <c r="Z210" s="68">
        <f t="shared" si="22"/>
        <v>0</v>
      </c>
      <c r="AA210" s="68">
        <f t="shared" si="23"/>
        <v>1</v>
      </c>
      <c r="AB210" s="68">
        <f t="shared" si="19"/>
        <v>1</v>
      </c>
    </row>
    <row r="211" spans="1:28" x14ac:dyDescent="0.25">
      <c r="A211">
        <v>206</v>
      </c>
      <c r="C211" s="24">
        <v>1.5117326125906912E-5</v>
      </c>
      <c r="D211" s="24">
        <v>3.5691446571498586E-3</v>
      </c>
      <c r="E211" s="24">
        <v>6.113465147958852E-4</v>
      </c>
      <c r="F211" s="24">
        <v>3.0905967275254568E-18</v>
      </c>
      <c r="G211" s="24">
        <v>0.68144268992578172</v>
      </c>
      <c r="H211" s="24">
        <v>0.29795579095963032</v>
      </c>
      <c r="I211" s="53">
        <v>1838.5462671953526</v>
      </c>
      <c r="J211" s="53">
        <v>4769.1272214387409</v>
      </c>
      <c r="K211" s="24">
        <v>0.62013559358357639</v>
      </c>
      <c r="L211" s="24">
        <v>0.80468537515813066</v>
      </c>
      <c r="M211" s="24">
        <v>0.91144025099202608</v>
      </c>
      <c r="O211" s="53">
        <v>3.6817693382285053</v>
      </c>
      <c r="P211" s="54">
        <v>18759.263638450331</v>
      </c>
      <c r="Q211" s="54">
        <v>3.9477695889780988</v>
      </c>
      <c r="R211" s="54">
        <v>40187.728260590673</v>
      </c>
      <c r="S211" s="54">
        <v>0.26600025074959355</v>
      </c>
      <c r="T211" s="54">
        <v>21428.464622140342</v>
      </c>
      <c r="V211" s="69">
        <f t="shared" si="20"/>
        <v>717594.60400725075</v>
      </c>
      <c r="W211" s="69">
        <f t="shared" si="21"/>
        <v>749366.18953502912</v>
      </c>
      <c r="X211" s="69">
        <f t="shared" si="18"/>
        <v>31771.585527778367</v>
      </c>
      <c r="Z211" s="68">
        <f t="shared" si="22"/>
        <v>0</v>
      </c>
      <c r="AA211" s="68">
        <f t="shared" si="23"/>
        <v>1</v>
      </c>
      <c r="AB211" s="68">
        <f t="shared" si="19"/>
        <v>1</v>
      </c>
    </row>
    <row r="212" spans="1:28" x14ac:dyDescent="0.25">
      <c r="A212">
        <v>207</v>
      </c>
      <c r="C212" s="24">
        <v>7.6271299938038828E-3</v>
      </c>
      <c r="D212" s="24">
        <v>5.1827519344631626E-4</v>
      </c>
      <c r="E212" s="24">
        <v>1.0199005496881929E-27</v>
      </c>
      <c r="F212" s="24">
        <v>4.3227015473068509E-4</v>
      </c>
      <c r="G212" s="24">
        <v>0.52204709007610894</v>
      </c>
      <c r="H212" s="24">
        <v>0.2281522354216351</v>
      </c>
      <c r="I212" s="53">
        <v>1526.6464934434032</v>
      </c>
      <c r="J212" s="53">
        <v>5338.3151129329908</v>
      </c>
      <c r="K212" s="24">
        <v>0.57615405817031662</v>
      </c>
      <c r="L212" s="24">
        <v>0.84260032868293644</v>
      </c>
      <c r="M212" s="24">
        <v>0.92791161622223983</v>
      </c>
      <c r="O212" s="53">
        <v>3.9386361464375792</v>
      </c>
      <c r="P212" s="54">
        <v>15108.480569274701</v>
      </c>
      <c r="Q212" s="54">
        <v>4.132340300095934</v>
      </c>
      <c r="R212" s="54">
        <v>34578.5370742308</v>
      </c>
      <c r="S212" s="54">
        <v>0.19370415365835481</v>
      </c>
      <c r="T212" s="54">
        <v>19470.056504956097</v>
      </c>
      <c r="V212" s="69">
        <f t="shared" si="20"/>
        <v>772618.74871824111</v>
      </c>
      <c r="W212" s="69">
        <f t="shared" si="21"/>
        <v>791889.52294495597</v>
      </c>
      <c r="X212" s="69">
        <f t="shared" si="18"/>
        <v>19270.774226714864</v>
      </c>
      <c r="Z212" s="68">
        <f t="shared" si="22"/>
        <v>0</v>
      </c>
      <c r="AA212" s="68">
        <f t="shared" si="23"/>
        <v>1</v>
      </c>
      <c r="AB212" s="68">
        <f t="shared" si="19"/>
        <v>1</v>
      </c>
    </row>
    <row r="213" spans="1:28" x14ac:dyDescent="0.25">
      <c r="A213">
        <v>208</v>
      </c>
      <c r="C213" s="24">
        <v>9.4474192542819447E-8</v>
      </c>
      <c r="D213" s="24">
        <v>4.70476488546967E-3</v>
      </c>
      <c r="E213" s="24">
        <v>5.6569549471875671E-16</v>
      </c>
      <c r="F213" s="24">
        <v>1.9104570690987588E-3</v>
      </c>
      <c r="G213" s="24">
        <v>0.68014248863644289</v>
      </c>
      <c r="H213" s="24">
        <v>0.33385338665461639</v>
      </c>
      <c r="I213" s="53">
        <v>2098.3688839261931</v>
      </c>
      <c r="J213" s="53">
        <v>5549.1543302643386</v>
      </c>
      <c r="K213" s="24">
        <v>0.54612688353047412</v>
      </c>
      <c r="L213" s="24">
        <v>0.86431809570201978</v>
      </c>
      <c r="M213" s="24">
        <v>0.82616174263243858</v>
      </c>
      <c r="O213" s="53">
        <v>3.7434673101225662</v>
      </c>
      <c r="P213" s="54">
        <v>22111.99898260906</v>
      </c>
      <c r="Q213" s="54">
        <v>4.1504138761217781</v>
      </c>
      <c r="R213" s="54">
        <v>44914.936499010408</v>
      </c>
      <c r="S213" s="54">
        <v>0.40694656599921197</v>
      </c>
      <c r="T213" s="54">
        <v>22802.937516401347</v>
      </c>
      <c r="V213" s="69">
        <f t="shared" si="20"/>
        <v>726581.46304190427</v>
      </c>
      <c r="W213" s="69">
        <f t="shared" si="21"/>
        <v>785167.83872534521</v>
      </c>
      <c r="X213" s="69">
        <f t="shared" si="18"/>
        <v>58586.375683441045</v>
      </c>
      <c r="Z213" s="68">
        <f t="shared" si="22"/>
        <v>0</v>
      </c>
      <c r="AA213" s="68">
        <f t="shared" si="23"/>
        <v>1</v>
      </c>
      <c r="AB213" s="68">
        <f t="shared" si="19"/>
        <v>1</v>
      </c>
    </row>
    <row r="214" spans="1:28" x14ac:dyDescent="0.25">
      <c r="A214">
        <v>209</v>
      </c>
      <c r="C214" s="24">
        <v>2.5021712812853589E-6</v>
      </c>
      <c r="D214" s="24">
        <v>1.9116249044555394E-4</v>
      </c>
      <c r="E214" s="24">
        <v>4.2924153120793562E-10</v>
      </c>
      <c r="F214" s="24">
        <v>1.5057471404178457E-6</v>
      </c>
      <c r="G214" s="24">
        <v>0.57703591769077223</v>
      </c>
      <c r="H214" s="24">
        <v>0.33500253752175291</v>
      </c>
      <c r="I214" s="53">
        <v>2109.9955170176704</v>
      </c>
      <c r="J214" s="53">
        <v>4262.6309734238966</v>
      </c>
      <c r="K214" s="24">
        <v>0.69986472703442182</v>
      </c>
      <c r="L214" s="24">
        <v>0.90775861266818469</v>
      </c>
      <c r="M214" s="24">
        <v>0.94669691154808766</v>
      </c>
      <c r="O214" s="53">
        <v>4.2733160910925054</v>
      </c>
      <c r="P214" s="54">
        <v>18967.517143696132</v>
      </c>
      <c r="Q214" s="54">
        <v>4.434546363328737</v>
      </c>
      <c r="R214" s="54">
        <v>46813.566247909817</v>
      </c>
      <c r="S214" s="54">
        <v>0.16123027223623154</v>
      </c>
      <c r="T214" s="54">
        <v>27846.049104213685</v>
      </c>
      <c r="V214" s="69">
        <f t="shared" si="20"/>
        <v>835695.70107480499</v>
      </c>
      <c r="W214" s="69">
        <f t="shared" si="21"/>
        <v>840095.70641783765</v>
      </c>
      <c r="X214" s="69">
        <f t="shared" si="18"/>
        <v>4400.0053430326225</v>
      </c>
      <c r="Z214" s="68">
        <f t="shared" si="22"/>
        <v>0</v>
      </c>
      <c r="AA214" s="68">
        <f t="shared" si="23"/>
        <v>1</v>
      </c>
      <c r="AB214" s="68">
        <f t="shared" si="19"/>
        <v>1</v>
      </c>
    </row>
    <row r="215" spans="1:28" x14ac:dyDescent="0.25">
      <c r="A215">
        <v>210</v>
      </c>
      <c r="C215" s="24">
        <v>4.6228396511894886E-9</v>
      </c>
      <c r="D215" s="24">
        <v>5.8971078306945257E-3</v>
      </c>
      <c r="E215" s="24">
        <v>5.3895352625232817E-8</v>
      </c>
      <c r="F215" s="24">
        <v>2.8537558786767857E-40</v>
      </c>
      <c r="G215" s="24">
        <v>0.55161957456376065</v>
      </c>
      <c r="H215" s="24">
        <v>0.26766708807543615</v>
      </c>
      <c r="I215" s="53">
        <v>1807.3807423081951</v>
      </c>
      <c r="J215" s="53">
        <v>6236.3535003536408</v>
      </c>
      <c r="K215" s="24">
        <v>0.59703924696711741</v>
      </c>
      <c r="L215" s="24">
        <v>0.84300623722199453</v>
      </c>
      <c r="M215" s="24">
        <v>0.92830777946924226</v>
      </c>
      <c r="O215" s="53">
        <v>3.9278851258969776</v>
      </c>
      <c r="P215" s="54">
        <v>11441.218382355853</v>
      </c>
      <c r="Q215" s="54">
        <v>4.1284377087014787</v>
      </c>
      <c r="R215" s="54">
        <v>31781.548813752685</v>
      </c>
      <c r="S215" s="54">
        <v>0.20055258280450117</v>
      </c>
      <c r="T215" s="54">
        <v>20340.330431396833</v>
      </c>
      <c r="V215" s="69">
        <f t="shared" si="20"/>
        <v>774135.8067970397</v>
      </c>
      <c r="W215" s="69">
        <f t="shared" si="21"/>
        <v>793905.992926543</v>
      </c>
      <c r="X215" s="69">
        <f t="shared" si="18"/>
        <v>19770.186129503403</v>
      </c>
      <c r="Z215" s="68">
        <f t="shared" si="22"/>
        <v>0</v>
      </c>
      <c r="AA215" s="68">
        <f t="shared" si="23"/>
        <v>1</v>
      </c>
      <c r="AB215" s="68">
        <f t="shared" si="19"/>
        <v>1</v>
      </c>
    </row>
    <row r="216" spans="1:28" x14ac:dyDescent="0.25">
      <c r="A216">
        <v>211</v>
      </c>
      <c r="C216" s="24">
        <v>1.1268735992590928E-2</v>
      </c>
      <c r="D216" s="24">
        <v>6.4632816803744189E-5</v>
      </c>
      <c r="E216" s="24">
        <v>8.0880455495813131E-4</v>
      </c>
      <c r="F216" s="24">
        <v>2.000971610627289E-10</v>
      </c>
      <c r="G216" s="24">
        <v>0.62065609488305973</v>
      </c>
      <c r="H216" s="24">
        <v>0.29330245946318578</v>
      </c>
      <c r="I216" s="53">
        <v>1592.9963583596611</v>
      </c>
      <c r="J216" s="53">
        <v>5349.6199606494074</v>
      </c>
      <c r="K216" s="24">
        <v>0.60922069587559413</v>
      </c>
      <c r="L216" s="24">
        <v>0.81731940568287165</v>
      </c>
      <c r="M216" s="24">
        <v>0.80666218043909954</v>
      </c>
      <c r="O216" s="53">
        <v>3.770240800655098</v>
      </c>
      <c r="P216" s="54">
        <v>19083.772911705135</v>
      </c>
      <c r="Q216" s="54">
        <v>4.0004122953798635</v>
      </c>
      <c r="R216" s="54">
        <v>37751.875555804196</v>
      </c>
      <c r="S216" s="54">
        <v>0.2301714947247655</v>
      </c>
      <c r="T216" s="54">
        <v>18668.102644099061</v>
      </c>
      <c r="V216" s="69">
        <f t="shared" si="20"/>
        <v>734964.38721931446</v>
      </c>
      <c r="W216" s="69">
        <f t="shared" si="21"/>
        <v>762330.58352016844</v>
      </c>
      <c r="X216" s="69">
        <f t="shared" si="18"/>
        <v>27366.196300854041</v>
      </c>
      <c r="Z216" s="68">
        <f t="shared" si="22"/>
        <v>0</v>
      </c>
      <c r="AA216" s="68">
        <f t="shared" si="23"/>
        <v>1</v>
      </c>
      <c r="AB216" s="68">
        <f t="shared" si="19"/>
        <v>1</v>
      </c>
    </row>
    <row r="217" spans="1:28" x14ac:dyDescent="0.25">
      <c r="A217">
        <v>212</v>
      </c>
      <c r="C217" s="24">
        <v>3.6762766627718158E-4</v>
      </c>
      <c r="D217" s="24">
        <v>3.2046715148545819E-4</v>
      </c>
      <c r="E217" s="24">
        <v>4.5807931935739259E-53</v>
      </c>
      <c r="F217" s="24">
        <v>2.2951726223462266E-27</v>
      </c>
      <c r="G217" s="24">
        <v>0.51335703452323611</v>
      </c>
      <c r="H217" s="24">
        <v>0.25339467548320704</v>
      </c>
      <c r="I217" s="53">
        <v>2053.2611400771962</v>
      </c>
      <c r="J217" s="53">
        <v>6756.4403737225921</v>
      </c>
      <c r="K217" s="24">
        <v>0.69237401799605647</v>
      </c>
      <c r="L217" s="24">
        <v>0.96216704512380313</v>
      </c>
      <c r="M217" s="24">
        <v>0.89625854501940427</v>
      </c>
      <c r="O217" s="53">
        <v>4.5361807145293023</v>
      </c>
      <c r="P217" s="54">
        <v>16244.677025518675</v>
      </c>
      <c r="Q217" s="54">
        <v>4.7192324182335268</v>
      </c>
      <c r="R217" s="54">
        <v>42942.586947538672</v>
      </c>
      <c r="S217" s="54">
        <v>0.18305170370422452</v>
      </c>
      <c r="T217" s="54">
        <v>26697.909922019997</v>
      </c>
      <c r="V217" s="69">
        <f t="shared" si="20"/>
        <v>890991.46588034171</v>
      </c>
      <c r="W217" s="69">
        <f t="shared" si="21"/>
        <v>900903.89669916674</v>
      </c>
      <c r="X217" s="69">
        <f t="shared" si="18"/>
        <v>9912.4308188249088</v>
      </c>
      <c r="Z217" s="68">
        <f t="shared" si="22"/>
        <v>0</v>
      </c>
      <c r="AA217" s="68">
        <f t="shared" si="23"/>
        <v>1</v>
      </c>
      <c r="AB217" s="68">
        <f t="shared" si="19"/>
        <v>1</v>
      </c>
    </row>
    <row r="218" spans="1:28" x14ac:dyDescent="0.25">
      <c r="A218">
        <v>213</v>
      </c>
      <c r="C218" s="24">
        <v>9.6979299666957175E-3</v>
      </c>
      <c r="D218" s="24">
        <v>7.8443526407019348E-3</v>
      </c>
      <c r="E218" s="24">
        <v>2.5304203177256568E-12</v>
      </c>
      <c r="F218" s="24">
        <v>9.2561624591702696E-6</v>
      </c>
      <c r="G218" s="24">
        <v>0.62381006155043961</v>
      </c>
      <c r="H218" s="24">
        <v>0.30971657220397286</v>
      </c>
      <c r="I218" s="53">
        <v>1851.8055493877546</v>
      </c>
      <c r="J218" s="53">
        <v>6500.6770594092704</v>
      </c>
      <c r="K218" s="24">
        <v>0.50941261079894917</v>
      </c>
      <c r="L218" s="24">
        <v>0.97028856561450016</v>
      </c>
      <c r="M218" s="24">
        <v>0.95164512624412223</v>
      </c>
      <c r="O218" s="53">
        <v>4.1577146847086039</v>
      </c>
      <c r="P218" s="54">
        <v>18119.388973056033</v>
      </c>
      <c r="Q218" s="54">
        <v>4.644222416403692</v>
      </c>
      <c r="R218" s="54">
        <v>36865.52552208367</v>
      </c>
      <c r="S218" s="54">
        <v>0.4865077316950881</v>
      </c>
      <c r="T218" s="54">
        <v>18746.136549027637</v>
      </c>
      <c r="V218" s="69">
        <f t="shared" si="20"/>
        <v>813423.54796866479</v>
      </c>
      <c r="W218" s="69">
        <f t="shared" si="21"/>
        <v>891978.95775865484</v>
      </c>
      <c r="X218" s="69">
        <f t="shared" si="18"/>
        <v>78555.409789989979</v>
      </c>
      <c r="Z218" s="68">
        <f t="shared" si="22"/>
        <v>0</v>
      </c>
      <c r="AA218" s="68">
        <f t="shared" si="23"/>
        <v>1</v>
      </c>
      <c r="AB218" s="68">
        <f t="shared" si="19"/>
        <v>1</v>
      </c>
    </row>
    <row r="219" spans="1:28" x14ac:dyDescent="0.25">
      <c r="A219">
        <v>214</v>
      </c>
      <c r="C219" s="24">
        <v>1.9337377291828082E-7</v>
      </c>
      <c r="D219" s="24">
        <v>2.4978736657821354E-3</v>
      </c>
      <c r="E219" s="24">
        <v>2.5479437109731079E-44</v>
      </c>
      <c r="F219" s="24">
        <v>4.0466783666201397E-27</v>
      </c>
      <c r="G219" s="24">
        <v>0.58613842522525128</v>
      </c>
      <c r="H219" s="24">
        <v>0.21207748188111264</v>
      </c>
      <c r="I219" s="53">
        <v>1778.3030347447354</v>
      </c>
      <c r="J219" s="53">
        <v>4937.4220500806841</v>
      </c>
      <c r="K219" s="24">
        <v>0.76423838426805235</v>
      </c>
      <c r="L219" s="24">
        <v>0.94347664934972886</v>
      </c>
      <c r="M219" s="24">
        <v>0.80560739031376716</v>
      </c>
      <c r="O219" s="53">
        <v>4.4810959117631954</v>
      </c>
      <c r="P219" s="54">
        <v>20094.122437444079</v>
      </c>
      <c r="Q219" s="54">
        <v>4.6670923394627533</v>
      </c>
      <c r="R219" s="54">
        <v>29931.154281651357</v>
      </c>
      <c r="S219" s="54">
        <v>0.18599642769955782</v>
      </c>
      <c r="T219" s="54">
        <v>9837.0318442072785</v>
      </c>
      <c r="V219" s="69">
        <f t="shared" si="20"/>
        <v>876125.05991519499</v>
      </c>
      <c r="W219" s="69">
        <f t="shared" si="21"/>
        <v>903487.31361089926</v>
      </c>
      <c r="X219" s="69">
        <f t="shared" si="18"/>
        <v>27362.253695704287</v>
      </c>
      <c r="Z219" s="68">
        <f t="shared" si="22"/>
        <v>0</v>
      </c>
      <c r="AA219" s="68">
        <f t="shared" si="23"/>
        <v>1</v>
      </c>
      <c r="AB219" s="68">
        <f t="shared" si="19"/>
        <v>1</v>
      </c>
    </row>
    <row r="220" spans="1:28" x14ac:dyDescent="0.25">
      <c r="A220">
        <v>215</v>
      </c>
      <c r="C220" s="24">
        <v>2.0658624516349234E-22</v>
      </c>
      <c r="D220" s="24">
        <v>4.2076876244543371E-3</v>
      </c>
      <c r="E220" s="24">
        <v>1.7896248217796895E-6</v>
      </c>
      <c r="F220" s="24">
        <v>5.2654324428835023E-22</v>
      </c>
      <c r="G220" s="24">
        <v>0.61124844871737638</v>
      </c>
      <c r="H220" s="24">
        <v>0.21351079300237252</v>
      </c>
      <c r="I220" s="53">
        <v>1897.5959051749176</v>
      </c>
      <c r="J220" s="53">
        <v>4188.8832239298308</v>
      </c>
      <c r="K220" s="24">
        <v>0.59516228103759472</v>
      </c>
      <c r="L220" s="24">
        <v>0.94439778045583678</v>
      </c>
      <c r="M220" s="24">
        <v>0.76623755622846268</v>
      </c>
      <c r="O220" s="53">
        <v>4.2197121871298267</v>
      </c>
      <c r="P220" s="54">
        <v>13736.612992115413</v>
      </c>
      <c r="Q220" s="54">
        <v>4.6227157558833571</v>
      </c>
      <c r="R220" s="54">
        <v>30346.313872733263</v>
      </c>
      <c r="S220" s="54">
        <v>0.40300356875353049</v>
      </c>
      <c r="T220" s="54">
        <v>16609.700880617849</v>
      </c>
      <c r="V220" s="69">
        <f t="shared" si="20"/>
        <v>830205.82443384989</v>
      </c>
      <c r="W220" s="69">
        <f t="shared" si="21"/>
        <v>894196.83730393811</v>
      </c>
      <c r="X220" s="69">
        <f t="shared" si="18"/>
        <v>63991.012870088249</v>
      </c>
      <c r="Z220" s="68">
        <f t="shared" si="22"/>
        <v>0</v>
      </c>
      <c r="AA220" s="68">
        <f t="shared" si="23"/>
        <v>1</v>
      </c>
      <c r="AB220" s="68">
        <f t="shared" si="19"/>
        <v>1</v>
      </c>
    </row>
    <row r="221" spans="1:28" x14ac:dyDescent="0.25">
      <c r="A221">
        <v>216</v>
      </c>
      <c r="C221" s="24">
        <v>1.5292430035896643E-2</v>
      </c>
      <c r="D221" s="24">
        <v>4.5778309965921471E-3</v>
      </c>
      <c r="E221" s="24">
        <v>1.2695369015598037E-15</v>
      </c>
      <c r="F221" s="24">
        <v>2.2955433242130295E-21</v>
      </c>
      <c r="G221" s="24">
        <v>0.65670650328962854</v>
      </c>
      <c r="H221" s="24">
        <v>0.33151287708841048</v>
      </c>
      <c r="I221" s="53">
        <v>1847.788707254871</v>
      </c>
      <c r="J221" s="53">
        <v>3890.668528238989</v>
      </c>
      <c r="K221" s="24">
        <v>0.59927895282057675</v>
      </c>
      <c r="L221" s="24">
        <v>0.97527659195693861</v>
      </c>
      <c r="M221" s="24">
        <v>0.99782288779025308</v>
      </c>
      <c r="O221" s="53">
        <v>4.2483010519930353</v>
      </c>
      <c r="P221" s="54">
        <v>18804.910782688301</v>
      </c>
      <c r="Q221" s="54">
        <v>4.6913623823089905</v>
      </c>
      <c r="R221" s="54">
        <v>46425.654631900805</v>
      </c>
      <c r="S221" s="54">
        <v>0.44306133031595518</v>
      </c>
      <c r="T221" s="54">
        <v>27620.743849212504</v>
      </c>
      <c r="V221" s="69">
        <f t="shared" si="20"/>
        <v>830855.29961591878</v>
      </c>
      <c r="W221" s="69">
        <f t="shared" si="21"/>
        <v>891846.82182989724</v>
      </c>
      <c r="X221" s="69">
        <f t="shared" si="18"/>
        <v>60991.522213978533</v>
      </c>
      <c r="Z221" s="68">
        <f t="shared" si="22"/>
        <v>0</v>
      </c>
      <c r="AA221" s="68">
        <f t="shared" si="23"/>
        <v>1</v>
      </c>
      <c r="AB221" s="68">
        <f t="shared" si="19"/>
        <v>1</v>
      </c>
    </row>
    <row r="222" spans="1:28" x14ac:dyDescent="0.25">
      <c r="A222">
        <v>217</v>
      </c>
      <c r="C222" s="24">
        <v>1.5444213928377803E-2</v>
      </c>
      <c r="D222" s="24">
        <v>9.2434401238942199E-3</v>
      </c>
      <c r="E222" s="24">
        <v>1.0835782005336192E-5</v>
      </c>
      <c r="F222" s="24">
        <v>1.9190145600971908E-91</v>
      </c>
      <c r="G222" s="24">
        <v>0.64704763927904541</v>
      </c>
      <c r="H222" s="24">
        <v>0.36884918528315946</v>
      </c>
      <c r="I222" s="53">
        <v>2100.6390173697441</v>
      </c>
      <c r="J222" s="53">
        <v>5221.9006186528804</v>
      </c>
      <c r="K222" s="24">
        <v>0.74872799459662764</v>
      </c>
      <c r="L222" s="24">
        <v>0.86654258250162097</v>
      </c>
      <c r="M222" s="24">
        <v>0.76729679768393444</v>
      </c>
      <c r="O222" s="53">
        <v>4.1264813189074454</v>
      </c>
      <c r="P222" s="54">
        <v>19570.856945762167</v>
      </c>
      <c r="Q222" s="54">
        <v>4.2579074390582869</v>
      </c>
      <c r="R222" s="54">
        <v>47608.82778794827</v>
      </c>
      <c r="S222" s="54">
        <v>0.13142612015084154</v>
      </c>
      <c r="T222" s="54">
        <v>28037.970842186103</v>
      </c>
      <c r="V222" s="69">
        <f t="shared" si="20"/>
        <v>805725.40683572693</v>
      </c>
      <c r="W222" s="69">
        <f t="shared" si="21"/>
        <v>803972.66002370906</v>
      </c>
      <c r="X222" s="69">
        <f t="shared" si="18"/>
        <v>-1752.7468120177946</v>
      </c>
      <c r="Z222" s="68">
        <f t="shared" si="22"/>
        <v>1</v>
      </c>
      <c r="AA222" s="68">
        <f t="shared" si="23"/>
        <v>0</v>
      </c>
      <c r="AB222" s="68">
        <f t="shared" si="19"/>
        <v>0</v>
      </c>
    </row>
    <row r="223" spans="1:28" x14ac:dyDescent="0.25">
      <c r="A223">
        <v>218</v>
      </c>
      <c r="C223" s="24">
        <v>6.0027997090261742E-5</v>
      </c>
      <c r="D223" s="24">
        <v>1.8140884773250043E-3</v>
      </c>
      <c r="E223" s="24">
        <v>6.5745604260758483E-5</v>
      </c>
      <c r="F223" s="24">
        <v>1.1360861318318568E-27</v>
      </c>
      <c r="G223" s="24">
        <v>0.59485307385690778</v>
      </c>
      <c r="H223" s="24">
        <v>0.33105674449339284</v>
      </c>
      <c r="I223" s="53">
        <v>2582.7042840835356</v>
      </c>
      <c r="J223" s="53">
        <v>4381.9524816110998</v>
      </c>
      <c r="K223" s="24">
        <v>0.73213161687788841</v>
      </c>
      <c r="L223" s="24">
        <v>0.87998590615293004</v>
      </c>
      <c r="M223" s="24">
        <v>0.74820302989929321</v>
      </c>
      <c r="O223" s="53">
        <v>4.1984217151449901</v>
      </c>
      <c r="P223" s="54">
        <v>18527.851637321772</v>
      </c>
      <c r="Q223" s="54">
        <v>4.3254374137594098</v>
      </c>
      <c r="R223" s="54">
        <v>56170.183574656323</v>
      </c>
      <c r="S223" s="54">
        <v>0.12701569861441975</v>
      </c>
      <c r="T223" s="54">
        <v>37642.331937334551</v>
      </c>
      <c r="V223" s="69">
        <f t="shared" si="20"/>
        <v>821156.49139167625</v>
      </c>
      <c r="W223" s="69">
        <f t="shared" si="21"/>
        <v>808917.29917722556</v>
      </c>
      <c r="X223" s="69">
        <f t="shared" si="18"/>
        <v>-12239.192214450602</v>
      </c>
      <c r="Z223" s="68">
        <f t="shared" si="22"/>
        <v>1</v>
      </c>
      <c r="AA223" s="68">
        <f t="shared" si="23"/>
        <v>0</v>
      </c>
      <c r="AB223" s="68">
        <f t="shared" si="19"/>
        <v>0</v>
      </c>
    </row>
    <row r="224" spans="1:28" x14ac:dyDescent="0.25">
      <c r="A224">
        <v>219</v>
      </c>
      <c r="C224" s="24">
        <v>1.0606018770316084E-3</v>
      </c>
      <c r="D224" s="24">
        <v>6.4822953760027557E-3</v>
      </c>
      <c r="E224" s="24">
        <v>1.1630149014951741E-6</v>
      </c>
      <c r="F224" s="24">
        <v>1.172356689655766E-25</v>
      </c>
      <c r="G224" s="24">
        <v>0.59028127127510932</v>
      </c>
      <c r="H224" s="24">
        <v>0.20355038351618127</v>
      </c>
      <c r="I224" s="53">
        <v>2262.7500938108678</v>
      </c>
      <c r="J224" s="53">
        <v>4804.716043569344</v>
      </c>
      <c r="K224" s="24">
        <v>0.59581766467320052</v>
      </c>
      <c r="L224" s="24">
        <v>0.98894568389742155</v>
      </c>
      <c r="M224" s="24">
        <v>0.6329912781184277</v>
      </c>
      <c r="O224" s="53">
        <v>4.4155527382936279</v>
      </c>
      <c r="P224" s="54">
        <v>18831.517044227079</v>
      </c>
      <c r="Q224" s="54">
        <v>4.8305455487591953</v>
      </c>
      <c r="R224" s="54">
        <v>30821.37937072348</v>
      </c>
      <c r="S224" s="54">
        <v>0.41499281046556735</v>
      </c>
      <c r="T224" s="54">
        <v>11989.862326496401</v>
      </c>
      <c r="V224" s="69">
        <f t="shared" si="20"/>
        <v>864279.03061449854</v>
      </c>
      <c r="W224" s="69">
        <f t="shared" si="21"/>
        <v>935287.73038111557</v>
      </c>
      <c r="X224" s="69">
        <f t="shared" si="18"/>
        <v>71008.699766617079</v>
      </c>
      <c r="Z224" s="68">
        <f t="shared" si="22"/>
        <v>0</v>
      </c>
      <c r="AA224" s="68">
        <f t="shared" si="23"/>
        <v>1</v>
      </c>
      <c r="AB224" s="68">
        <f t="shared" si="19"/>
        <v>1</v>
      </c>
    </row>
    <row r="225" spans="1:28" x14ac:dyDescent="0.25">
      <c r="A225">
        <v>220</v>
      </c>
      <c r="C225" s="24">
        <v>1.0496556471117078E-5</v>
      </c>
      <c r="D225" s="24">
        <v>7.1155482361634492E-3</v>
      </c>
      <c r="E225" s="24">
        <v>1.4685592954477578E-5</v>
      </c>
      <c r="F225" s="24">
        <v>2.186398663789747E-21</v>
      </c>
      <c r="G225" s="24">
        <v>0.71889288168235188</v>
      </c>
      <c r="H225" s="24">
        <v>0.31930833768797817</v>
      </c>
      <c r="I225" s="53">
        <v>1879.000119672595</v>
      </c>
      <c r="J225" s="53">
        <v>5742.2035382376371</v>
      </c>
      <c r="K225" s="24">
        <v>0.6129515922296539</v>
      </c>
      <c r="L225" s="24">
        <v>0.89198163251831109</v>
      </c>
      <c r="M225" s="24">
        <v>0.88614057879552821</v>
      </c>
      <c r="O225" s="53">
        <v>3.8832035479594103</v>
      </c>
      <c r="P225" s="54">
        <v>23440.217684857485</v>
      </c>
      <c r="Q225" s="54">
        <v>4.3291745849952967</v>
      </c>
      <c r="R225" s="54">
        <v>36865.115136745175</v>
      </c>
      <c r="S225" s="54">
        <v>0.44597103703588648</v>
      </c>
      <c r="T225" s="54">
        <v>13424.897451887689</v>
      </c>
      <c r="V225" s="69">
        <f t="shared" si="20"/>
        <v>753200.49190702464</v>
      </c>
      <c r="W225" s="69">
        <f t="shared" si="21"/>
        <v>828969.80186231423</v>
      </c>
      <c r="X225" s="69">
        <f t="shared" si="18"/>
        <v>75769.309955289602</v>
      </c>
      <c r="Z225" s="68">
        <f t="shared" si="22"/>
        <v>0</v>
      </c>
      <c r="AA225" s="68">
        <f t="shared" si="23"/>
        <v>1</v>
      </c>
      <c r="AB225" s="68">
        <f t="shared" si="19"/>
        <v>1</v>
      </c>
    </row>
    <row r="226" spans="1:28" x14ac:dyDescent="0.25">
      <c r="A226">
        <v>221</v>
      </c>
      <c r="C226" s="24">
        <v>6.3276233004758308E-11</v>
      </c>
      <c r="D226" s="24">
        <v>4.9129780186311867E-5</v>
      </c>
      <c r="E226" s="24">
        <v>9.7940544563357435E-12</v>
      </c>
      <c r="F226" s="24">
        <v>3.3517633113433476E-13</v>
      </c>
      <c r="G226" s="24">
        <v>0.62257369646867011</v>
      </c>
      <c r="H226" s="24">
        <v>0.32774912802726974</v>
      </c>
      <c r="I226" s="53">
        <v>1931.0010679901009</v>
      </c>
      <c r="J226" s="53">
        <v>5398.242948076776</v>
      </c>
      <c r="K226" s="24">
        <v>0.38383043983105225</v>
      </c>
      <c r="L226" s="24">
        <v>0.89299151044686531</v>
      </c>
      <c r="M226" s="24">
        <v>0.89449589486165382</v>
      </c>
      <c r="O226" s="53">
        <v>3.7036380919187075</v>
      </c>
      <c r="P226" s="54">
        <v>14864.522369748496</v>
      </c>
      <c r="Q226" s="54">
        <v>4.2176605072275786</v>
      </c>
      <c r="R226" s="54">
        <v>51231.303476973808</v>
      </c>
      <c r="S226" s="54">
        <v>0.51402241530887105</v>
      </c>
      <c r="T226" s="54">
        <v>36366.78110722531</v>
      </c>
      <c r="V226" s="69">
        <f t="shared" si="20"/>
        <v>725863.09601399302</v>
      </c>
      <c r="W226" s="69">
        <f t="shared" si="21"/>
        <v>792300.79796854197</v>
      </c>
      <c r="X226" s="69">
        <f t="shared" si="18"/>
        <v>66437.701954548902</v>
      </c>
      <c r="Z226" s="68">
        <f t="shared" si="22"/>
        <v>0</v>
      </c>
      <c r="AA226" s="68">
        <f t="shared" si="23"/>
        <v>1</v>
      </c>
      <c r="AB226" s="68">
        <f t="shared" si="19"/>
        <v>1</v>
      </c>
    </row>
    <row r="227" spans="1:28" x14ac:dyDescent="0.25">
      <c r="A227">
        <v>222</v>
      </c>
      <c r="C227" s="24">
        <v>1.3012342809963329E-2</v>
      </c>
      <c r="D227" s="24">
        <v>9.31650375360691E-4</v>
      </c>
      <c r="E227" s="24">
        <v>2.7939872637716689E-12</v>
      </c>
      <c r="F227" s="24">
        <v>1.0800249583553523E-12</v>
      </c>
      <c r="G227" s="24">
        <v>0.58121529307395559</v>
      </c>
      <c r="H227" s="24">
        <v>0.22501029875845124</v>
      </c>
      <c r="I227" s="53">
        <v>1970.4283863293676</v>
      </c>
      <c r="J227" s="53">
        <v>4945.5293880833924</v>
      </c>
      <c r="K227" s="24">
        <v>0.72102185496824955</v>
      </c>
      <c r="L227" s="24">
        <v>0.94445011497367626</v>
      </c>
      <c r="M227" s="24">
        <v>0.91771732498551473</v>
      </c>
      <c r="O227" s="53">
        <v>4.4296531399707515</v>
      </c>
      <c r="P227" s="54">
        <v>15867.139749255773</v>
      </c>
      <c r="Q227" s="54">
        <v>4.6572665323075446</v>
      </c>
      <c r="R227" s="54">
        <v>31456.798194945066</v>
      </c>
      <c r="S227" s="54">
        <v>0.22761339233679312</v>
      </c>
      <c r="T227" s="54">
        <v>15589.658445689292</v>
      </c>
      <c r="V227" s="69">
        <f t="shared" si="20"/>
        <v>870063.48824489454</v>
      </c>
      <c r="W227" s="69">
        <f t="shared" si="21"/>
        <v>899996.50826656388</v>
      </c>
      <c r="X227" s="69">
        <f t="shared" si="18"/>
        <v>29933.02002166933</v>
      </c>
      <c r="Z227" s="68">
        <f t="shared" si="22"/>
        <v>0</v>
      </c>
      <c r="AA227" s="68">
        <f t="shared" si="23"/>
        <v>1</v>
      </c>
      <c r="AB227" s="68">
        <f t="shared" si="19"/>
        <v>1</v>
      </c>
    </row>
    <row r="228" spans="1:28" x14ac:dyDescent="0.25">
      <c r="A228">
        <v>223</v>
      </c>
      <c r="C228" s="24">
        <v>4.7658610304990301E-4</v>
      </c>
      <c r="D228" s="24">
        <v>1.3944038143433035E-3</v>
      </c>
      <c r="E228" s="24">
        <v>1.4712448175365767E-3</v>
      </c>
      <c r="F228" s="24">
        <v>7.7476524483977016E-5</v>
      </c>
      <c r="G228" s="24">
        <v>0.51400646050090226</v>
      </c>
      <c r="H228" s="24">
        <v>0.1646992193538237</v>
      </c>
      <c r="I228" s="53">
        <v>1346.5955358393221</v>
      </c>
      <c r="J228" s="53">
        <v>3395.1079724762953</v>
      </c>
      <c r="K228" s="24">
        <v>0.59628369416899052</v>
      </c>
      <c r="L228" s="24">
        <v>0.98503926671171493</v>
      </c>
      <c r="M228" s="24">
        <v>0.95402306307650797</v>
      </c>
      <c r="O228" s="53">
        <v>4.5167945656855215</v>
      </c>
      <c r="P228" s="54">
        <v>16312.406261066737</v>
      </c>
      <c r="Q228" s="54">
        <v>4.8478658178788336</v>
      </c>
      <c r="R228" s="54">
        <v>25039.827984578562</v>
      </c>
      <c r="S228" s="54">
        <v>0.33107125219331213</v>
      </c>
      <c r="T228" s="54">
        <v>8727.4217235118249</v>
      </c>
      <c r="V228" s="69">
        <f t="shared" si="20"/>
        <v>887046.50687603746</v>
      </c>
      <c r="W228" s="69">
        <f t="shared" si="21"/>
        <v>944533.33559118817</v>
      </c>
      <c r="X228" s="69">
        <f t="shared" si="18"/>
        <v>57486.828715150594</v>
      </c>
      <c r="Z228" s="68">
        <f t="shared" si="22"/>
        <v>0</v>
      </c>
      <c r="AA228" s="68">
        <f t="shared" si="23"/>
        <v>1</v>
      </c>
      <c r="AB228" s="68">
        <f t="shared" si="19"/>
        <v>1</v>
      </c>
    </row>
    <row r="229" spans="1:28" x14ac:dyDescent="0.25">
      <c r="A229">
        <v>224</v>
      </c>
      <c r="C229" s="24">
        <v>7.4725974385292382E-5</v>
      </c>
      <c r="D229" s="24">
        <v>8.1327920337078926E-4</v>
      </c>
      <c r="E229" s="24">
        <v>2.943678866218491E-6</v>
      </c>
      <c r="F229" s="24">
        <v>4.441355918045154E-36</v>
      </c>
      <c r="G229" s="24">
        <v>0.51333813955644758</v>
      </c>
      <c r="H229" s="24">
        <v>0.26847689636579852</v>
      </c>
      <c r="I229" s="53">
        <v>1806.6262636103645</v>
      </c>
      <c r="J229" s="53">
        <v>4778.460214148472</v>
      </c>
      <c r="K229" s="24">
        <v>0.59844381491756571</v>
      </c>
      <c r="L229" s="24">
        <v>0.94044895209133905</v>
      </c>
      <c r="M229" s="24">
        <v>0.85409957980079187</v>
      </c>
      <c r="O229" s="53">
        <v>4.3542767844108967</v>
      </c>
      <c r="P229" s="54">
        <v>17324.741902364167</v>
      </c>
      <c r="Q229" s="54">
        <v>4.5764554417500918</v>
      </c>
      <c r="R229" s="54">
        <v>46331.232547074454</v>
      </c>
      <c r="S229" s="54">
        <v>0.22217865733919506</v>
      </c>
      <c r="T229" s="54">
        <v>29006.490644710288</v>
      </c>
      <c r="V229" s="69">
        <f t="shared" si="20"/>
        <v>853530.6149798152</v>
      </c>
      <c r="W229" s="69">
        <f t="shared" si="21"/>
        <v>868959.85580294393</v>
      </c>
      <c r="X229" s="69">
        <f t="shared" si="18"/>
        <v>15429.240823128723</v>
      </c>
      <c r="Z229" s="68">
        <f t="shared" si="22"/>
        <v>0</v>
      </c>
      <c r="AA229" s="68">
        <f t="shared" si="23"/>
        <v>1</v>
      </c>
      <c r="AB229" s="68">
        <f t="shared" si="19"/>
        <v>1</v>
      </c>
    </row>
    <row r="230" spans="1:28" x14ac:dyDescent="0.25">
      <c r="A230">
        <v>225</v>
      </c>
      <c r="C230" s="24">
        <v>5.3452322588447903E-10</v>
      </c>
      <c r="D230" s="24">
        <v>1.8131762398530791E-5</v>
      </c>
      <c r="E230" s="24">
        <v>2.5233354727927093E-7</v>
      </c>
      <c r="F230" s="24">
        <v>3.2828281384627075E-39</v>
      </c>
      <c r="G230" s="24">
        <v>0.47192927251744277</v>
      </c>
      <c r="H230" s="24">
        <v>0.32264371869106412</v>
      </c>
      <c r="I230" s="53">
        <v>2451.8852488430416</v>
      </c>
      <c r="J230" s="53">
        <v>4233.8709083358926</v>
      </c>
      <c r="K230" s="24">
        <v>0.5806626685364279</v>
      </c>
      <c r="L230" s="24">
        <v>0.83193726420531955</v>
      </c>
      <c r="M230" s="24">
        <v>0.8527792982068918</v>
      </c>
      <c r="O230" s="53">
        <v>3.9403809184759315</v>
      </c>
      <c r="P230" s="54">
        <v>13518.766856839879</v>
      </c>
      <c r="Q230" s="54">
        <v>4.0404182126405503</v>
      </c>
      <c r="R230" s="54">
        <v>41166.461086993448</v>
      </c>
      <c r="S230" s="54">
        <v>0.10003729416461882</v>
      </c>
      <c r="T230" s="54">
        <v>27647.694230153567</v>
      </c>
      <c r="V230" s="69">
        <f t="shared" si="20"/>
        <v>774557.4168383464</v>
      </c>
      <c r="W230" s="69">
        <f t="shared" si="21"/>
        <v>766917.18144111661</v>
      </c>
      <c r="X230" s="69">
        <f t="shared" si="18"/>
        <v>-7640.2353972298042</v>
      </c>
      <c r="Z230" s="68">
        <f t="shared" si="22"/>
        <v>1</v>
      </c>
      <c r="AA230" s="68">
        <f t="shared" si="23"/>
        <v>0</v>
      </c>
      <c r="AB230" s="68">
        <f t="shared" si="19"/>
        <v>0</v>
      </c>
    </row>
    <row r="231" spans="1:28" x14ac:dyDescent="0.25">
      <c r="A231">
        <v>226</v>
      </c>
      <c r="C231" s="24">
        <v>1.6426753368818547E-7</v>
      </c>
      <c r="D231" s="24">
        <v>5.653292653339137E-3</v>
      </c>
      <c r="E231" s="24">
        <v>4.8658220086483794E-7</v>
      </c>
      <c r="F231" s="24">
        <v>6.4611316297202848E-11</v>
      </c>
      <c r="G231" s="24">
        <v>0.68758269624986079</v>
      </c>
      <c r="H231" s="24">
        <v>0.19408644391070007</v>
      </c>
      <c r="I231" s="53">
        <v>1827.8718192611325</v>
      </c>
      <c r="J231" s="53">
        <v>6554.0894047069933</v>
      </c>
      <c r="K231" s="24">
        <v>0.5644618551631122</v>
      </c>
      <c r="L231" s="24">
        <v>0.86305542762855747</v>
      </c>
      <c r="M231" s="24">
        <v>0.98165880625429058</v>
      </c>
      <c r="O231" s="53">
        <v>3.7591082065742647</v>
      </c>
      <c r="P231" s="54">
        <v>22348.16084544198</v>
      </c>
      <c r="Q231" s="54">
        <v>4.2473468541926067</v>
      </c>
      <c r="R231" s="54">
        <v>32175.389789572677</v>
      </c>
      <c r="S231" s="54">
        <v>0.48823864761834201</v>
      </c>
      <c r="T231" s="54">
        <v>9827.2289441306966</v>
      </c>
      <c r="V231" s="69">
        <f t="shared" si="20"/>
        <v>729473.48046941101</v>
      </c>
      <c r="W231" s="69">
        <f t="shared" si="21"/>
        <v>817293.98104894871</v>
      </c>
      <c r="X231" s="69">
        <f t="shared" si="18"/>
        <v>87820.500579537707</v>
      </c>
      <c r="Z231" s="68">
        <f t="shared" si="22"/>
        <v>0</v>
      </c>
      <c r="AA231" s="68">
        <f t="shared" si="23"/>
        <v>1</v>
      </c>
      <c r="AB231" s="68">
        <f t="shared" si="19"/>
        <v>1</v>
      </c>
    </row>
    <row r="232" spans="1:28" x14ac:dyDescent="0.25">
      <c r="A232">
        <v>227</v>
      </c>
      <c r="C232" s="24">
        <v>3.9511566383236181E-9</v>
      </c>
      <c r="D232" s="24">
        <v>2.0075915917165954E-3</v>
      </c>
      <c r="E232" s="24">
        <v>1.5094693839312612E-7</v>
      </c>
      <c r="F232" s="24">
        <v>5.0785511883672394E-32</v>
      </c>
      <c r="G232" s="24">
        <v>0.63701615245444732</v>
      </c>
      <c r="H232" s="24">
        <v>0.37783784700100731</v>
      </c>
      <c r="I232" s="53">
        <v>1833.9809410003243</v>
      </c>
      <c r="J232" s="53">
        <v>5514.6644878283241</v>
      </c>
      <c r="K232" s="24">
        <v>0.67518237460267538</v>
      </c>
      <c r="L232" s="24">
        <v>0.85057154456257422</v>
      </c>
      <c r="M232" s="24">
        <v>0.91349313669335563</v>
      </c>
      <c r="O232" s="53">
        <v>3.9773447141040239</v>
      </c>
      <c r="P232" s="54">
        <v>15340.630120813779</v>
      </c>
      <c r="Q232" s="54">
        <v>4.148057272129023</v>
      </c>
      <c r="R232" s="54">
        <v>44909.85527852425</v>
      </c>
      <c r="S232" s="54">
        <v>0.17071255802499907</v>
      </c>
      <c r="T232" s="54">
        <v>29569.225157710469</v>
      </c>
      <c r="V232" s="69">
        <f t="shared" si="20"/>
        <v>780128.31269999105</v>
      </c>
      <c r="W232" s="69">
        <f t="shared" si="21"/>
        <v>784701.59914728033</v>
      </c>
      <c r="X232" s="69">
        <f t="shared" si="18"/>
        <v>4573.2864472893489</v>
      </c>
      <c r="Z232" s="68">
        <f t="shared" si="22"/>
        <v>0</v>
      </c>
      <c r="AA232" s="68">
        <f t="shared" si="23"/>
        <v>1</v>
      </c>
      <c r="AB232" s="68">
        <f t="shared" si="19"/>
        <v>1</v>
      </c>
    </row>
    <row r="233" spans="1:28" x14ac:dyDescent="0.25">
      <c r="A233">
        <v>228</v>
      </c>
      <c r="C233" s="24">
        <v>4.6767395795638588E-5</v>
      </c>
      <c r="D233" s="24">
        <v>4.9081619490145556E-3</v>
      </c>
      <c r="E233" s="24">
        <v>2.4112531809940082E-14</v>
      </c>
      <c r="F233" s="24">
        <v>4.5731425141111675E-17</v>
      </c>
      <c r="G233" s="24">
        <v>0.55118924543318304</v>
      </c>
      <c r="H233" s="24">
        <v>0.30896829000927317</v>
      </c>
      <c r="I233" s="53">
        <v>1692.0319679143267</v>
      </c>
      <c r="J233" s="53">
        <v>4559.8821208058407</v>
      </c>
      <c r="K233" s="24">
        <v>0.68173435349448419</v>
      </c>
      <c r="L233" s="24">
        <v>0.6588239799909652</v>
      </c>
      <c r="M233" s="24">
        <v>0.80600325792332095</v>
      </c>
      <c r="O233" s="53">
        <v>3.3208837377927116</v>
      </c>
      <c r="P233" s="54">
        <v>18746.228540713109</v>
      </c>
      <c r="Q233" s="54">
        <v>3.3090952941214371</v>
      </c>
      <c r="R233" s="54">
        <v>33802.596924063764</v>
      </c>
      <c r="S233" s="54">
        <v>-1.1788443671274518E-2</v>
      </c>
      <c r="T233" s="54">
        <v>15056.368383350655</v>
      </c>
      <c r="V233" s="69">
        <f t="shared" si="20"/>
        <v>645430.51901782921</v>
      </c>
      <c r="W233" s="69">
        <f t="shared" si="21"/>
        <v>628016.46190022363</v>
      </c>
      <c r="X233" s="69">
        <f t="shared" si="18"/>
        <v>-17414.05711760556</v>
      </c>
      <c r="Z233" s="68">
        <f t="shared" si="22"/>
        <v>1</v>
      </c>
      <c r="AA233" s="68">
        <f t="shared" si="23"/>
        <v>0</v>
      </c>
      <c r="AB233" s="68">
        <f t="shared" si="19"/>
        <v>0</v>
      </c>
    </row>
    <row r="234" spans="1:28" x14ac:dyDescent="0.25">
      <c r="A234">
        <v>229</v>
      </c>
      <c r="C234" s="24">
        <v>5.2653233636257291E-4</v>
      </c>
      <c r="D234" s="24">
        <v>5.8939410631373916E-10</v>
      </c>
      <c r="E234" s="24">
        <v>3.3492097983867097E-12</v>
      </c>
      <c r="F234" s="24">
        <v>1.6241100361101066E-27</v>
      </c>
      <c r="G234" s="24">
        <v>0.56766273360819886</v>
      </c>
      <c r="H234" s="24">
        <v>0.34420254528371508</v>
      </c>
      <c r="I234" s="53">
        <v>1626.790766143019</v>
      </c>
      <c r="J234" s="53">
        <v>4162.99002316934</v>
      </c>
      <c r="K234" s="24">
        <v>0.55419790048427564</v>
      </c>
      <c r="L234" s="24">
        <v>0.69235665289465853</v>
      </c>
      <c r="M234" s="24">
        <v>0.92279231260037009</v>
      </c>
      <c r="O234" s="53">
        <v>3.2921289813228438</v>
      </c>
      <c r="P234" s="54">
        <v>14412.935093283442</v>
      </c>
      <c r="Q234" s="54">
        <v>3.3896194593269677</v>
      </c>
      <c r="R234" s="54">
        <v>50351.677689357537</v>
      </c>
      <c r="S234" s="54">
        <v>9.7490478004123915E-2</v>
      </c>
      <c r="T234" s="54">
        <v>35938.742596074095</v>
      </c>
      <c r="V234" s="69">
        <f t="shared" si="20"/>
        <v>644012.86117128539</v>
      </c>
      <c r="W234" s="69">
        <f t="shared" si="21"/>
        <v>627572.21417603595</v>
      </c>
      <c r="X234" s="69">
        <f t="shared" si="18"/>
        <v>-16440.646995249313</v>
      </c>
      <c r="Z234" s="68">
        <f t="shared" si="22"/>
        <v>1</v>
      </c>
      <c r="AA234" s="68">
        <f t="shared" si="23"/>
        <v>0</v>
      </c>
      <c r="AB234" s="68">
        <f t="shared" si="19"/>
        <v>0</v>
      </c>
    </row>
    <row r="235" spans="1:28" x14ac:dyDescent="0.25">
      <c r="A235">
        <v>230</v>
      </c>
      <c r="C235" s="24">
        <v>1.7201086211731463E-8</v>
      </c>
      <c r="D235" s="24">
        <v>3.4000408107309754E-3</v>
      </c>
      <c r="E235" s="24">
        <v>9.7441897443428793E-5</v>
      </c>
      <c r="F235" s="24">
        <v>5.7522507784715664E-66</v>
      </c>
      <c r="G235" s="24">
        <v>0.69173546104671346</v>
      </c>
      <c r="H235" s="24">
        <v>0.34039344661792548</v>
      </c>
      <c r="I235" s="53">
        <v>1575.376730841529</v>
      </c>
      <c r="J235" s="53">
        <v>4975.446910861061</v>
      </c>
      <c r="K235" s="24">
        <v>0.81280610733739111</v>
      </c>
      <c r="L235" s="24">
        <v>0.91764168107591426</v>
      </c>
      <c r="M235" s="24">
        <v>0.60853788461756142</v>
      </c>
      <c r="O235" s="53">
        <v>4.3893167617224425</v>
      </c>
      <c r="P235" s="54">
        <v>19466.48937978271</v>
      </c>
      <c r="Q235" s="54">
        <v>4.527206564639787</v>
      </c>
      <c r="R235" s="54">
        <v>56089.118044461546</v>
      </c>
      <c r="S235" s="54">
        <v>0.13788980291734454</v>
      </c>
      <c r="T235" s="54">
        <v>36622.628664678836</v>
      </c>
      <c r="V235" s="69">
        <f t="shared" si="20"/>
        <v>858396.8629647058</v>
      </c>
      <c r="W235" s="69">
        <f t="shared" si="21"/>
        <v>849352.1948834958</v>
      </c>
      <c r="X235" s="69">
        <f t="shared" si="18"/>
        <v>-9044.6680812099294</v>
      </c>
      <c r="Z235" s="68">
        <f t="shared" si="22"/>
        <v>1</v>
      </c>
      <c r="AA235" s="68">
        <f t="shared" si="23"/>
        <v>0</v>
      </c>
      <c r="AB235" s="68">
        <f t="shared" si="19"/>
        <v>0</v>
      </c>
    </row>
    <row r="236" spans="1:28" x14ac:dyDescent="0.25">
      <c r="A236">
        <v>231</v>
      </c>
      <c r="C236" s="24">
        <v>2.2584091434141307E-4</v>
      </c>
      <c r="D236" s="24">
        <v>1.9842397415005264E-3</v>
      </c>
      <c r="E236" s="24">
        <v>5.7624106590437691E-14</v>
      </c>
      <c r="F236" s="24">
        <v>9.6389562997956091E-13</v>
      </c>
      <c r="G236" s="24">
        <v>0.5581199806680186</v>
      </c>
      <c r="H236" s="24">
        <v>0.28005980679542275</v>
      </c>
      <c r="I236" s="53">
        <v>2149.7673387211075</v>
      </c>
      <c r="J236" s="53">
        <v>4415.4218406645869</v>
      </c>
      <c r="K236" s="24">
        <v>0.60452657719523895</v>
      </c>
      <c r="L236" s="24">
        <v>0.83994258177679049</v>
      </c>
      <c r="M236" s="24">
        <v>0.84383136491747035</v>
      </c>
      <c r="O236" s="53">
        <v>3.9184791027701085</v>
      </c>
      <c r="P236" s="54">
        <v>18734.078082307398</v>
      </c>
      <c r="Q236" s="54">
        <v>4.1083422834734575</v>
      </c>
      <c r="R236" s="54">
        <v>34310.595537922658</v>
      </c>
      <c r="S236" s="54">
        <v>0.18986318070334907</v>
      </c>
      <c r="T236" s="54">
        <v>15576.51745561526</v>
      </c>
      <c r="V236" s="69">
        <f t="shared" si="20"/>
        <v>764961.74247171439</v>
      </c>
      <c r="W236" s="69">
        <f t="shared" si="21"/>
        <v>787357.86115676886</v>
      </c>
      <c r="X236" s="69">
        <f t="shared" si="18"/>
        <v>22396.118685054553</v>
      </c>
      <c r="Z236" s="68">
        <f t="shared" si="22"/>
        <v>0</v>
      </c>
      <c r="AA236" s="68">
        <f t="shared" si="23"/>
        <v>1</v>
      </c>
      <c r="AB236" s="68">
        <f t="shared" si="19"/>
        <v>1</v>
      </c>
    </row>
    <row r="237" spans="1:28" x14ac:dyDescent="0.25">
      <c r="A237">
        <v>232</v>
      </c>
      <c r="C237" s="24">
        <v>1.866595673702065E-3</v>
      </c>
      <c r="D237" s="24">
        <v>1.4552176660882488E-3</v>
      </c>
      <c r="E237" s="24">
        <v>1.1087005369769143E-2</v>
      </c>
      <c r="F237" s="24">
        <v>9.8837530971840337E-6</v>
      </c>
      <c r="G237" s="24">
        <v>0.60451835199254034</v>
      </c>
      <c r="H237" s="24">
        <v>0.19019235000780421</v>
      </c>
      <c r="I237" s="53">
        <v>1636.7349222196522</v>
      </c>
      <c r="J237" s="53">
        <v>5299.8310949535589</v>
      </c>
      <c r="K237" s="24">
        <v>0.68354225367067867</v>
      </c>
      <c r="L237" s="24">
        <v>0.88445229819056503</v>
      </c>
      <c r="M237" s="24">
        <v>0.6172185952110909</v>
      </c>
      <c r="O237" s="53">
        <v>4.046283260251446</v>
      </c>
      <c r="P237" s="54">
        <v>14979.318467236522</v>
      </c>
      <c r="Q237" s="54">
        <v>4.3727475043580011</v>
      </c>
      <c r="R237" s="54">
        <v>20665.983832398324</v>
      </c>
      <c r="S237" s="54">
        <v>0.32646424410655506</v>
      </c>
      <c r="T237" s="54">
        <v>5686.6653651618017</v>
      </c>
      <c r="V237" s="69">
        <f t="shared" si="20"/>
        <v>794277.33358305274</v>
      </c>
      <c r="W237" s="69">
        <f t="shared" si="21"/>
        <v>853883.51703920192</v>
      </c>
      <c r="X237" s="69">
        <f t="shared" si="18"/>
        <v>59606.183456149207</v>
      </c>
      <c r="Z237" s="68">
        <f t="shared" si="22"/>
        <v>0</v>
      </c>
      <c r="AA237" s="68">
        <f t="shared" si="23"/>
        <v>1</v>
      </c>
      <c r="AB237" s="68">
        <f t="shared" si="19"/>
        <v>1</v>
      </c>
    </row>
    <row r="238" spans="1:28" x14ac:dyDescent="0.25">
      <c r="A238">
        <v>233</v>
      </c>
      <c r="C238" s="24">
        <v>3.1789844790997002E-4</v>
      </c>
      <c r="D238" s="24">
        <v>5.8695656675409325E-3</v>
      </c>
      <c r="E238" s="24">
        <v>1.1067591287883261E-11</v>
      </c>
      <c r="F238" s="24">
        <v>6.3270123828621039E-20</v>
      </c>
      <c r="G238" s="24">
        <v>0.59110290942911636</v>
      </c>
      <c r="H238" s="24">
        <v>0.30887357333780951</v>
      </c>
      <c r="I238" s="53">
        <v>1740.3040601818641</v>
      </c>
      <c r="J238" s="53">
        <v>5974.4842521619103</v>
      </c>
      <c r="K238" s="24">
        <v>0.66230194983764912</v>
      </c>
      <c r="L238" s="24">
        <v>0.74793581556227129</v>
      </c>
      <c r="M238" s="24">
        <v>0.9067402099495101</v>
      </c>
      <c r="O238" s="53">
        <v>3.6252714733310638</v>
      </c>
      <c r="P238" s="54">
        <v>19366.461170295905</v>
      </c>
      <c r="Q238" s="54">
        <v>3.7076581374618773</v>
      </c>
      <c r="R238" s="54">
        <v>35426.781091241646</v>
      </c>
      <c r="S238" s="54">
        <v>8.2386664130813525E-2</v>
      </c>
      <c r="T238" s="54">
        <v>16060.319920945742</v>
      </c>
      <c r="V238" s="69">
        <f t="shared" si="20"/>
        <v>705687.8334959168</v>
      </c>
      <c r="W238" s="69">
        <f t="shared" si="21"/>
        <v>706104.84640113381</v>
      </c>
      <c r="X238" s="69">
        <f t="shared" si="18"/>
        <v>417.01290521696501</v>
      </c>
      <c r="Z238" s="68">
        <f t="shared" si="22"/>
        <v>0</v>
      </c>
      <c r="AA238" s="68">
        <f t="shared" si="23"/>
        <v>1</v>
      </c>
      <c r="AB238" s="68">
        <f t="shared" si="19"/>
        <v>1</v>
      </c>
    </row>
    <row r="239" spans="1:28" x14ac:dyDescent="0.25">
      <c r="A239">
        <v>234</v>
      </c>
      <c r="C239" s="24">
        <v>1.3717630274001635E-4</v>
      </c>
      <c r="D239" s="24">
        <v>6.4321186731065572E-3</v>
      </c>
      <c r="E239" s="24">
        <v>4.5100619241233986E-5</v>
      </c>
      <c r="F239" s="24">
        <v>1.1463753021774546E-53</v>
      </c>
      <c r="G239" s="24">
        <v>0.54776880600594158</v>
      </c>
      <c r="H239" s="24">
        <v>0.35982966150026707</v>
      </c>
      <c r="I239" s="53">
        <v>1605.5928014833298</v>
      </c>
      <c r="J239" s="53">
        <v>4251.201104972688</v>
      </c>
      <c r="K239" s="24">
        <v>0.78400350229001814</v>
      </c>
      <c r="L239" s="24">
        <v>0.87369534495761014</v>
      </c>
      <c r="M239" s="24">
        <v>0.77989075288195819</v>
      </c>
      <c r="O239" s="53">
        <v>4.264749572173467</v>
      </c>
      <c r="P239" s="54">
        <v>15715.598266486779</v>
      </c>
      <c r="Q239" s="54">
        <v>4.3141805257541748</v>
      </c>
      <c r="R239" s="54">
        <v>37387.850161886665</v>
      </c>
      <c r="S239" s="54">
        <v>4.9430953580707815E-2</v>
      </c>
      <c r="T239" s="54">
        <v>21672.251895399888</v>
      </c>
      <c r="V239" s="69">
        <f t="shared" si="20"/>
        <v>837234.31616820663</v>
      </c>
      <c r="W239" s="69">
        <f t="shared" si="21"/>
        <v>825448.25498894835</v>
      </c>
      <c r="X239" s="69">
        <f t="shared" si="18"/>
        <v>-11786.061179258324</v>
      </c>
      <c r="Z239" s="68">
        <f t="shared" si="22"/>
        <v>1</v>
      </c>
      <c r="AA239" s="68">
        <f t="shared" si="23"/>
        <v>0</v>
      </c>
      <c r="AB239" s="68">
        <f t="shared" si="19"/>
        <v>0</v>
      </c>
    </row>
    <row r="240" spans="1:28" x14ac:dyDescent="0.25">
      <c r="A240">
        <v>235</v>
      </c>
      <c r="C240" s="24">
        <v>7.6234404536918151E-9</v>
      </c>
      <c r="D240" s="24">
        <v>2.6219155113451631E-3</v>
      </c>
      <c r="E240" s="24">
        <v>1.1101680128366986E-4</v>
      </c>
      <c r="F240" s="24">
        <v>2.4821118098319218E-15</v>
      </c>
      <c r="G240" s="24">
        <v>0.59488744549903849</v>
      </c>
      <c r="H240" s="24">
        <v>0.24984158707051363</v>
      </c>
      <c r="I240" s="53">
        <v>2321.0981388619184</v>
      </c>
      <c r="J240" s="53">
        <v>4692.7033282432594</v>
      </c>
      <c r="K240" s="24">
        <v>0.75487875995931319</v>
      </c>
      <c r="L240" s="24">
        <v>0.94527682424573944</v>
      </c>
      <c r="M240" s="24">
        <v>0.78572670057784999</v>
      </c>
      <c r="O240" s="53">
        <v>4.466681254719675</v>
      </c>
      <c r="P240" s="54">
        <v>16030.351907296092</v>
      </c>
      <c r="Q240" s="54">
        <v>4.6604307278265322</v>
      </c>
      <c r="R240" s="54">
        <v>35834.542452530732</v>
      </c>
      <c r="S240" s="54">
        <v>0.1937494731068572</v>
      </c>
      <c r="T240" s="54">
        <v>19804.19054523464</v>
      </c>
      <c r="V240" s="69">
        <f t="shared" si="20"/>
        <v>877305.8990366389</v>
      </c>
      <c r="W240" s="69">
        <f t="shared" si="21"/>
        <v>896251.60311277572</v>
      </c>
      <c r="X240" s="69">
        <f t="shared" si="18"/>
        <v>18945.704076136797</v>
      </c>
      <c r="Z240" s="68">
        <f t="shared" si="22"/>
        <v>0</v>
      </c>
      <c r="AA240" s="68">
        <f t="shared" si="23"/>
        <v>1</v>
      </c>
      <c r="AB240" s="68">
        <f t="shared" si="19"/>
        <v>1</v>
      </c>
    </row>
    <row r="241" spans="1:28" x14ac:dyDescent="0.25">
      <c r="A241">
        <v>236</v>
      </c>
      <c r="C241" s="24">
        <v>3.7786682157286081E-7</v>
      </c>
      <c r="D241" s="24">
        <v>3.3990903596314848E-3</v>
      </c>
      <c r="E241" s="24">
        <v>3.9356851111449487E-11</v>
      </c>
      <c r="F241" s="24">
        <v>9.8520080982211766E-12</v>
      </c>
      <c r="G241" s="24">
        <v>0.5403603332296123</v>
      </c>
      <c r="H241" s="24">
        <v>0.23052930983299647</v>
      </c>
      <c r="I241" s="53">
        <v>2225.3229970810935</v>
      </c>
      <c r="J241" s="53">
        <v>5711.8679092818302</v>
      </c>
      <c r="K241" s="24">
        <v>0.63081858166425231</v>
      </c>
      <c r="L241" s="24">
        <v>0.9717674772619509</v>
      </c>
      <c r="M241" s="24">
        <v>0.87900173095689782</v>
      </c>
      <c r="O241" s="53">
        <v>4.4764776662481909</v>
      </c>
      <c r="P241" s="54">
        <v>19509.080589925343</v>
      </c>
      <c r="Q241" s="54">
        <v>4.7548311774011971</v>
      </c>
      <c r="R241" s="54">
        <v>34157.597710654649</v>
      </c>
      <c r="S241" s="54">
        <v>0.27835351115300622</v>
      </c>
      <c r="T241" s="54">
        <v>14648.517120729306</v>
      </c>
      <c r="V241" s="69">
        <f t="shared" si="20"/>
        <v>875786.45265971287</v>
      </c>
      <c r="W241" s="69">
        <f t="shared" si="21"/>
        <v>916808.63776958478</v>
      </c>
      <c r="X241" s="69">
        <f t="shared" si="18"/>
        <v>41022.185109871934</v>
      </c>
      <c r="Z241" s="68">
        <f t="shared" si="22"/>
        <v>0</v>
      </c>
      <c r="AA241" s="68">
        <f t="shared" si="23"/>
        <v>1</v>
      </c>
      <c r="AB241" s="68">
        <f t="shared" si="19"/>
        <v>1</v>
      </c>
    </row>
    <row r="242" spans="1:28" x14ac:dyDescent="0.25">
      <c r="A242">
        <v>237</v>
      </c>
      <c r="C242" s="24">
        <v>3.9421766264036763E-6</v>
      </c>
      <c r="D242" s="24">
        <v>1.1452351678300132E-3</v>
      </c>
      <c r="E242" s="24">
        <v>1.2583046785546859E-14</v>
      </c>
      <c r="F242" s="24">
        <v>4.8926018791917159E-10</v>
      </c>
      <c r="G242" s="24">
        <v>0.59864956533964986</v>
      </c>
      <c r="H242" s="24">
        <v>0.28249092079212479</v>
      </c>
      <c r="I242" s="53">
        <v>2064.3445149827958</v>
      </c>
      <c r="J242" s="53">
        <v>4813.2990678026481</v>
      </c>
      <c r="K242" s="24">
        <v>0.72597822193922767</v>
      </c>
      <c r="L242" s="24">
        <v>0.69520261538066297</v>
      </c>
      <c r="M242" s="24">
        <v>0.57123714362187372</v>
      </c>
      <c r="O242" s="53">
        <v>3.5183836498431202</v>
      </c>
      <c r="P242" s="54">
        <v>20852.495037375349</v>
      </c>
      <c r="Q242" s="54">
        <v>3.4871963978025078</v>
      </c>
      <c r="R242" s="54">
        <v>45291.124001769516</v>
      </c>
      <c r="S242" s="54">
        <v>-3.1187252040612456E-2</v>
      </c>
      <c r="T242" s="54">
        <v>24438.628964394167</v>
      </c>
      <c r="V242" s="69">
        <f t="shared" si="20"/>
        <v>682824.23493124871</v>
      </c>
      <c r="W242" s="69">
        <f t="shared" si="21"/>
        <v>652148.15555873211</v>
      </c>
      <c r="X242" s="69">
        <f t="shared" si="18"/>
        <v>-30676.079372516659</v>
      </c>
      <c r="Z242" s="68">
        <f t="shared" si="22"/>
        <v>1</v>
      </c>
      <c r="AA242" s="68">
        <f t="shared" si="23"/>
        <v>0</v>
      </c>
      <c r="AB242" s="68">
        <f t="shared" si="19"/>
        <v>0</v>
      </c>
    </row>
    <row r="243" spans="1:28" x14ac:dyDescent="0.25">
      <c r="A243">
        <v>238</v>
      </c>
      <c r="C243" s="24">
        <v>2.4262240519856704E-4</v>
      </c>
      <c r="D243" s="24">
        <v>4.2377121624735084E-4</v>
      </c>
      <c r="E243" s="24">
        <v>1.0673884267643709E-57</v>
      </c>
      <c r="F243" s="24">
        <v>4.6751208544327601E-27</v>
      </c>
      <c r="G243" s="24">
        <v>0.71315880082271743</v>
      </c>
      <c r="H243" s="24">
        <v>0.28262700230127424</v>
      </c>
      <c r="I243" s="53">
        <v>1553.5027484293389</v>
      </c>
      <c r="J243" s="53">
        <v>4651.4186478239753</v>
      </c>
      <c r="K243" s="24">
        <v>0.61507858331253007</v>
      </c>
      <c r="L243" s="24">
        <v>0.79340674513477327</v>
      </c>
      <c r="M243" s="24">
        <v>0.83450133314749064</v>
      </c>
      <c r="O243" s="53">
        <v>3.6055579184587647</v>
      </c>
      <c r="P243" s="54">
        <v>20076.8229555076</v>
      </c>
      <c r="Q243" s="54">
        <v>3.8970154199754763</v>
      </c>
      <c r="R243" s="54">
        <v>36941.042953719625</v>
      </c>
      <c r="S243" s="54">
        <v>0.29145750151671157</v>
      </c>
      <c r="T243" s="54">
        <v>16864.219998212026</v>
      </c>
      <c r="V243" s="69">
        <f t="shared" si="20"/>
        <v>701034.76073624543</v>
      </c>
      <c r="W243" s="69">
        <f t="shared" si="21"/>
        <v>742462.0410413756</v>
      </c>
      <c r="X243" s="69">
        <f t="shared" si="18"/>
        <v>41427.280305130291</v>
      </c>
      <c r="Z243" s="68">
        <f t="shared" si="22"/>
        <v>0</v>
      </c>
      <c r="AA243" s="68">
        <f t="shared" si="23"/>
        <v>1</v>
      </c>
      <c r="AB243" s="68">
        <f t="shared" si="19"/>
        <v>1</v>
      </c>
    </row>
    <row r="244" spans="1:28" x14ac:dyDescent="0.25">
      <c r="A244">
        <v>239</v>
      </c>
      <c r="C244" s="24">
        <v>1.9043201279744792E-4</v>
      </c>
      <c r="D244" s="24">
        <v>3.5570398298716555E-3</v>
      </c>
      <c r="E244" s="24">
        <v>2.5186426405809925E-3</v>
      </c>
      <c r="F244" s="24">
        <v>2.1025531514787417E-20</v>
      </c>
      <c r="G244" s="24">
        <v>0.60210809843468915</v>
      </c>
      <c r="H244" s="24">
        <v>0.2674051824449728</v>
      </c>
      <c r="I244" s="53">
        <v>2267.0662056305459</v>
      </c>
      <c r="J244" s="53">
        <v>6051.9047260265106</v>
      </c>
      <c r="K244" s="24">
        <v>0.54941999542296316</v>
      </c>
      <c r="L244" s="24">
        <v>0.98900385783968303</v>
      </c>
      <c r="M244" s="24">
        <v>0.86305168597225701</v>
      </c>
      <c r="O244" s="53">
        <v>4.3096665013553324</v>
      </c>
      <c r="P244" s="54">
        <v>20890.115061043238</v>
      </c>
      <c r="Q244" s="54">
        <v>4.7819508911695667</v>
      </c>
      <c r="R244" s="54">
        <v>41893.512598221976</v>
      </c>
      <c r="S244" s="54">
        <v>0.47228438981423437</v>
      </c>
      <c r="T244" s="54">
        <v>21003.397537178738</v>
      </c>
      <c r="V244" s="69">
        <f t="shared" si="20"/>
        <v>841043.18521002331</v>
      </c>
      <c r="W244" s="69">
        <f t="shared" si="21"/>
        <v>914496.66563569137</v>
      </c>
      <c r="X244" s="69">
        <f t="shared" si="18"/>
        <v>73453.480425668138</v>
      </c>
      <c r="Z244" s="68">
        <f t="shared" si="22"/>
        <v>0</v>
      </c>
      <c r="AA244" s="68">
        <f t="shared" si="23"/>
        <v>1</v>
      </c>
      <c r="AB244" s="68">
        <f t="shared" si="19"/>
        <v>1</v>
      </c>
    </row>
    <row r="245" spans="1:28" x14ac:dyDescent="0.25">
      <c r="A245">
        <v>240</v>
      </c>
      <c r="C245" s="24">
        <v>2.7864142879548193E-2</v>
      </c>
      <c r="D245" s="24">
        <v>3.2232053400415017E-3</v>
      </c>
      <c r="E245" s="24">
        <v>4.3576009091295109E-4</v>
      </c>
      <c r="F245" s="24">
        <v>5.7007144592331469E-20</v>
      </c>
      <c r="G245" s="24">
        <v>0.43799717138886973</v>
      </c>
      <c r="H245" s="24">
        <v>0.33110467378253217</v>
      </c>
      <c r="I245" s="53">
        <v>1529.1185297830423</v>
      </c>
      <c r="J245" s="53">
        <v>3767.5151572226596</v>
      </c>
      <c r="K245" s="24">
        <v>0.70997191127257286</v>
      </c>
      <c r="L245" s="24">
        <v>0.87468150300787073</v>
      </c>
      <c r="M245" s="24">
        <v>0.60426700960021129</v>
      </c>
      <c r="O245" s="53">
        <v>4.1874838688704497</v>
      </c>
      <c r="P245" s="54">
        <v>13435.236595861643</v>
      </c>
      <c r="Q245" s="54">
        <v>4.2863275679490975</v>
      </c>
      <c r="R245" s="54">
        <v>41410.069756503166</v>
      </c>
      <c r="S245" s="54">
        <v>9.8843699078647873E-2</v>
      </c>
      <c r="T245" s="54">
        <v>27974.833160641523</v>
      </c>
      <c r="V245" s="69">
        <f t="shared" si="20"/>
        <v>824061.53717822826</v>
      </c>
      <c r="W245" s="69">
        <f t="shared" si="21"/>
        <v>815855.44383331633</v>
      </c>
      <c r="X245" s="69">
        <f t="shared" si="18"/>
        <v>-8206.0933449119475</v>
      </c>
      <c r="Z245" s="68">
        <f t="shared" si="22"/>
        <v>1</v>
      </c>
      <c r="AA245" s="68">
        <f t="shared" si="23"/>
        <v>0</v>
      </c>
      <c r="AB245" s="68">
        <f t="shared" si="19"/>
        <v>0</v>
      </c>
    </row>
    <row r="246" spans="1:28" x14ac:dyDescent="0.25">
      <c r="A246">
        <v>241</v>
      </c>
      <c r="C246" s="24">
        <v>1.6207835677639615E-4</v>
      </c>
      <c r="D246" s="24">
        <v>6.6552478424273254E-3</v>
      </c>
      <c r="E246" s="24">
        <v>6.2604721068012469E-47</v>
      </c>
      <c r="F246" s="24">
        <v>1.14265864345949E-60</v>
      </c>
      <c r="G246" s="24">
        <v>0.57567718508773835</v>
      </c>
      <c r="H246" s="24">
        <v>0.23398244554860503</v>
      </c>
      <c r="I246" s="53">
        <v>2280.3273670646131</v>
      </c>
      <c r="J246" s="53">
        <v>5460.3696367405691</v>
      </c>
      <c r="K246" s="24">
        <v>0.71784503688287638</v>
      </c>
      <c r="L246" s="24">
        <v>0.87987037745477104</v>
      </c>
      <c r="M246" s="24">
        <v>0.87933680207455556</v>
      </c>
      <c r="O246" s="53">
        <v>4.1934302177673475</v>
      </c>
      <c r="P246" s="54">
        <v>14048.777870188002</v>
      </c>
      <c r="Q246" s="54">
        <v>4.3498736881763902</v>
      </c>
      <c r="R246" s="54">
        <v>29492.7003674673</v>
      </c>
      <c r="S246" s="54">
        <v>0.15644347040904272</v>
      </c>
      <c r="T246" s="54">
        <v>15443.922497279298</v>
      </c>
      <c r="V246" s="69">
        <f t="shared" si="20"/>
        <v>824637.26568328147</v>
      </c>
      <c r="W246" s="69">
        <f t="shared" si="21"/>
        <v>840482.03726781078</v>
      </c>
      <c r="X246" s="69">
        <f t="shared" si="18"/>
        <v>15844.771584529244</v>
      </c>
      <c r="Z246" s="68">
        <f t="shared" si="22"/>
        <v>0</v>
      </c>
      <c r="AA246" s="68">
        <f t="shared" si="23"/>
        <v>1</v>
      </c>
      <c r="AB246" s="68">
        <f t="shared" si="19"/>
        <v>1</v>
      </c>
    </row>
    <row r="247" spans="1:28" x14ac:dyDescent="0.25">
      <c r="A247">
        <v>242</v>
      </c>
      <c r="C247" s="24">
        <v>1.5812104886811898E-16</v>
      </c>
      <c r="D247" s="24">
        <v>2.9937690688930412E-4</v>
      </c>
      <c r="E247" s="24">
        <v>4.0232532800330843E-17</v>
      </c>
      <c r="F247" s="24">
        <v>6.1716797594619287E-24</v>
      </c>
      <c r="G247" s="24">
        <v>0.59234424115431883</v>
      </c>
      <c r="H247" s="24">
        <v>0.28338243651990325</v>
      </c>
      <c r="I247" s="53">
        <v>1659.4443727828088</v>
      </c>
      <c r="J247" s="53">
        <v>4406.8452414678004</v>
      </c>
      <c r="K247" s="24">
        <v>0.7320990315871021</v>
      </c>
      <c r="L247" s="24">
        <v>0.94467066488831319</v>
      </c>
      <c r="M247" s="24">
        <v>0.84153248019192373</v>
      </c>
      <c r="O247" s="53">
        <v>4.4370006739657324</v>
      </c>
      <c r="P247" s="54">
        <v>16585.303320900741</v>
      </c>
      <c r="Q247" s="54">
        <v>4.639248245569914</v>
      </c>
      <c r="R247" s="54">
        <v>48415.505448183132</v>
      </c>
      <c r="S247" s="54">
        <v>0.20224757160418161</v>
      </c>
      <c r="T247" s="54">
        <v>31830.202127282391</v>
      </c>
      <c r="V247" s="69">
        <f t="shared" si="20"/>
        <v>870814.83147224574</v>
      </c>
      <c r="W247" s="69">
        <f t="shared" si="21"/>
        <v>879434.14366579964</v>
      </c>
      <c r="X247" s="69">
        <f t="shared" si="18"/>
        <v>8619.3121935539311</v>
      </c>
      <c r="Z247" s="68">
        <f t="shared" si="22"/>
        <v>0</v>
      </c>
      <c r="AA247" s="68">
        <f t="shared" si="23"/>
        <v>1</v>
      </c>
      <c r="AB247" s="68">
        <f t="shared" si="19"/>
        <v>1</v>
      </c>
    </row>
    <row r="248" spans="1:28" x14ac:dyDescent="0.25">
      <c r="A248">
        <v>243</v>
      </c>
      <c r="C248" s="24">
        <v>6.9958719847017288E-10</v>
      </c>
      <c r="D248" s="24">
        <v>1.4421959910848603E-3</v>
      </c>
      <c r="E248" s="24">
        <v>4.0374886797590935E-28</v>
      </c>
      <c r="F248" s="24">
        <v>3.2251575936766164E-42</v>
      </c>
      <c r="G248" s="24">
        <v>0.45969252518294168</v>
      </c>
      <c r="H248" s="24">
        <v>0.33646050960965745</v>
      </c>
      <c r="I248" s="53">
        <v>1904.9827892492519</v>
      </c>
      <c r="J248" s="53">
        <v>4644.1404101718235</v>
      </c>
      <c r="K248" s="24">
        <v>0.61901251513169608</v>
      </c>
      <c r="L248" s="24">
        <v>0.62801879774602698</v>
      </c>
      <c r="M248" s="24">
        <v>0.89682619578045064</v>
      </c>
      <c r="O248" s="53">
        <v>3.13258875578703</v>
      </c>
      <c r="P248" s="54">
        <v>13451.652915953669</v>
      </c>
      <c r="Q248" s="54">
        <v>3.1381731431700484</v>
      </c>
      <c r="R248" s="54">
        <v>47622.151761847992</v>
      </c>
      <c r="S248" s="54">
        <v>5.5843873830183632E-3</v>
      </c>
      <c r="T248" s="54">
        <v>34170.498845894326</v>
      </c>
      <c r="V248" s="69">
        <f t="shared" si="20"/>
        <v>613066.09824145236</v>
      </c>
      <c r="W248" s="69">
        <f t="shared" si="21"/>
        <v>580012.47687216161</v>
      </c>
      <c r="X248" s="69">
        <f t="shared" si="18"/>
        <v>-33053.621369290653</v>
      </c>
      <c r="Z248" s="68">
        <f t="shared" si="22"/>
        <v>1</v>
      </c>
      <c r="AA248" s="68">
        <f t="shared" si="23"/>
        <v>0</v>
      </c>
      <c r="AB248" s="68">
        <f t="shared" si="19"/>
        <v>0</v>
      </c>
    </row>
    <row r="249" spans="1:28" x14ac:dyDescent="0.25">
      <c r="A249">
        <v>244</v>
      </c>
      <c r="C249" s="24">
        <v>4.4511234224173579E-2</v>
      </c>
      <c r="D249" s="24">
        <v>3.5944381359099831E-3</v>
      </c>
      <c r="E249" s="24">
        <v>3.920253849473533E-15</v>
      </c>
      <c r="F249" s="24">
        <v>8.1741102775367835E-10</v>
      </c>
      <c r="G249" s="24">
        <v>0.53051181980836737</v>
      </c>
      <c r="H249" s="24">
        <v>0.23331513576675011</v>
      </c>
      <c r="I249" s="53">
        <v>1910.1058235153978</v>
      </c>
      <c r="J249" s="53">
        <v>5003.0146028297531</v>
      </c>
      <c r="K249" s="24">
        <v>0.57388356873848623</v>
      </c>
      <c r="L249" s="24">
        <v>0.97408514143682723</v>
      </c>
      <c r="M249" s="24">
        <v>0.94707682321524611</v>
      </c>
      <c r="O249" s="53">
        <v>4.4271782261569221</v>
      </c>
      <c r="P249" s="54">
        <v>16790.175802051992</v>
      </c>
      <c r="Q249" s="54">
        <v>4.7481272081483148</v>
      </c>
      <c r="R249" s="54">
        <v>32591.122183121028</v>
      </c>
      <c r="S249" s="54">
        <v>0.32094898199139266</v>
      </c>
      <c r="T249" s="54">
        <v>15800.946381069036</v>
      </c>
      <c r="V249" s="69">
        <f t="shared" si="20"/>
        <v>868645.46942933241</v>
      </c>
      <c r="W249" s="69">
        <f t="shared" si="21"/>
        <v>917034.31944654195</v>
      </c>
      <c r="X249" s="69">
        <f t="shared" si="18"/>
        <v>48388.850017209494</v>
      </c>
      <c r="Z249" s="68">
        <f t="shared" si="22"/>
        <v>0</v>
      </c>
      <c r="AA249" s="68">
        <f t="shared" si="23"/>
        <v>1</v>
      </c>
      <c r="AB249" s="68">
        <f t="shared" si="19"/>
        <v>1</v>
      </c>
    </row>
    <row r="250" spans="1:28" x14ac:dyDescent="0.25">
      <c r="A250">
        <v>245</v>
      </c>
      <c r="C250" s="24">
        <v>2.3450774539972261E-8</v>
      </c>
      <c r="D250" s="24">
        <v>2.7237077854201761E-4</v>
      </c>
      <c r="E250" s="24">
        <v>1.5804605237428179E-24</v>
      </c>
      <c r="F250" s="24">
        <v>1.5074355102276262E-33</v>
      </c>
      <c r="G250" s="24">
        <v>0.5685157921102646</v>
      </c>
      <c r="H250" s="24">
        <v>0.3053732727186228</v>
      </c>
      <c r="I250" s="53">
        <v>1636.47729737035</v>
      </c>
      <c r="J250" s="53">
        <v>4908.9623788138751</v>
      </c>
      <c r="K250" s="24">
        <v>0.5145229677210269</v>
      </c>
      <c r="L250" s="24">
        <v>0.89980361738451986</v>
      </c>
      <c r="M250" s="24">
        <v>0.89786004865817226</v>
      </c>
      <c r="O250" s="53">
        <v>4.0215278910863637</v>
      </c>
      <c r="P250" s="54">
        <v>19113.979912726474</v>
      </c>
      <c r="Q250" s="54">
        <v>4.3300865076831991</v>
      </c>
      <c r="R250" s="54">
        <v>48917.31775518872</v>
      </c>
      <c r="S250" s="54">
        <v>0.30855861659683548</v>
      </c>
      <c r="T250" s="54">
        <v>29803.337842462246</v>
      </c>
      <c r="V250" s="69">
        <f t="shared" si="20"/>
        <v>785191.59830454632</v>
      </c>
      <c r="W250" s="69">
        <f t="shared" si="21"/>
        <v>817099.98378145113</v>
      </c>
      <c r="X250" s="69">
        <f t="shared" si="18"/>
        <v>31908.385476904852</v>
      </c>
      <c r="Z250" s="68">
        <f t="shared" si="22"/>
        <v>0</v>
      </c>
      <c r="AA250" s="68">
        <f t="shared" si="23"/>
        <v>1</v>
      </c>
      <c r="AB250" s="68">
        <f t="shared" si="19"/>
        <v>1</v>
      </c>
    </row>
    <row r="251" spans="1:28" x14ac:dyDescent="0.25">
      <c r="A251">
        <v>246</v>
      </c>
      <c r="C251" s="24">
        <v>3.5532031777385509E-4</v>
      </c>
      <c r="D251" s="24">
        <v>1.9352527403323071E-4</v>
      </c>
      <c r="E251" s="24">
        <v>7.9557030553898386E-17</v>
      </c>
      <c r="F251" s="24">
        <v>5.1180404349059149E-24</v>
      </c>
      <c r="G251" s="24">
        <v>0.59114312451266593</v>
      </c>
      <c r="H251" s="24">
        <v>0.26911573546919731</v>
      </c>
      <c r="I251" s="53">
        <v>1574.469997188849</v>
      </c>
      <c r="J251" s="53">
        <v>5966.715898844277</v>
      </c>
      <c r="K251" s="24">
        <v>0.45111348301045601</v>
      </c>
      <c r="L251" s="24">
        <v>0.81129161030122232</v>
      </c>
      <c r="M251" s="24">
        <v>0.87727781060605403</v>
      </c>
      <c r="O251" s="53">
        <v>3.5734991469112076</v>
      </c>
      <c r="P251" s="54">
        <v>20004.232380163841</v>
      </c>
      <c r="Q251" s="54">
        <v>3.9241065548932736</v>
      </c>
      <c r="R251" s="54">
        <v>26146.419750712565</v>
      </c>
      <c r="S251" s="54">
        <v>0.35060740798206602</v>
      </c>
      <c r="T251" s="54">
        <v>6142.1873705487233</v>
      </c>
      <c r="V251" s="69">
        <f t="shared" si="20"/>
        <v>694695.59700207761</v>
      </c>
      <c r="W251" s="69">
        <f t="shared" si="21"/>
        <v>758674.89122794219</v>
      </c>
      <c r="X251" s="69">
        <f t="shared" si="18"/>
        <v>63979.294225864476</v>
      </c>
      <c r="Z251" s="68">
        <f t="shared" si="22"/>
        <v>0</v>
      </c>
      <c r="AA251" s="68">
        <f t="shared" si="23"/>
        <v>1</v>
      </c>
      <c r="AB251" s="68">
        <f t="shared" si="19"/>
        <v>1</v>
      </c>
    </row>
    <row r="252" spans="1:28" x14ac:dyDescent="0.25">
      <c r="A252">
        <v>247</v>
      </c>
      <c r="C252" s="24">
        <v>1.7361962730127857E-7</v>
      </c>
      <c r="D252" s="24">
        <v>7.1553052914438142E-3</v>
      </c>
      <c r="E252" s="24">
        <v>8.9197768374493482E-22</v>
      </c>
      <c r="F252" s="24">
        <v>1.7753769043036496E-21</v>
      </c>
      <c r="G252" s="24">
        <v>0.63684123247589819</v>
      </c>
      <c r="H252" s="24">
        <v>0.25736015741813434</v>
      </c>
      <c r="I252" s="53">
        <v>1668.9197087441748</v>
      </c>
      <c r="J252" s="53">
        <v>6032.6727138729811</v>
      </c>
      <c r="K252" s="24">
        <v>0.55594565319168077</v>
      </c>
      <c r="L252" s="24">
        <v>0.81286390605397119</v>
      </c>
      <c r="M252" s="24">
        <v>0.96370203279627165</v>
      </c>
      <c r="O252" s="53">
        <v>3.6609775290347972</v>
      </c>
      <c r="P252" s="54">
        <v>18370.226583989868</v>
      </c>
      <c r="Q252" s="54">
        <v>3.9821491345603275</v>
      </c>
      <c r="R252" s="54">
        <v>42665.224269993545</v>
      </c>
      <c r="S252" s="54">
        <v>0.32117160552553026</v>
      </c>
      <c r="T252" s="54">
        <v>24294.997686003677</v>
      </c>
      <c r="V252" s="69">
        <f t="shared" si="20"/>
        <v>713825.27922296955</v>
      </c>
      <c r="W252" s="69">
        <f t="shared" si="21"/>
        <v>753764.6026420719</v>
      </c>
      <c r="X252" s="69">
        <f t="shared" si="18"/>
        <v>39939.323419102373</v>
      </c>
      <c r="Z252" s="68">
        <f t="shared" si="22"/>
        <v>0</v>
      </c>
      <c r="AA252" s="68">
        <f t="shared" si="23"/>
        <v>1</v>
      </c>
      <c r="AB252" s="68">
        <f t="shared" si="19"/>
        <v>1</v>
      </c>
    </row>
    <row r="253" spans="1:28" x14ac:dyDescent="0.25">
      <c r="A253">
        <v>248</v>
      </c>
      <c r="C253" s="24">
        <v>2.4786885206107279E-4</v>
      </c>
      <c r="D253" s="24">
        <v>1.9076645510972106E-5</v>
      </c>
      <c r="E253" s="24">
        <v>2.6777608820227055E-31</v>
      </c>
      <c r="F253" s="24">
        <v>3.7069014524604427E-11</v>
      </c>
      <c r="G253" s="24">
        <v>0.64977521031236973</v>
      </c>
      <c r="H253" s="24">
        <v>0.19301505446249956</v>
      </c>
      <c r="I253" s="53">
        <v>3111.8817857525919</v>
      </c>
      <c r="J253" s="53">
        <v>4698.2031480339265</v>
      </c>
      <c r="K253" s="24">
        <v>0.82790496913939182</v>
      </c>
      <c r="L253" s="24">
        <v>0.93314042104610806</v>
      </c>
      <c r="M253" s="24">
        <v>0.90427360137886303</v>
      </c>
      <c r="O253" s="53">
        <v>4.4930040510656184</v>
      </c>
      <c r="P253" s="54">
        <v>20673.598086161517</v>
      </c>
      <c r="Q253" s="54">
        <v>4.6405353321575209</v>
      </c>
      <c r="R253" s="54">
        <v>19074.908018951275</v>
      </c>
      <c r="S253" s="54">
        <v>0.1475312810919025</v>
      </c>
      <c r="T253" s="54">
        <v>-1598.690067210242</v>
      </c>
      <c r="V253" s="69">
        <f t="shared" si="20"/>
        <v>877927.21212696214</v>
      </c>
      <c r="W253" s="69">
        <f t="shared" si="21"/>
        <v>909032.1584125529</v>
      </c>
      <c r="X253" s="69">
        <f t="shared" si="18"/>
        <v>31104.94628559074</v>
      </c>
      <c r="Z253" s="68">
        <f t="shared" si="22"/>
        <v>0</v>
      </c>
      <c r="AA253" s="68">
        <f t="shared" si="23"/>
        <v>1</v>
      </c>
      <c r="AB253" s="68">
        <f t="shared" si="19"/>
        <v>1</v>
      </c>
    </row>
    <row r="254" spans="1:28" x14ac:dyDescent="0.25">
      <c r="A254">
        <v>249</v>
      </c>
      <c r="C254" s="24">
        <v>1.5674021902248671E-8</v>
      </c>
      <c r="D254" s="24">
        <v>1.4428757750325046E-5</v>
      </c>
      <c r="E254" s="24">
        <v>9.2647191883032942E-4</v>
      </c>
      <c r="F254" s="24">
        <v>3.8771981933446686E-29</v>
      </c>
      <c r="G254" s="24">
        <v>0.64718940611135145</v>
      </c>
      <c r="H254" s="24">
        <v>0.34493640871414499</v>
      </c>
      <c r="I254" s="53">
        <v>2445.1812257956935</v>
      </c>
      <c r="J254" s="53">
        <v>5354.779545309254</v>
      </c>
      <c r="K254" s="24">
        <v>0.78380323788687978</v>
      </c>
      <c r="L254" s="24">
        <v>0.94525797763147357</v>
      </c>
      <c r="M254" s="24">
        <v>0.91835072789268568</v>
      </c>
      <c r="O254" s="53">
        <v>4.4553731762875541</v>
      </c>
      <c r="P254" s="54">
        <v>21491.447401458499</v>
      </c>
      <c r="Q254" s="54">
        <v>4.641685264851886</v>
      </c>
      <c r="R254" s="54">
        <v>53736.629206019126</v>
      </c>
      <c r="S254" s="54">
        <v>0.1863120885643319</v>
      </c>
      <c r="T254" s="54">
        <v>32245.181804560627</v>
      </c>
      <c r="V254" s="69">
        <f t="shared" si="20"/>
        <v>869583.1878560523</v>
      </c>
      <c r="W254" s="69">
        <f t="shared" si="21"/>
        <v>874600.42376435816</v>
      </c>
      <c r="X254" s="69">
        <f t="shared" si="18"/>
        <v>5017.2359083057527</v>
      </c>
      <c r="Z254" s="68">
        <f t="shared" si="22"/>
        <v>0</v>
      </c>
      <c r="AA254" s="68">
        <f t="shared" si="23"/>
        <v>1</v>
      </c>
      <c r="AB254" s="68">
        <f t="shared" si="19"/>
        <v>1</v>
      </c>
    </row>
    <row r="255" spans="1:28" x14ac:dyDescent="0.25">
      <c r="A255">
        <v>250</v>
      </c>
      <c r="C255" s="24">
        <v>6.6780718550407681E-4</v>
      </c>
      <c r="D255" s="24">
        <v>1.0796871797284946E-2</v>
      </c>
      <c r="E255" s="24">
        <v>5.6071450571515413E-7</v>
      </c>
      <c r="F255" s="24">
        <v>4.3890075179930487E-47</v>
      </c>
      <c r="G255" s="24">
        <v>0.54673470800846768</v>
      </c>
      <c r="H255" s="24">
        <v>0.26247798658748211</v>
      </c>
      <c r="I255" s="53">
        <v>1614.1592495078444</v>
      </c>
      <c r="J255" s="53">
        <v>5156.8592195713127</v>
      </c>
      <c r="K255" s="24">
        <v>0.57700931488857887</v>
      </c>
      <c r="L255" s="24">
        <v>0.89058682278345369</v>
      </c>
      <c r="M255" s="24">
        <v>0.84043487643421788</v>
      </c>
      <c r="O255" s="53">
        <v>4.0928816600138171</v>
      </c>
      <c r="P255" s="54">
        <v>16576.587925234391</v>
      </c>
      <c r="Q255" s="54">
        <v>4.3380635062564075</v>
      </c>
      <c r="R255" s="54">
        <v>42528.380159513705</v>
      </c>
      <c r="S255" s="54">
        <v>0.24518184624259032</v>
      </c>
      <c r="T255" s="54">
        <v>25951.792234279314</v>
      </c>
      <c r="V255" s="69">
        <f t="shared" si="20"/>
        <v>801999.74407752906</v>
      </c>
      <c r="W255" s="69">
        <f t="shared" si="21"/>
        <v>825084.32109176787</v>
      </c>
      <c r="X255" s="69">
        <f t="shared" si="18"/>
        <v>23084.577014238752</v>
      </c>
      <c r="Z255" s="68">
        <f t="shared" si="22"/>
        <v>0</v>
      </c>
      <c r="AA255" s="68">
        <f t="shared" si="23"/>
        <v>1</v>
      </c>
      <c r="AB255" s="68">
        <f t="shared" si="19"/>
        <v>1</v>
      </c>
    </row>
    <row r="256" spans="1:28" x14ac:dyDescent="0.25">
      <c r="A256">
        <v>251</v>
      </c>
      <c r="C256" s="24">
        <v>2.5783522663502811E-4</v>
      </c>
      <c r="D256" s="24">
        <v>3.6928716231918629E-4</v>
      </c>
      <c r="E256" s="24">
        <v>6.8139862641203308E-9</v>
      </c>
      <c r="F256" s="24">
        <v>4.1078251911130792E-15</v>
      </c>
      <c r="G256" s="24">
        <v>0.45745998703499591</v>
      </c>
      <c r="H256" s="24">
        <v>0.25837349536216214</v>
      </c>
      <c r="I256" s="53">
        <v>1873.3992261070484</v>
      </c>
      <c r="J256" s="53">
        <v>4825.3066500301211</v>
      </c>
      <c r="K256" s="24">
        <v>0.56300419982561201</v>
      </c>
      <c r="L256" s="24">
        <v>0.78178687185853302</v>
      </c>
      <c r="M256" s="24">
        <v>0.91047642458871159</v>
      </c>
      <c r="O256" s="53">
        <v>3.7284116843672077</v>
      </c>
      <c r="P256" s="54">
        <v>11796.761383343168</v>
      </c>
      <c r="Q256" s="54">
        <v>3.8330990488175711</v>
      </c>
      <c r="R256" s="54">
        <v>44138.30016305473</v>
      </c>
      <c r="S256" s="54">
        <v>0.10468736445036342</v>
      </c>
      <c r="T256" s="54">
        <v>32341.538779711562</v>
      </c>
      <c r="V256" s="69">
        <f t="shared" si="20"/>
        <v>733885.57549009845</v>
      </c>
      <c r="W256" s="69">
        <f t="shared" si="21"/>
        <v>722481.50960045948</v>
      </c>
      <c r="X256" s="69">
        <f t="shared" si="18"/>
        <v>-11404.065889638878</v>
      </c>
      <c r="Z256" s="68">
        <f t="shared" si="22"/>
        <v>1</v>
      </c>
      <c r="AA256" s="68">
        <f t="shared" si="23"/>
        <v>0</v>
      </c>
      <c r="AB256" s="68">
        <f t="shared" si="19"/>
        <v>0</v>
      </c>
    </row>
    <row r="257" spans="1:28" x14ac:dyDescent="0.25">
      <c r="A257">
        <v>252</v>
      </c>
      <c r="C257" s="24">
        <v>5.2819885955525114E-3</v>
      </c>
      <c r="D257" s="24">
        <v>4.9107658272714606E-5</v>
      </c>
      <c r="E257" s="24">
        <v>3.3387315911959092E-8</v>
      </c>
      <c r="F257" s="24">
        <v>4.9731135591856302E-20</v>
      </c>
      <c r="G257" s="24">
        <v>0.57766940315253168</v>
      </c>
      <c r="H257" s="24">
        <v>0.27544285340984864</v>
      </c>
      <c r="I257" s="53">
        <v>2025.3656349897688</v>
      </c>
      <c r="J257" s="53">
        <v>4446.7821604817045</v>
      </c>
      <c r="K257" s="24">
        <v>0.71249911856434522</v>
      </c>
      <c r="L257" s="24">
        <v>0.91109900988627812</v>
      </c>
      <c r="M257" s="24">
        <v>0.76013909269406532</v>
      </c>
      <c r="O257" s="53">
        <v>4.2942978621259265</v>
      </c>
      <c r="P257" s="54">
        <v>18391.313990745522</v>
      </c>
      <c r="Q257" s="54">
        <v>4.4800690544099719</v>
      </c>
      <c r="R257" s="54">
        <v>47396.740255147539</v>
      </c>
      <c r="S257" s="54">
        <v>0.18577119228404548</v>
      </c>
      <c r="T257" s="54">
        <v>29005.426264402016</v>
      </c>
      <c r="V257" s="69">
        <f t="shared" si="20"/>
        <v>840468.25843443966</v>
      </c>
      <c r="W257" s="69">
        <f t="shared" si="21"/>
        <v>848617.07062684686</v>
      </c>
      <c r="X257" s="69">
        <f t="shared" si="18"/>
        <v>8148.8121924070838</v>
      </c>
      <c r="Z257" s="68">
        <f t="shared" si="22"/>
        <v>0</v>
      </c>
      <c r="AA257" s="68">
        <f t="shared" si="23"/>
        <v>1</v>
      </c>
      <c r="AB257" s="68">
        <f t="shared" si="19"/>
        <v>1</v>
      </c>
    </row>
    <row r="258" spans="1:28" x14ac:dyDescent="0.25">
      <c r="A258">
        <v>253</v>
      </c>
      <c r="C258" s="24">
        <v>1.5064783049330968E-13</v>
      </c>
      <c r="D258" s="24">
        <v>3.3370174732001105E-4</v>
      </c>
      <c r="E258" s="24">
        <v>3.5096135596433623E-35</v>
      </c>
      <c r="F258" s="24">
        <v>5.703813818258574E-6</v>
      </c>
      <c r="G258" s="24">
        <v>0.51029551102862403</v>
      </c>
      <c r="H258" s="24">
        <v>0.18578560175776171</v>
      </c>
      <c r="I258" s="53">
        <v>2117.5807110016085</v>
      </c>
      <c r="J258" s="53">
        <v>6122.0701024239888</v>
      </c>
      <c r="K258" s="24">
        <v>0.73693886840967138</v>
      </c>
      <c r="L258" s="24">
        <v>0.79510588664960069</v>
      </c>
      <c r="M258" s="24">
        <v>0.81460967931452055</v>
      </c>
      <c r="O258" s="53">
        <v>3.9170139778896282</v>
      </c>
      <c r="P258" s="54">
        <v>13661.99932204212</v>
      </c>
      <c r="Q258" s="54">
        <v>3.9622715171834915</v>
      </c>
      <c r="R258" s="54">
        <v>22155.906231057168</v>
      </c>
      <c r="S258" s="54">
        <v>4.5257539293863225E-2</v>
      </c>
      <c r="T258" s="54">
        <v>8493.9069090150479</v>
      </c>
      <c r="V258" s="69">
        <f t="shared" si="20"/>
        <v>769740.79625588353</v>
      </c>
      <c r="W258" s="69">
        <f t="shared" si="21"/>
        <v>770298.39720564114</v>
      </c>
      <c r="X258" s="69">
        <f t="shared" si="18"/>
        <v>557.60094975759785</v>
      </c>
      <c r="Z258" s="68">
        <f t="shared" si="22"/>
        <v>0</v>
      </c>
      <c r="AA258" s="68">
        <f t="shared" si="23"/>
        <v>1</v>
      </c>
      <c r="AB258" s="68">
        <f t="shared" si="19"/>
        <v>1</v>
      </c>
    </row>
    <row r="259" spans="1:28" x14ac:dyDescent="0.25">
      <c r="A259">
        <v>254</v>
      </c>
      <c r="C259" s="24">
        <v>1.919608692540981E-16</v>
      </c>
      <c r="D259" s="24">
        <v>2.1642474029907044E-3</v>
      </c>
      <c r="E259" s="24">
        <v>1.0998158939207854E-22</v>
      </c>
      <c r="F259" s="24">
        <v>3.4379792623884242E-7</v>
      </c>
      <c r="G259" s="24">
        <v>0.57729537396222397</v>
      </c>
      <c r="H259" s="24">
        <v>0.29475404995026888</v>
      </c>
      <c r="I259" s="53">
        <v>2416.4226006028757</v>
      </c>
      <c r="J259" s="53">
        <v>5904.6085998802992</v>
      </c>
      <c r="K259" s="24">
        <v>0.57012556160325856</v>
      </c>
      <c r="L259" s="24">
        <v>0.61475354548360128</v>
      </c>
      <c r="M259" s="24">
        <v>0.91797418887603277</v>
      </c>
      <c r="O259" s="53">
        <v>3.0167265180367755</v>
      </c>
      <c r="P259" s="54">
        <v>16757.664218064372</v>
      </c>
      <c r="Q259" s="54">
        <v>3.0594203598086898</v>
      </c>
      <c r="R259" s="54">
        <v>41729.875282055204</v>
      </c>
      <c r="S259" s="54">
        <v>4.2693841771914265E-2</v>
      </c>
      <c r="T259" s="54">
        <v>24972.211063990831</v>
      </c>
      <c r="V259" s="69">
        <f t="shared" si="20"/>
        <v>586587.63938929071</v>
      </c>
      <c r="W259" s="69">
        <f t="shared" si="21"/>
        <v>570154.1966796827</v>
      </c>
      <c r="X259" s="69">
        <f t="shared" si="18"/>
        <v>-16433.442709607978</v>
      </c>
      <c r="Z259" s="68">
        <f t="shared" si="22"/>
        <v>1</v>
      </c>
      <c r="AA259" s="68">
        <f t="shared" si="23"/>
        <v>0</v>
      </c>
      <c r="AB259" s="68">
        <f t="shared" si="19"/>
        <v>0</v>
      </c>
    </row>
    <row r="260" spans="1:28" x14ac:dyDescent="0.25">
      <c r="A260">
        <v>255</v>
      </c>
      <c r="C260" s="24">
        <v>6.5798468408519525E-8</v>
      </c>
      <c r="D260" s="24">
        <v>1.2908097948018098E-3</v>
      </c>
      <c r="E260" s="24">
        <v>4.0908754875737262E-19</v>
      </c>
      <c r="F260" s="24">
        <v>7.3212127360555712E-8</v>
      </c>
      <c r="G260" s="24">
        <v>0.64176663394120637</v>
      </c>
      <c r="H260" s="24">
        <v>0.25015961440117573</v>
      </c>
      <c r="I260" s="53">
        <v>1257.9094126195278</v>
      </c>
      <c r="J260" s="53">
        <v>5009.3563284124702</v>
      </c>
      <c r="K260" s="24">
        <v>0.73559622843770112</v>
      </c>
      <c r="L260" s="24">
        <v>0.58899526154547976</v>
      </c>
      <c r="M260" s="24">
        <v>0.86604052451492541</v>
      </c>
      <c r="O260" s="53">
        <v>3.1790173782370674</v>
      </c>
      <c r="P260" s="54">
        <v>16877.355005832134</v>
      </c>
      <c r="Q260" s="54">
        <v>2.9960623616447655</v>
      </c>
      <c r="R260" s="54">
        <v>33690.139236142801</v>
      </c>
      <c r="S260" s="54">
        <v>-0.18295501659230196</v>
      </c>
      <c r="T260" s="54">
        <v>16812.784230310666</v>
      </c>
      <c r="V260" s="69">
        <f t="shared" si="20"/>
        <v>618926.12064158136</v>
      </c>
      <c r="W260" s="69">
        <f t="shared" si="21"/>
        <v>565522.33309281035</v>
      </c>
      <c r="X260" s="69">
        <f t="shared" si="18"/>
        <v>-53403.787548771055</v>
      </c>
      <c r="Z260" s="68">
        <f t="shared" si="22"/>
        <v>1</v>
      </c>
      <c r="AA260" s="68">
        <f t="shared" si="23"/>
        <v>0</v>
      </c>
      <c r="AB260" s="68">
        <f t="shared" si="19"/>
        <v>0</v>
      </c>
    </row>
    <row r="261" spans="1:28" x14ac:dyDescent="0.25">
      <c r="A261">
        <v>256</v>
      </c>
      <c r="C261" s="24">
        <v>2.5596448677367434E-4</v>
      </c>
      <c r="D261" s="24">
        <v>5.4385327213697376E-3</v>
      </c>
      <c r="E261" s="24">
        <v>1.832501295479653E-32</v>
      </c>
      <c r="F261" s="24">
        <v>2.2494095475167342E-10</v>
      </c>
      <c r="G261" s="24">
        <v>0.67913029687826387</v>
      </c>
      <c r="H261" s="24">
        <v>0.35952568288111153</v>
      </c>
      <c r="I261" s="53">
        <v>2576.0509324280229</v>
      </c>
      <c r="J261" s="53">
        <v>4596.0437041546302</v>
      </c>
      <c r="K261" s="24">
        <v>0.59079482518306337</v>
      </c>
      <c r="L261" s="24">
        <v>0.88411111926462771</v>
      </c>
      <c r="M261" s="24">
        <v>0.92811247609745851</v>
      </c>
      <c r="O261" s="53">
        <v>3.8895411565033058</v>
      </c>
      <c r="P261" s="54">
        <v>20151.0346656906</v>
      </c>
      <c r="Q261" s="54">
        <v>4.2585533207438058</v>
      </c>
      <c r="R261" s="54">
        <v>53695.163854108985</v>
      </c>
      <c r="S261" s="54">
        <v>0.36901216424049998</v>
      </c>
      <c r="T261" s="54">
        <v>33544.129188418388</v>
      </c>
      <c r="V261" s="69">
        <f t="shared" si="20"/>
        <v>757757.19663497049</v>
      </c>
      <c r="W261" s="69">
        <f t="shared" si="21"/>
        <v>798015.50029465219</v>
      </c>
      <c r="X261" s="69">
        <f t="shared" si="18"/>
        <v>40258.303659681609</v>
      </c>
      <c r="Z261" s="68">
        <f t="shared" si="22"/>
        <v>0</v>
      </c>
      <c r="AA261" s="68">
        <f t="shared" si="23"/>
        <v>1</v>
      </c>
      <c r="AB261" s="68">
        <f t="shared" si="19"/>
        <v>1</v>
      </c>
    </row>
    <row r="262" spans="1:28" x14ac:dyDescent="0.25">
      <c r="A262">
        <v>257</v>
      </c>
      <c r="C262" s="24">
        <v>6.2674273669013347E-3</v>
      </c>
      <c r="D262" s="24">
        <v>1.2540871079258484E-4</v>
      </c>
      <c r="E262" s="24">
        <v>6.8741250953592034E-14</v>
      </c>
      <c r="F262" s="24">
        <v>1.2411186219283651E-43</v>
      </c>
      <c r="G262" s="24">
        <v>0.51972377940996362</v>
      </c>
      <c r="H262" s="24">
        <v>0.34986327647156501</v>
      </c>
      <c r="I262" s="53">
        <v>1812.7679571651631</v>
      </c>
      <c r="J262" s="53">
        <v>6012.5758923839157</v>
      </c>
      <c r="K262" s="24">
        <v>0.41506717746915489</v>
      </c>
      <c r="L262" s="24">
        <v>0.9793588981755128</v>
      </c>
      <c r="M262" s="24">
        <v>0.80764732750375212</v>
      </c>
      <c r="O262" s="53">
        <v>4.3004387714241545</v>
      </c>
      <c r="P262" s="54">
        <v>13251.556207538855</v>
      </c>
      <c r="Q262" s="54">
        <v>4.5945715936290075</v>
      </c>
      <c r="R262" s="54">
        <v>40605.347659062238</v>
      </c>
      <c r="S262" s="54">
        <v>0.29413282220485293</v>
      </c>
      <c r="T262" s="54">
        <v>27353.791451523382</v>
      </c>
      <c r="V262" s="69">
        <f t="shared" si="20"/>
        <v>846836.19807729207</v>
      </c>
      <c r="W262" s="69">
        <f t="shared" si="21"/>
        <v>878308.97106673929</v>
      </c>
      <c r="X262" s="69">
        <f t="shared" si="18"/>
        <v>31472.772989447203</v>
      </c>
      <c r="Z262" s="68">
        <f t="shared" si="22"/>
        <v>0</v>
      </c>
      <c r="AA262" s="68">
        <f t="shared" si="23"/>
        <v>1</v>
      </c>
      <c r="AB262" s="68">
        <f t="shared" si="19"/>
        <v>1</v>
      </c>
    </row>
    <row r="263" spans="1:28" x14ac:dyDescent="0.25">
      <c r="A263">
        <v>258</v>
      </c>
      <c r="C263" s="24">
        <v>3.8255677542734358E-6</v>
      </c>
      <c r="D263" s="24">
        <v>2.6602919785816415E-3</v>
      </c>
      <c r="E263" s="24">
        <v>3.3572851838006056E-14</v>
      </c>
      <c r="F263" s="24">
        <v>4.1109569077708854E-64</v>
      </c>
      <c r="G263" s="24">
        <v>0.62911056799642284</v>
      </c>
      <c r="H263" s="24">
        <v>0.20184763378610193</v>
      </c>
      <c r="I263" s="53">
        <v>1972.0052387837566</v>
      </c>
      <c r="J263" s="53">
        <v>5999.1965598796969</v>
      </c>
      <c r="K263" s="24">
        <v>0.67288100933682515</v>
      </c>
      <c r="L263" s="24">
        <v>0.72958750340564249</v>
      </c>
      <c r="M263" s="24">
        <v>0.82380337036213891</v>
      </c>
      <c r="O263" s="53">
        <v>3.5612328564457738</v>
      </c>
      <c r="P263" s="54">
        <v>19321.908003177712</v>
      </c>
      <c r="Q263" s="54">
        <v>3.6350923600457037</v>
      </c>
      <c r="R263" s="54">
        <v>31894.775904624741</v>
      </c>
      <c r="S263" s="54">
        <v>7.3859503599929877E-2</v>
      </c>
      <c r="T263" s="54">
        <v>12572.867901447029</v>
      </c>
      <c r="V263" s="69">
        <f t="shared" si="20"/>
        <v>692924.66328597709</v>
      </c>
      <c r="W263" s="69">
        <f t="shared" si="21"/>
        <v>695123.69610451604</v>
      </c>
      <c r="X263" s="69">
        <f t="shared" ref="X263:X326" si="24">S263*cRatio-T263</f>
        <v>2199.0328185389462</v>
      </c>
      <c r="Z263" s="68">
        <f t="shared" si="22"/>
        <v>0</v>
      </c>
      <c r="AA263" s="68">
        <f t="shared" si="23"/>
        <v>1</v>
      </c>
      <c r="AB263" s="68">
        <f t="shared" ref="AB263:AB326" si="25">IF(X263&gt;0,1,0)</f>
        <v>1</v>
      </c>
    </row>
    <row r="264" spans="1:28" x14ac:dyDescent="0.25">
      <c r="A264">
        <v>259</v>
      </c>
      <c r="C264" s="24">
        <v>3.0858754363827234E-4</v>
      </c>
      <c r="D264" s="24">
        <v>3.9255929029963563E-4</v>
      </c>
      <c r="E264" s="24">
        <v>1.4144669075480348E-21</v>
      </c>
      <c r="F264" s="24">
        <v>1.8927826857007002E-4</v>
      </c>
      <c r="G264" s="24">
        <v>0.53917460320736954</v>
      </c>
      <c r="H264" s="24">
        <v>0.15638467566915382</v>
      </c>
      <c r="I264" s="53">
        <v>1587.9954264123382</v>
      </c>
      <c r="J264" s="53">
        <v>5818.7923554573235</v>
      </c>
      <c r="K264" s="24">
        <v>0.71463065472925202</v>
      </c>
      <c r="L264" s="24">
        <v>0.85035952090811873</v>
      </c>
      <c r="M264" s="24">
        <v>0.9768697082120974</v>
      </c>
      <c r="O264" s="53">
        <v>4.1005574220321872</v>
      </c>
      <c r="P264" s="54">
        <v>12500.84780132115</v>
      </c>
      <c r="Q264" s="54">
        <v>4.2260041425746149</v>
      </c>
      <c r="R264" s="54">
        <v>23788.580052569279</v>
      </c>
      <c r="S264" s="54">
        <v>0.12544672054242767</v>
      </c>
      <c r="T264" s="54">
        <v>11287.73225124813</v>
      </c>
      <c r="V264" s="69">
        <f t="shared" si="20"/>
        <v>807610.63660511631</v>
      </c>
      <c r="W264" s="69">
        <f t="shared" si="21"/>
        <v>821412.24846235372</v>
      </c>
      <c r="X264" s="69">
        <f t="shared" si="24"/>
        <v>13801.611857237403</v>
      </c>
      <c r="Z264" s="68">
        <f t="shared" si="22"/>
        <v>0</v>
      </c>
      <c r="AA264" s="68">
        <f t="shared" si="23"/>
        <v>1</v>
      </c>
      <c r="AB264" s="68">
        <f t="shared" si="25"/>
        <v>1</v>
      </c>
    </row>
    <row r="265" spans="1:28" x14ac:dyDescent="0.25">
      <c r="A265">
        <v>260</v>
      </c>
      <c r="C265" s="24">
        <v>3.5862810440865374E-5</v>
      </c>
      <c r="D265" s="24">
        <v>6.5653939280420071E-3</v>
      </c>
      <c r="E265" s="24">
        <v>4.4677594956965549E-12</v>
      </c>
      <c r="F265" s="24">
        <v>3.770268465757711E-49</v>
      </c>
      <c r="G265" s="24">
        <v>0.53356176685630208</v>
      </c>
      <c r="H265" s="24">
        <v>0.20540643783513923</v>
      </c>
      <c r="I265" s="53">
        <v>1733.2534359917856</v>
      </c>
      <c r="J265" s="53">
        <v>5127.5785228511495</v>
      </c>
      <c r="K265" s="24">
        <v>0.67789994909366458</v>
      </c>
      <c r="L265" s="24">
        <v>0.83347967759579644</v>
      </c>
      <c r="M265" s="24">
        <v>0.65598380228731468</v>
      </c>
      <c r="O265" s="53">
        <v>3.9970724483412936</v>
      </c>
      <c r="P265" s="54">
        <v>15017.637406476437</v>
      </c>
      <c r="Q265" s="54">
        <v>4.1202410581412661</v>
      </c>
      <c r="R265" s="54">
        <v>27063.463914027354</v>
      </c>
      <c r="S265" s="54">
        <v>0.12316860979997246</v>
      </c>
      <c r="T265" s="54">
        <v>12045.826507550917</v>
      </c>
      <c r="V265" s="69">
        <f t="shared" si="20"/>
        <v>784396.85226178227</v>
      </c>
      <c r="W265" s="69">
        <f t="shared" si="21"/>
        <v>796984.7477142259</v>
      </c>
      <c r="X265" s="69">
        <f t="shared" si="24"/>
        <v>12587.895452443574</v>
      </c>
      <c r="Z265" s="68">
        <f t="shared" si="22"/>
        <v>0</v>
      </c>
      <c r="AA265" s="68">
        <f t="shared" si="23"/>
        <v>1</v>
      </c>
      <c r="AB265" s="68">
        <f t="shared" si="25"/>
        <v>1</v>
      </c>
    </row>
    <row r="266" spans="1:28" x14ac:dyDescent="0.25">
      <c r="A266">
        <v>261</v>
      </c>
      <c r="C266" s="24">
        <v>5.6965093756489171E-4</v>
      </c>
      <c r="D266" s="24">
        <v>7.3809703802498738E-3</v>
      </c>
      <c r="E266" s="24">
        <v>2.4372154305228849E-19</v>
      </c>
      <c r="F266" s="24">
        <v>4.0114356281151231E-10</v>
      </c>
      <c r="G266" s="24">
        <v>0.50978202433282416</v>
      </c>
      <c r="H266" s="24">
        <v>0.26747392955744631</v>
      </c>
      <c r="I266" s="53">
        <v>1601.9421584049721</v>
      </c>
      <c r="J266" s="53">
        <v>5101.528208312614</v>
      </c>
      <c r="K266" s="24">
        <v>0.59358594866769065</v>
      </c>
      <c r="L266" s="24">
        <v>0.84374683139174911</v>
      </c>
      <c r="M266" s="24">
        <v>0.93650019045770838</v>
      </c>
      <c r="O266" s="53">
        <v>3.9679768010778815</v>
      </c>
      <c r="P266" s="54">
        <v>16874.966115525753</v>
      </c>
      <c r="Q266" s="54">
        <v>4.1318478297578203</v>
      </c>
      <c r="R266" s="54">
        <v>42378.538916003381</v>
      </c>
      <c r="S266" s="54">
        <v>0.16387102867993875</v>
      </c>
      <c r="T266" s="54">
        <v>25503.572800477628</v>
      </c>
      <c r="V266" s="69">
        <f t="shared" ref="V266:V329" si="26">O266*cRatio-P266</f>
        <v>776720.39410005044</v>
      </c>
      <c r="W266" s="69">
        <f t="shared" ref="W266:W329" si="27">Q266*cRatio-R266</f>
        <v>783991.02703556058</v>
      </c>
      <c r="X266" s="69">
        <f t="shared" si="24"/>
        <v>7270.6329355101225</v>
      </c>
      <c r="Z266" s="68">
        <f t="shared" ref="Z266:Z329" si="28">IF(MAX(V266:W266)=V266,1,0)</f>
        <v>0</v>
      </c>
      <c r="AA266" s="68">
        <f t="shared" ref="AA266:AA329" si="29">IF(MAX(V266:W266)=W266,1,0)</f>
        <v>1</v>
      </c>
      <c r="AB266" s="68">
        <f t="shared" si="25"/>
        <v>1</v>
      </c>
    </row>
    <row r="267" spans="1:28" x14ac:dyDescent="0.25">
      <c r="A267">
        <v>262</v>
      </c>
      <c r="C267" s="24">
        <v>7.6978074595279722E-5</v>
      </c>
      <c r="D267" s="24">
        <v>1.2645329665378457E-2</v>
      </c>
      <c r="E267" s="24">
        <v>1.9532157945182438E-16</v>
      </c>
      <c r="F267" s="24">
        <v>3.9590553058133082E-13</v>
      </c>
      <c r="G267" s="24">
        <v>0.68306565371678563</v>
      </c>
      <c r="H267" s="24">
        <v>0.30104027876960715</v>
      </c>
      <c r="I267" s="53">
        <v>1770.3725265029793</v>
      </c>
      <c r="J267" s="53">
        <v>5913.1486955718292</v>
      </c>
      <c r="K267" s="24">
        <v>0.61355132751864638</v>
      </c>
      <c r="L267" s="24">
        <v>0.90003040091077979</v>
      </c>
      <c r="M267" s="24">
        <v>0.94272010642596538</v>
      </c>
      <c r="O267" s="53">
        <v>3.9745689698610995</v>
      </c>
      <c r="P267" s="54">
        <v>20144.008331940167</v>
      </c>
      <c r="Q267" s="54">
        <v>4.3806010332237193</v>
      </c>
      <c r="R267" s="54">
        <v>37952.166839956604</v>
      </c>
      <c r="S267" s="54">
        <v>0.40603206336261977</v>
      </c>
      <c r="T267" s="54">
        <v>17808.158508016437</v>
      </c>
      <c r="V267" s="69">
        <f t="shared" si="26"/>
        <v>774769.78564027976</v>
      </c>
      <c r="W267" s="69">
        <f t="shared" si="27"/>
        <v>838168.03980478726</v>
      </c>
      <c r="X267" s="69">
        <f t="shared" si="24"/>
        <v>63398.254164507511</v>
      </c>
      <c r="Z267" s="68">
        <f t="shared" si="28"/>
        <v>0</v>
      </c>
      <c r="AA267" s="68">
        <f t="shared" si="29"/>
        <v>1</v>
      </c>
      <c r="AB267" s="68">
        <f t="shared" si="25"/>
        <v>1</v>
      </c>
    </row>
    <row r="268" spans="1:28" x14ac:dyDescent="0.25">
      <c r="A268">
        <v>263</v>
      </c>
      <c r="C268" s="24">
        <v>2.5069079180844107E-13</v>
      </c>
      <c r="D268" s="24">
        <v>1.923709327135037E-3</v>
      </c>
      <c r="E268" s="24">
        <v>4.0680788737645912E-9</v>
      </c>
      <c r="F268" s="24">
        <v>9.3246392978119097E-4</v>
      </c>
      <c r="G268" s="24">
        <v>0.58401911860371014</v>
      </c>
      <c r="H268" s="24">
        <v>0.32197600866506115</v>
      </c>
      <c r="I268" s="53">
        <v>1247.2513599016247</v>
      </c>
      <c r="J268" s="53">
        <v>5346.7047476485195</v>
      </c>
      <c r="K268" s="24">
        <v>0.81082589123208115</v>
      </c>
      <c r="L268" s="24">
        <v>0.95393108011592509</v>
      </c>
      <c r="M268" s="24">
        <v>0.88960176277508785</v>
      </c>
      <c r="O268" s="53">
        <v>4.5823922558514667</v>
      </c>
      <c r="P268" s="54">
        <v>17450.164159079264</v>
      </c>
      <c r="Q268" s="54">
        <v>4.6951686861427451</v>
      </c>
      <c r="R268" s="54">
        <v>42724.926350797257</v>
      </c>
      <c r="S268" s="54">
        <v>0.11277643029127837</v>
      </c>
      <c r="T268" s="54">
        <v>25274.762191717993</v>
      </c>
      <c r="V268" s="69">
        <f t="shared" si="26"/>
        <v>899028.28701121407</v>
      </c>
      <c r="W268" s="69">
        <f t="shared" si="27"/>
        <v>896308.81087775168</v>
      </c>
      <c r="X268" s="69">
        <f t="shared" si="24"/>
        <v>-2719.4761334623181</v>
      </c>
      <c r="Z268" s="68">
        <f t="shared" si="28"/>
        <v>1</v>
      </c>
      <c r="AA268" s="68">
        <f t="shared" si="29"/>
        <v>0</v>
      </c>
      <c r="AB268" s="68">
        <f t="shared" si="25"/>
        <v>0</v>
      </c>
    </row>
    <row r="269" spans="1:28" x14ac:dyDescent="0.25">
      <c r="A269">
        <v>264</v>
      </c>
      <c r="C269" s="24">
        <v>2.5481247644931759E-4</v>
      </c>
      <c r="D269" s="24">
        <v>7.9641176342680768E-4</v>
      </c>
      <c r="E269" s="24">
        <v>2.2383335870401864E-21</v>
      </c>
      <c r="F269" s="24">
        <v>2.4167015038473389E-17</v>
      </c>
      <c r="G269" s="24">
        <v>0.54832818573695041</v>
      </c>
      <c r="H269" s="24">
        <v>0.23497899343840678</v>
      </c>
      <c r="I269" s="53">
        <v>2214.6172705129211</v>
      </c>
      <c r="J269" s="53">
        <v>5431.1008440605829</v>
      </c>
      <c r="K269" s="24">
        <v>0.7456998350991797</v>
      </c>
      <c r="L269" s="24">
        <v>0.92294697065140752</v>
      </c>
      <c r="M269" s="24">
        <v>0.99219798443294116</v>
      </c>
      <c r="O269" s="53">
        <v>4.4103735950776111</v>
      </c>
      <c r="P269" s="54">
        <v>14976.233721354405</v>
      </c>
      <c r="Q269" s="54">
        <v>4.5606700854209103</v>
      </c>
      <c r="R269" s="54">
        <v>34605.184091546005</v>
      </c>
      <c r="S269" s="54">
        <v>0.15029649034329928</v>
      </c>
      <c r="T269" s="54">
        <v>19628.9503701916</v>
      </c>
      <c r="V269" s="69">
        <f t="shared" si="26"/>
        <v>867098.48529416777</v>
      </c>
      <c r="W269" s="69">
        <f t="shared" si="27"/>
        <v>877528.83299263613</v>
      </c>
      <c r="X269" s="69">
        <f t="shared" si="24"/>
        <v>10430.347698468257</v>
      </c>
      <c r="Z269" s="68">
        <f t="shared" si="28"/>
        <v>0</v>
      </c>
      <c r="AA269" s="68">
        <f t="shared" si="29"/>
        <v>1</v>
      </c>
      <c r="AB269" s="68">
        <f t="shared" si="25"/>
        <v>1</v>
      </c>
    </row>
    <row r="270" spans="1:28" x14ac:dyDescent="0.25">
      <c r="A270">
        <v>265</v>
      </c>
      <c r="C270" s="24">
        <v>4.5504907514278662E-9</v>
      </c>
      <c r="D270" s="24">
        <v>3.0636345943263943E-4</v>
      </c>
      <c r="E270" s="24">
        <v>3.2957636619812547E-11</v>
      </c>
      <c r="F270" s="24">
        <v>1.0661723353836447E-37</v>
      </c>
      <c r="G270" s="24">
        <v>0.56368468989986686</v>
      </c>
      <c r="H270" s="24">
        <v>0.26641235983829281</v>
      </c>
      <c r="I270" s="53">
        <v>1533.471086051404</v>
      </c>
      <c r="J270" s="53">
        <v>5732.3756863842291</v>
      </c>
      <c r="K270" s="24">
        <v>0.56193743133454321</v>
      </c>
      <c r="L270" s="24">
        <v>0.87803262695580897</v>
      </c>
      <c r="M270" s="24">
        <v>0.82688239135812291</v>
      </c>
      <c r="O270" s="53">
        <v>4.0050332053340982</v>
      </c>
      <c r="P270" s="54">
        <v>15812.647273192897</v>
      </c>
      <c r="Q270" s="54">
        <v>4.2754238524115387</v>
      </c>
      <c r="R270" s="54">
        <v>36924.744640854791</v>
      </c>
      <c r="S270" s="54">
        <v>0.27039064707744043</v>
      </c>
      <c r="T270" s="54">
        <v>21112.097367661896</v>
      </c>
      <c r="V270" s="69">
        <f t="shared" si="26"/>
        <v>785193.99379362678</v>
      </c>
      <c r="W270" s="69">
        <f t="shared" si="27"/>
        <v>818160.025841453</v>
      </c>
      <c r="X270" s="69">
        <f t="shared" si="24"/>
        <v>32966.032047826193</v>
      </c>
      <c r="Z270" s="68">
        <f t="shared" si="28"/>
        <v>0</v>
      </c>
      <c r="AA270" s="68">
        <f t="shared" si="29"/>
        <v>1</v>
      </c>
      <c r="AB270" s="68">
        <f t="shared" si="25"/>
        <v>1</v>
      </c>
    </row>
    <row r="271" spans="1:28" x14ac:dyDescent="0.25">
      <c r="A271">
        <v>266</v>
      </c>
      <c r="C271" s="24">
        <v>2.0530572216819489E-12</v>
      </c>
      <c r="D271" s="24">
        <v>6.3316233309189673E-3</v>
      </c>
      <c r="E271" s="24">
        <v>1.1937048179713407E-26</v>
      </c>
      <c r="F271" s="24">
        <v>5.475372709459525E-3</v>
      </c>
      <c r="G271" s="24">
        <v>0.55382882696756552</v>
      </c>
      <c r="H271" s="24">
        <v>0.37208422357446602</v>
      </c>
      <c r="I271" s="53">
        <v>1512.1577469785116</v>
      </c>
      <c r="J271" s="53">
        <v>4645.2554752957649</v>
      </c>
      <c r="K271" s="24">
        <v>0.69827516345606222</v>
      </c>
      <c r="L271" s="24">
        <v>0.90987626534119048</v>
      </c>
      <c r="M271" s="24">
        <v>0.80809635577068328</v>
      </c>
      <c r="O271" s="53">
        <v>4.3004083016862529</v>
      </c>
      <c r="P271" s="54">
        <v>13805.395565525479</v>
      </c>
      <c r="Q271" s="54">
        <v>4.3853570933942256</v>
      </c>
      <c r="R271" s="54">
        <v>64084.816153322448</v>
      </c>
      <c r="S271" s="54">
        <v>8.4948791707972759E-2</v>
      </c>
      <c r="T271" s="54">
        <v>50279.420587796965</v>
      </c>
      <c r="V271" s="69">
        <f t="shared" si="26"/>
        <v>846276.26477172505</v>
      </c>
      <c r="W271" s="69">
        <f t="shared" si="27"/>
        <v>812986.6025255227</v>
      </c>
      <c r="X271" s="69">
        <f t="shared" si="24"/>
        <v>-33289.66224620241</v>
      </c>
      <c r="Z271" s="68">
        <f t="shared" si="28"/>
        <v>1</v>
      </c>
      <c r="AA271" s="68">
        <f t="shared" si="29"/>
        <v>0</v>
      </c>
      <c r="AB271" s="68">
        <f t="shared" si="25"/>
        <v>0</v>
      </c>
    </row>
    <row r="272" spans="1:28" x14ac:dyDescent="0.25">
      <c r="A272">
        <v>267</v>
      </c>
      <c r="C272" s="24">
        <v>2.8705693122405808E-9</v>
      </c>
      <c r="D272" s="24">
        <v>1.4917178060340319E-2</v>
      </c>
      <c r="E272" s="24">
        <v>1.0230441714862417E-35</v>
      </c>
      <c r="F272" s="24">
        <v>2.9470231310508249E-30</v>
      </c>
      <c r="G272" s="24">
        <v>0.65595530625652687</v>
      </c>
      <c r="H272" s="24">
        <v>0.28220216932711784</v>
      </c>
      <c r="I272" s="53">
        <v>2115.958422531352</v>
      </c>
      <c r="J272" s="53">
        <v>4575.6785867314966</v>
      </c>
      <c r="K272" s="24">
        <v>0.61197282055565017</v>
      </c>
      <c r="L272" s="24">
        <v>0.90115726658905271</v>
      </c>
      <c r="M272" s="24">
        <v>0.83905200120503898</v>
      </c>
      <c r="O272" s="53">
        <v>4.0213860008600166</v>
      </c>
      <c r="P272" s="54">
        <v>18671.005672796724</v>
      </c>
      <c r="Q272" s="54">
        <v>4.3863501730080827</v>
      </c>
      <c r="R272" s="54">
        <v>28078.43378470324</v>
      </c>
      <c r="S272" s="54">
        <v>0.36496417214806609</v>
      </c>
      <c r="T272" s="54">
        <v>9407.4281119065163</v>
      </c>
      <c r="V272" s="69">
        <f t="shared" si="26"/>
        <v>785606.19449920661</v>
      </c>
      <c r="W272" s="69">
        <f t="shared" si="27"/>
        <v>849191.6008169133</v>
      </c>
      <c r="X272" s="69">
        <f t="shared" si="24"/>
        <v>63585.4063177067</v>
      </c>
      <c r="Z272" s="68">
        <f t="shared" si="28"/>
        <v>0</v>
      </c>
      <c r="AA272" s="68">
        <f t="shared" si="29"/>
        <v>1</v>
      </c>
      <c r="AB272" s="68">
        <f t="shared" si="25"/>
        <v>1</v>
      </c>
    </row>
    <row r="273" spans="1:28" x14ac:dyDescent="0.25">
      <c r="A273">
        <v>268</v>
      </c>
      <c r="C273" s="24">
        <v>6.8146764993860456E-8</v>
      </c>
      <c r="D273" s="24">
        <v>9.3552064762753928E-4</v>
      </c>
      <c r="E273" s="24">
        <v>3.0113094160677534E-5</v>
      </c>
      <c r="F273" s="24">
        <v>1.2052005782248187E-7</v>
      </c>
      <c r="G273" s="24">
        <v>0.66302018523250794</v>
      </c>
      <c r="H273" s="24">
        <v>0.2535565154627154</v>
      </c>
      <c r="I273" s="53">
        <v>2243.7646258019481</v>
      </c>
      <c r="J273" s="53">
        <v>4247.5644871418026</v>
      </c>
      <c r="K273" s="24">
        <v>0.79294325115797593</v>
      </c>
      <c r="L273" s="24">
        <v>0.92079878378544155</v>
      </c>
      <c r="M273" s="24">
        <v>0.68383381273860189</v>
      </c>
      <c r="O273" s="53">
        <v>4.3843942049219873</v>
      </c>
      <c r="P273" s="54">
        <v>23193.528995430548</v>
      </c>
      <c r="Q273" s="54">
        <v>4.5592238203692004</v>
      </c>
      <c r="R273" s="54">
        <v>36197.16852609715</v>
      </c>
      <c r="S273" s="54">
        <v>0.17482961544721309</v>
      </c>
      <c r="T273" s="54">
        <v>13003.639530666602</v>
      </c>
      <c r="V273" s="69">
        <f t="shared" si="26"/>
        <v>853685.31198896689</v>
      </c>
      <c r="W273" s="69">
        <f t="shared" si="27"/>
        <v>875647.59554774291</v>
      </c>
      <c r="X273" s="69">
        <f t="shared" si="24"/>
        <v>21962.28355877602</v>
      </c>
      <c r="Z273" s="68">
        <f t="shared" si="28"/>
        <v>0</v>
      </c>
      <c r="AA273" s="68">
        <f t="shared" si="29"/>
        <v>1</v>
      </c>
      <c r="AB273" s="68">
        <f t="shared" si="25"/>
        <v>1</v>
      </c>
    </row>
    <row r="274" spans="1:28" x14ac:dyDescent="0.25">
      <c r="A274">
        <v>269</v>
      </c>
      <c r="C274" s="24">
        <v>2.5011648540019168E-8</v>
      </c>
      <c r="D274" s="24">
        <v>2.9586349917480881E-3</v>
      </c>
      <c r="E274" s="24">
        <v>1.9255868881078623E-18</v>
      </c>
      <c r="F274" s="24">
        <v>2.2722090672310524E-22</v>
      </c>
      <c r="G274" s="24">
        <v>0.73547545725613805</v>
      </c>
      <c r="H274" s="24">
        <v>0.29939218273165202</v>
      </c>
      <c r="I274" s="53">
        <v>1932.8960619853258</v>
      </c>
      <c r="J274" s="53">
        <v>4962.5017083775856</v>
      </c>
      <c r="K274" s="24">
        <v>0.76183391692185998</v>
      </c>
      <c r="L274" s="24">
        <v>0.84468057364165172</v>
      </c>
      <c r="M274" s="24">
        <v>0.85786722334909393</v>
      </c>
      <c r="O274" s="53">
        <v>4.042628624311237</v>
      </c>
      <c r="P274" s="54">
        <v>26737.90826597155</v>
      </c>
      <c r="Q274" s="54">
        <v>4.188339690686929</v>
      </c>
      <c r="R274" s="54">
        <v>33934.373410275526</v>
      </c>
      <c r="S274" s="54">
        <v>0.14571106637569198</v>
      </c>
      <c r="T274" s="54">
        <v>7196.4651443039766</v>
      </c>
      <c r="V274" s="69">
        <f t="shared" si="26"/>
        <v>781787.81659627578</v>
      </c>
      <c r="W274" s="69">
        <f t="shared" si="27"/>
        <v>803733.56472711021</v>
      </c>
      <c r="X274" s="69">
        <f t="shared" si="24"/>
        <v>21945.748130834418</v>
      </c>
      <c r="Z274" s="68">
        <f t="shared" si="28"/>
        <v>0</v>
      </c>
      <c r="AA274" s="68">
        <f t="shared" si="29"/>
        <v>1</v>
      </c>
      <c r="AB274" s="68">
        <f t="shared" si="25"/>
        <v>1</v>
      </c>
    </row>
    <row r="275" spans="1:28" x14ac:dyDescent="0.25">
      <c r="A275">
        <v>270</v>
      </c>
      <c r="C275" s="24">
        <v>2.2391316078768098E-2</v>
      </c>
      <c r="D275" s="24">
        <v>3.1329027234625452E-4</v>
      </c>
      <c r="E275" s="24">
        <v>3.389238577239384E-3</v>
      </c>
      <c r="F275" s="24">
        <v>9.2456461077221469E-19</v>
      </c>
      <c r="G275" s="24">
        <v>0.54371394630744541</v>
      </c>
      <c r="H275" s="24">
        <v>0.29942659297972385</v>
      </c>
      <c r="I275" s="53">
        <v>1666.4631494012149</v>
      </c>
      <c r="J275" s="53">
        <v>4680.6755668166634</v>
      </c>
      <c r="K275" s="24">
        <v>0.57547499234774213</v>
      </c>
      <c r="L275" s="24">
        <v>0.9783637504823337</v>
      </c>
      <c r="M275" s="24">
        <v>0.7152113640410882</v>
      </c>
      <c r="O275" s="53">
        <v>4.3565465789513551</v>
      </c>
      <c r="P275" s="54">
        <v>16673.685140041307</v>
      </c>
      <c r="Q275" s="54">
        <v>4.7194994534470975</v>
      </c>
      <c r="R275" s="54">
        <v>48669.811972036528</v>
      </c>
      <c r="S275" s="54">
        <v>0.36295287449574243</v>
      </c>
      <c r="T275" s="54">
        <v>31996.126831995221</v>
      </c>
      <c r="V275" s="69">
        <f t="shared" si="26"/>
        <v>854635.63065022975</v>
      </c>
      <c r="W275" s="69">
        <f t="shared" si="27"/>
        <v>895230.07871738297</v>
      </c>
      <c r="X275" s="69">
        <f t="shared" si="24"/>
        <v>40594.448067153266</v>
      </c>
      <c r="Z275" s="68">
        <f t="shared" si="28"/>
        <v>0</v>
      </c>
      <c r="AA275" s="68">
        <f t="shared" si="29"/>
        <v>1</v>
      </c>
      <c r="AB275" s="68">
        <f t="shared" si="25"/>
        <v>1</v>
      </c>
    </row>
    <row r="276" spans="1:28" x14ac:dyDescent="0.25">
      <c r="A276">
        <v>271</v>
      </c>
      <c r="C276" s="24">
        <v>1.2167170670398418E-10</v>
      </c>
      <c r="D276" s="24">
        <v>4.0373559732056474E-3</v>
      </c>
      <c r="E276" s="24">
        <v>7.39313168462985E-8</v>
      </c>
      <c r="F276" s="24">
        <v>4.8733027422001115E-20</v>
      </c>
      <c r="G276" s="24">
        <v>0.64345642403413761</v>
      </c>
      <c r="H276" s="24">
        <v>0.20711287609080531</v>
      </c>
      <c r="I276" s="53">
        <v>1841.7984480777045</v>
      </c>
      <c r="J276" s="53">
        <v>5060.3302445372474</v>
      </c>
      <c r="K276" s="24">
        <v>0.7810777205347037</v>
      </c>
      <c r="L276" s="24">
        <v>0.89674591021639605</v>
      </c>
      <c r="M276" s="24">
        <v>0.7137139834196462</v>
      </c>
      <c r="O276" s="53">
        <v>4.2980076899278039</v>
      </c>
      <c r="P276" s="54">
        <v>17306.786967886215</v>
      </c>
      <c r="Q276" s="54">
        <v>4.4491103575183466</v>
      </c>
      <c r="R276" s="54">
        <v>26852.168824029832</v>
      </c>
      <c r="S276" s="54">
        <v>0.15110266759054269</v>
      </c>
      <c r="T276" s="54">
        <v>9545.3818561436165</v>
      </c>
      <c r="V276" s="69">
        <f t="shared" si="26"/>
        <v>842294.75101767457</v>
      </c>
      <c r="W276" s="69">
        <f t="shared" si="27"/>
        <v>862969.90267963952</v>
      </c>
      <c r="X276" s="69">
        <f t="shared" si="24"/>
        <v>20675.151661964923</v>
      </c>
      <c r="Z276" s="68">
        <f t="shared" si="28"/>
        <v>0</v>
      </c>
      <c r="AA276" s="68">
        <f t="shared" si="29"/>
        <v>1</v>
      </c>
      <c r="AB276" s="68">
        <f t="shared" si="25"/>
        <v>1</v>
      </c>
    </row>
    <row r="277" spans="1:28" x14ac:dyDescent="0.25">
      <c r="A277">
        <v>272</v>
      </c>
      <c r="C277" s="24">
        <v>2.4753413460568696E-3</v>
      </c>
      <c r="D277" s="24">
        <v>6.1545489599818216E-8</v>
      </c>
      <c r="E277" s="24">
        <v>2.0915769356128155E-20</v>
      </c>
      <c r="F277" s="24">
        <v>1.0026263415391368E-3</v>
      </c>
      <c r="G277" s="24">
        <v>0.60968809935156454</v>
      </c>
      <c r="H277" s="24">
        <v>0.18825525703299484</v>
      </c>
      <c r="I277" s="53">
        <v>1716.122976377982</v>
      </c>
      <c r="J277" s="53">
        <v>5682.1561461492493</v>
      </c>
      <c r="K277" s="24">
        <v>0.56265738300504253</v>
      </c>
      <c r="L277" s="24">
        <v>0.53996356913432342</v>
      </c>
      <c r="M277" s="24">
        <v>0.84962556905481568</v>
      </c>
      <c r="O277" s="53">
        <v>2.7392905277154154</v>
      </c>
      <c r="P277" s="54">
        <v>18903.410688256627</v>
      </c>
      <c r="Q277" s="54">
        <v>2.7018996903653232</v>
      </c>
      <c r="R277" s="54">
        <v>20081.021963438187</v>
      </c>
      <c r="S277" s="54">
        <v>-3.7390837350092188E-2</v>
      </c>
      <c r="T277" s="54">
        <v>1177.6112751815599</v>
      </c>
      <c r="V277" s="69">
        <f t="shared" si="26"/>
        <v>528954.69485482643</v>
      </c>
      <c r="W277" s="69">
        <f t="shared" si="27"/>
        <v>520298.91610962647</v>
      </c>
      <c r="X277" s="69">
        <f t="shared" si="24"/>
        <v>-8655.7787451999975</v>
      </c>
      <c r="Z277" s="68">
        <f t="shared" si="28"/>
        <v>1</v>
      </c>
      <c r="AA277" s="68">
        <f t="shared" si="29"/>
        <v>0</v>
      </c>
      <c r="AB277" s="68">
        <f t="shared" si="25"/>
        <v>0</v>
      </c>
    </row>
    <row r="278" spans="1:28" x14ac:dyDescent="0.25">
      <c r="A278">
        <v>273</v>
      </c>
      <c r="C278" s="24">
        <v>1.6947622032846832E-3</v>
      </c>
      <c r="D278" s="24">
        <v>3.0568434852259161E-4</v>
      </c>
      <c r="E278" s="24">
        <v>2.2556402529981814E-20</v>
      </c>
      <c r="F278" s="24">
        <v>4.6695498516796167E-42</v>
      </c>
      <c r="G278" s="24">
        <v>0.66100640543829725</v>
      </c>
      <c r="H278" s="24">
        <v>0.30567449967228122</v>
      </c>
      <c r="I278" s="53">
        <v>2126.2503890444445</v>
      </c>
      <c r="J278" s="53">
        <v>6593.7688758642407</v>
      </c>
      <c r="K278" s="24">
        <v>0.52438186719331892</v>
      </c>
      <c r="L278" s="24">
        <v>0.83843642893123727</v>
      </c>
      <c r="M278" s="24">
        <v>0.94989219779228462</v>
      </c>
      <c r="O278" s="53">
        <v>3.6589177497916037</v>
      </c>
      <c r="P278" s="54">
        <v>19334.941175535365</v>
      </c>
      <c r="Q278" s="54">
        <v>4.0545134432604595</v>
      </c>
      <c r="R278" s="54">
        <v>43325.299942840509</v>
      </c>
      <c r="S278" s="54">
        <v>0.39559569346885581</v>
      </c>
      <c r="T278" s="54">
        <v>23990.358767305144</v>
      </c>
      <c r="V278" s="69">
        <f t="shared" si="26"/>
        <v>712448.60878278536</v>
      </c>
      <c r="W278" s="69">
        <f t="shared" si="27"/>
        <v>767577.38870925142</v>
      </c>
      <c r="X278" s="69">
        <f t="shared" si="24"/>
        <v>55128.779926466021</v>
      </c>
      <c r="Z278" s="68">
        <f t="shared" si="28"/>
        <v>0</v>
      </c>
      <c r="AA278" s="68">
        <f t="shared" si="29"/>
        <v>1</v>
      </c>
      <c r="AB278" s="68">
        <f t="shared" si="25"/>
        <v>1</v>
      </c>
    </row>
    <row r="279" spans="1:28" x14ac:dyDescent="0.25">
      <c r="A279">
        <v>274</v>
      </c>
      <c r="C279" s="24">
        <v>5.311576115691774E-3</v>
      </c>
      <c r="D279" s="24">
        <v>2.0686018879018109E-3</v>
      </c>
      <c r="E279" s="24">
        <v>1.9957147046056889E-11</v>
      </c>
      <c r="F279" s="24">
        <v>9.2195056083651671E-45</v>
      </c>
      <c r="G279" s="24">
        <v>0.57841667664627583</v>
      </c>
      <c r="H279" s="24">
        <v>0.26586705250947162</v>
      </c>
      <c r="I279" s="53">
        <v>1660.6383523325903</v>
      </c>
      <c r="J279" s="53">
        <v>4367.8247738961682</v>
      </c>
      <c r="K279" s="24">
        <v>0.71221472964711174</v>
      </c>
      <c r="L279" s="24">
        <v>0.92944469319045031</v>
      </c>
      <c r="M279" s="24">
        <v>0.71842360819949447</v>
      </c>
      <c r="O279" s="53">
        <v>4.3585964963672916</v>
      </c>
      <c r="P279" s="54">
        <v>21837.351703813831</v>
      </c>
      <c r="Q279" s="54">
        <v>4.5658999291023274</v>
      </c>
      <c r="R279" s="54">
        <v>41018.264522223159</v>
      </c>
      <c r="S279" s="54">
        <v>0.20730343273503582</v>
      </c>
      <c r="T279" s="54">
        <v>19180.912818409328</v>
      </c>
      <c r="V279" s="69">
        <f t="shared" si="26"/>
        <v>849881.94756964443</v>
      </c>
      <c r="W279" s="69">
        <f t="shared" si="27"/>
        <v>872161.72129824234</v>
      </c>
      <c r="X279" s="69">
        <f t="shared" si="24"/>
        <v>22279.773728597836</v>
      </c>
      <c r="Z279" s="68">
        <f t="shared" si="28"/>
        <v>0</v>
      </c>
      <c r="AA279" s="68">
        <f t="shared" si="29"/>
        <v>1</v>
      </c>
      <c r="AB279" s="68">
        <f t="shared" si="25"/>
        <v>1</v>
      </c>
    </row>
    <row r="280" spans="1:28" x14ac:dyDescent="0.25">
      <c r="A280">
        <v>275</v>
      </c>
      <c r="C280" s="24">
        <v>2.5372271332872958E-8</v>
      </c>
      <c r="D280" s="24">
        <v>6.4336069293212178E-4</v>
      </c>
      <c r="E280" s="24">
        <v>2.4732560444107321E-10</v>
      </c>
      <c r="F280" s="24">
        <v>9.5050730206606774E-27</v>
      </c>
      <c r="G280" s="24">
        <v>0.65893716566857741</v>
      </c>
      <c r="H280" s="24">
        <v>0.21786656562762086</v>
      </c>
      <c r="I280" s="53">
        <v>1652.838664549299</v>
      </c>
      <c r="J280" s="53">
        <v>4916.5672958266823</v>
      </c>
      <c r="K280" s="24">
        <v>0.71519979479025397</v>
      </c>
      <c r="L280" s="24">
        <v>0.77919812659582732</v>
      </c>
      <c r="M280" s="24">
        <v>0.7535425206151215</v>
      </c>
      <c r="O280" s="53">
        <v>3.7877053901565425</v>
      </c>
      <c r="P280" s="54">
        <v>19824.475322651768</v>
      </c>
      <c r="Q280" s="54">
        <v>3.8780727360542695</v>
      </c>
      <c r="R280" s="54">
        <v>26704.586846975213</v>
      </c>
      <c r="S280" s="54">
        <v>9.0367345897726992E-2</v>
      </c>
      <c r="T280" s="54">
        <v>6880.1115243234453</v>
      </c>
      <c r="V280" s="69">
        <f t="shared" si="26"/>
        <v>737716.60270865669</v>
      </c>
      <c r="W280" s="69">
        <f t="shared" si="27"/>
        <v>748909.96036387864</v>
      </c>
      <c r="X280" s="69">
        <f t="shared" si="24"/>
        <v>11193.357655221953</v>
      </c>
      <c r="Z280" s="68">
        <f t="shared" si="28"/>
        <v>0</v>
      </c>
      <c r="AA280" s="68">
        <f t="shared" si="29"/>
        <v>1</v>
      </c>
      <c r="AB280" s="68">
        <f t="shared" si="25"/>
        <v>1</v>
      </c>
    </row>
    <row r="281" spans="1:28" x14ac:dyDescent="0.25">
      <c r="A281">
        <v>276</v>
      </c>
      <c r="C281" s="24">
        <v>6.9694859318851776E-3</v>
      </c>
      <c r="D281" s="24">
        <v>4.4470122545381408E-3</v>
      </c>
      <c r="E281" s="24">
        <v>7.3806760566563767E-6</v>
      </c>
      <c r="F281" s="24">
        <v>1.600835393134048E-7</v>
      </c>
      <c r="G281" s="24">
        <v>0.5979947874233742</v>
      </c>
      <c r="H281" s="24">
        <v>0.24550158412050127</v>
      </c>
      <c r="I281" s="53">
        <v>1716.5230487887168</v>
      </c>
      <c r="J281" s="53">
        <v>4555.2097554445791</v>
      </c>
      <c r="K281" s="24">
        <v>0.48909525084714484</v>
      </c>
      <c r="L281" s="24">
        <v>0.84618791966702922</v>
      </c>
      <c r="M281" s="24">
        <v>0.95132759822733992</v>
      </c>
      <c r="O281" s="53">
        <v>3.7469264650779395</v>
      </c>
      <c r="P281" s="54">
        <v>16499.559922444823</v>
      </c>
      <c r="Q281" s="54">
        <v>4.1177472070587449</v>
      </c>
      <c r="R281" s="54">
        <v>34043.391844196994</v>
      </c>
      <c r="S281" s="54">
        <v>0.37082074198080539</v>
      </c>
      <c r="T281" s="54">
        <v>17543.831921752171</v>
      </c>
      <c r="V281" s="69">
        <f t="shared" si="26"/>
        <v>732885.73309314298</v>
      </c>
      <c r="W281" s="69">
        <f t="shared" si="27"/>
        <v>789506.04956755205</v>
      </c>
      <c r="X281" s="69">
        <f t="shared" si="24"/>
        <v>56620.316474408908</v>
      </c>
      <c r="Z281" s="68">
        <f t="shared" si="28"/>
        <v>0</v>
      </c>
      <c r="AA281" s="68">
        <f t="shared" si="29"/>
        <v>1</v>
      </c>
      <c r="AB281" s="68">
        <f t="shared" si="25"/>
        <v>1</v>
      </c>
    </row>
    <row r="282" spans="1:28" x14ac:dyDescent="0.25">
      <c r="A282">
        <v>277</v>
      </c>
      <c r="C282" s="24">
        <v>5.5985281891768324E-5</v>
      </c>
      <c r="D282" s="24">
        <v>1.2336816408149175E-3</v>
      </c>
      <c r="E282" s="24">
        <v>6.8756631887902548E-21</v>
      </c>
      <c r="F282" s="24">
        <v>6.3449245857327696E-13</v>
      </c>
      <c r="G282" s="24">
        <v>0.68669938098925876</v>
      </c>
      <c r="H282" s="24">
        <v>0.27348936829913695</v>
      </c>
      <c r="I282" s="53">
        <v>1934.7135301910869</v>
      </c>
      <c r="J282" s="53">
        <v>4627.492214712227</v>
      </c>
      <c r="K282" s="24">
        <v>0.6996068087698607</v>
      </c>
      <c r="L282" s="24">
        <v>0.85836874288813669</v>
      </c>
      <c r="M282" s="24">
        <v>0.91837442956572191</v>
      </c>
      <c r="O282" s="53">
        <v>3.9970349531516405</v>
      </c>
      <c r="P282" s="54">
        <v>21975.524762456003</v>
      </c>
      <c r="Q282" s="54">
        <v>4.2326416182353563</v>
      </c>
      <c r="R282" s="54">
        <v>39752.421819140611</v>
      </c>
      <c r="S282" s="54">
        <v>0.23560666508371586</v>
      </c>
      <c r="T282" s="54">
        <v>17776.897056684607</v>
      </c>
      <c r="V282" s="69">
        <f t="shared" si="26"/>
        <v>777431.46586787212</v>
      </c>
      <c r="W282" s="69">
        <f t="shared" si="27"/>
        <v>806775.90182793071</v>
      </c>
      <c r="X282" s="69">
        <f t="shared" si="24"/>
        <v>29344.435960058563</v>
      </c>
      <c r="Z282" s="68">
        <f t="shared" si="28"/>
        <v>0</v>
      </c>
      <c r="AA282" s="68">
        <f t="shared" si="29"/>
        <v>1</v>
      </c>
      <c r="AB282" s="68">
        <f t="shared" si="25"/>
        <v>1</v>
      </c>
    </row>
    <row r="283" spans="1:28" x14ac:dyDescent="0.25">
      <c r="A283">
        <v>278</v>
      </c>
      <c r="C283" s="24">
        <v>1.1616799825395344E-9</v>
      </c>
      <c r="D283" s="24">
        <v>4.5824352397391133E-3</v>
      </c>
      <c r="E283" s="24">
        <v>3.2597427824104302E-19</v>
      </c>
      <c r="F283" s="24">
        <v>1.7002931383666861E-20</v>
      </c>
      <c r="G283" s="24">
        <v>0.53337616407287169</v>
      </c>
      <c r="H283" s="24">
        <v>0.18920043608742854</v>
      </c>
      <c r="I283" s="53">
        <v>2062.135925560759</v>
      </c>
      <c r="J283" s="53">
        <v>4398.0749330472108</v>
      </c>
      <c r="K283" s="24">
        <v>0.73220943640417158</v>
      </c>
      <c r="L283" s="24">
        <v>0.73918075530434091</v>
      </c>
      <c r="M283" s="24">
        <v>0.88307619593135378</v>
      </c>
      <c r="O283" s="53">
        <v>3.6882791781709967</v>
      </c>
      <c r="P283" s="54">
        <v>14323.611822968722</v>
      </c>
      <c r="Q283" s="54">
        <v>3.6981539860317039</v>
      </c>
      <c r="R283" s="54">
        <v>21824.893174639503</v>
      </c>
      <c r="S283" s="54">
        <v>9.8748078607071577E-3</v>
      </c>
      <c r="T283" s="54">
        <v>7501.2813516707811</v>
      </c>
      <c r="V283" s="69">
        <f t="shared" si="26"/>
        <v>723332.22381123062</v>
      </c>
      <c r="W283" s="69">
        <f t="shared" si="27"/>
        <v>717805.90403170127</v>
      </c>
      <c r="X283" s="69">
        <f t="shared" si="24"/>
        <v>-5526.319779529349</v>
      </c>
      <c r="Z283" s="68">
        <f t="shared" si="28"/>
        <v>1</v>
      </c>
      <c r="AA283" s="68">
        <f t="shared" si="29"/>
        <v>0</v>
      </c>
      <c r="AB283" s="68">
        <f t="shared" si="25"/>
        <v>0</v>
      </c>
    </row>
    <row r="284" spans="1:28" x14ac:dyDescent="0.25">
      <c r="A284">
        <v>279</v>
      </c>
      <c r="C284" s="24">
        <v>4.1269071758256739E-6</v>
      </c>
      <c r="D284" s="24">
        <v>3.5897914548965737E-3</v>
      </c>
      <c r="E284" s="24">
        <v>1.8139046793863578E-4</v>
      </c>
      <c r="F284" s="24">
        <v>1.1709731012676512E-35</v>
      </c>
      <c r="G284" s="24">
        <v>0.48438134865592897</v>
      </c>
      <c r="H284" s="24">
        <v>0.30484915432438897</v>
      </c>
      <c r="I284" s="53">
        <v>1343.3159150194474</v>
      </c>
      <c r="J284" s="53">
        <v>3549.4711576767431</v>
      </c>
      <c r="K284" s="24">
        <v>0.53043288220496931</v>
      </c>
      <c r="L284" s="24">
        <v>0.83571605495813062</v>
      </c>
      <c r="M284" s="24">
        <v>0.83528375681274269</v>
      </c>
      <c r="O284" s="53">
        <v>3.8982377747405512</v>
      </c>
      <c r="P284" s="54">
        <v>12078.91945395248</v>
      </c>
      <c r="Q284" s="54">
        <v>4.0450446950078254</v>
      </c>
      <c r="R284" s="54">
        <v>31405.973229673225</v>
      </c>
      <c r="S284" s="54">
        <v>0.14680692026727415</v>
      </c>
      <c r="T284" s="54">
        <v>19327.053775720746</v>
      </c>
      <c r="V284" s="69">
        <f t="shared" si="26"/>
        <v>767568.63549415779</v>
      </c>
      <c r="W284" s="69">
        <f t="shared" si="27"/>
        <v>777602.96577189188</v>
      </c>
      <c r="X284" s="69">
        <f t="shared" si="24"/>
        <v>10034.330277734087</v>
      </c>
      <c r="Z284" s="68">
        <f t="shared" si="28"/>
        <v>0</v>
      </c>
      <c r="AA284" s="68">
        <f t="shared" si="29"/>
        <v>1</v>
      </c>
      <c r="AB284" s="68">
        <f t="shared" si="25"/>
        <v>1</v>
      </c>
    </row>
    <row r="285" spans="1:28" x14ac:dyDescent="0.25">
      <c r="A285">
        <v>280</v>
      </c>
      <c r="C285" s="24">
        <v>5.7297802381676144E-3</v>
      </c>
      <c r="D285" s="24">
        <v>2.2233174709406223E-3</v>
      </c>
      <c r="E285" s="24">
        <v>7.5140270300426693E-3</v>
      </c>
      <c r="F285" s="24">
        <v>7.5438733095288213E-18</v>
      </c>
      <c r="G285" s="24">
        <v>0.51522240575914346</v>
      </c>
      <c r="H285" s="24">
        <v>0.23286001878624663</v>
      </c>
      <c r="I285" s="53">
        <v>1981.0500677553407</v>
      </c>
      <c r="J285" s="53">
        <v>4367.1144919032931</v>
      </c>
      <c r="K285" s="24">
        <v>0.60747150417364193</v>
      </c>
      <c r="L285" s="24">
        <v>0.95952042269399218</v>
      </c>
      <c r="M285" s="24">
        <v>0.88359652079519158</v>
      </c>
      <c r="O285" s="53">
        <v>4.374330316666537</v>
      </c>
      <c r="P285" s="54">
        <v>14628.756911641232</v>
      </c>
      <c r="Q285" s="54">
        <v>4.6897798078712727</v>
      </c>
      <c r="R285" s="54">
        <v>30160.473769109863</v>
      </c>
      <c r="S285" s="54">
        <v>0.31544949120473564</v>
      </c>
      <c r="T285" s="54">
        <v>15531.716857468631</v>
      </c>
      <c r="V285" s="69">
        <f t="shared" si="26"/>
        <v>860237.30642166617</v>
      </c>
      <c r="W285" s="69">
        <f t="shared" si="27"/>
        <v>907795.48780514474</v>
      </c>
      <c r="X285" s="69">
        <f t="shared" si="24"/>
        <v>47558.181383478499</v>
      </c>
      <c r="Z285" s="68">
        <f t="shared" si="28"/>
        <v>0</v>
      </c>
      <c r="AA285" s="68">
        <f t="shared" si="29"/>
        <v>1</v>
      </c>
      <c r="AB285" s="68">
        <f t="shared" si="25"/>
        <v>1</v>
      </c>
    </row>
    <row r="286" spans="1:28" x14ac:dyDescent="0.25">
      <c r="A286">
        <v>281</v>
      </c>
      <c r="C286" s="24">
        <v>4.1204529862760575E-3</v>
      </c>
      <c r="D286" s="24">
        <v>8.8384382992777271E-4</v>
      </c>
      <c r="E286" s="24">
        <v>2.9358278326264609E-24</v>
      </c>
      <c r="F286" s="24">
        <v>1.0547118733938987E-14</v>
      </c>
      <c r="G286" s="24">
        <v>0.52331247273704562</v>
      </c>
      <c r="H286" s="24">
        <v>0.23159978540279735</v>
      </c>
      <c r="I286" s="53">
        <v>1883.243348117463</v>
      </c>
      <c r="J286" s="53">
        <v>6468.3028674448451</v>
      </c>
      <c r="K286" s="24">
        <v>0.68074270257084668</v>
      </c>
      <c r="L286" s="24">
        <v>0.93171898217052362</v>
      </c>
      <c r="M286" s="24">
        <v>0.82848079915393325</v>
      </c>
      <c r="O286" s="53">
        <v>4.3903633479349136</v>
      </c>
      <c r="P286" s="54">
        <v>11524.865197078223</v>
      </c>
      <c r="Q286" s="54">
        <v>4.5824417962853952</v>
      </c>
      <c r="R286" s="54">
        <v>33190.694333712374</v>
      </c>
      <c r="S286" s="54">
        <v>0.1920784483504816</v>
      </c>
      <c r="T286" s="54">
        <v>21665.829136634151</v>
      </c>
      <c r="V286" s="69">
        <f t="shared" si="26"/>
        <v>866547.80438990449</v>
      </c>
      <c r="W286" s="69">
        <f t="shared" si="27"/>
        <v>883297.66492336674</v>
      </c>
      <c r="X286" s="69">
        <f t="shared" si="24"/>
        <v>16749.860533462168</v>
      </c>
      <c r="Z286" s="68">
        <f t="shared" si="28"/>
        <v>0</v>
      </c>
      <c r="AA286" s="68">
        <f t="shared" si="29"/>
        <v>1</v>
      </c>
      <c r="AB286" s="68">
        <f t="shared" si="25"/>
        <v>1</v>
      </c>
    </row>
    <row r="287" spans="1:28" x14ac:dyDescent="0.25">
      <c r="A287">
        <v>282</v>
      </c>
      <c r="C287" s="24">
        <v>2.8527362782659882E-4</v>
      </c>
      <c r="D287" s="24">
        <v>5.844770859015691E-3</v>
      </c>
      <c r="E287" s="24">
        <v>6.4706669635761216E-6</v>
      </c>
      <c r="F287" s="24">
        <v>9.3258734068513149E-15</v>
      </c>
      <c r="G287" s="24">
        <v>0.5574861774064136</v>
      </c>
      <c r="H287" s="24">
        <v>0.2227550572036463</v>
      </c>
      <c r="I287" s="53">
        <v>1652.096775010127</v>
      </c>
      <c r="J287" s="53">
        <v>4888.3547280163948</v>
      </c>
      <c r="K287" s="24">
        <v>0.82470887632624623</v>
      </c>
      <c r="L287" s="24">
        <v>0.93863436466931283</v>
      </c>
      <c r="M287" s="24">
        <v>0.97355094285493704</v>
      </c>
      <c r="O287" s="53">
        <v>4.5574086357526786</v>
      </c>
      <c r="P287" s="54">
        <v>15504.414693355337</v>
      </c>
      <c r="Q287" s="54">
        <v>4.6617768045678112</v>
      </c>
      <c r="R287" s="54">
        <v>36844.171355129096</v>
      </c>
      <c r="S287" s="54">
        <v>0.10436816881513256</v>
      </c>
      <c r="T287" s="54">
        <v>21339.756661773761</v>
      </c>
      <c r="V287" s="69">
        <f t="shared" si="26"/>
        <v>895977.31245718035</v>
      </c>
      <c r="W287" s="69">
        <f t="shared" si="27"/>
        <v>895511.18955843314</v>
      </c>
      <c r="X287" s="69">
        <f t="shared" si="24"/>
        <v>-466.12289874724956</v>
      </c>
      <c r="Z287" s="68">
        <f t="shared" si="28"/>
        <v>1</v>
      </c>
      <c r="AA287" s="68">
        <f t="shared" si="29"/>
        <v>0</v>
      </c>
      <c r="AB287" s="68">
        <f t="shared" si="25"/>
        <v>0</v>
      </c>
    </row>
    <row r="288" spans="1:28" x14ac:dyDescent="0.25">
      <c r="A288">
        <v>283</v>
      </c>
      <c r="C288" s="24">
        <v>5.8434915009206801E-8</v>
      </c>
      <c r="D288" s="24">
        <v>5.3885304360933306E-3</v>
      </c>
      <c r="E288" s="24">
        <v>7.3305865821993166E-9</v>
      </c>
      <c r="F288" s="24">
        <v>6.2919775134313319E-24</v>
      </c>
      <c r="G288" s="24">
        <v>0.57746815440470201</v>
      </c>
      <c r="H288" s="24">
        <v>0.2823381726570301</v>
      </c>
      <c r="I288" s="53">
        <v>1565.1901583707552</v>
      </c>
      <c r="J288" s="53">
        <v>5541.1893260802881</v>
      </c>
      <c r="K288" s="24">
        <v>0.81357116613765679</v>
      </c>
      <c r="L288" s="24">
        <v>0.9203335682246343</v>
      </c>
      <c r="M288" s="24">
        <v>0.89117170116511035</v>
      </c>
      <c r="O288" s="53">
        <v>4.4651268689226606</v>
      </c>
      <c r="P288" s="54">
        <v>17664.347711124956</v>
      </c>
      <c r="Q288" s="54">
        <v>4.5587325637073359</v>
      </c>
      <c r="R288" s="54">
        <v>38147.568636887117</v>
      </c>
      <c r="S288" s="54">
        <v>9.3605694784675286E-2</v>
      </c>
      <c r="T288" s="54">
        <v>20483.220925762162</v>
      </c>
      <c r="V288" s="69">
        <f t="shared" si="26"/>
        <v>875361.02607340715</v>
      </c>
      <c r="W288" s="69">
        <f t="shared" si="27"/>
        <v>873598.94410458009</v>
      </c>
      <c r="X288" s="69">
        <f t="shared" si="24"/>
        <v>-1762.081968827104</v>
      </c>
      <c r="Z288" s="68">
        <f t="shared" si="28"/>
        <v>1</v>
      </c>
      <c r="AA288" s="68">
        <f t="shared" si="29"/>
        <v>0</v>
      </c>
      <c r="AB288" s="68">
        <f t="shared" si="25"/>
        <v>0</v>
      </c>
    </row>
    <row r="289" spans="1:28" x14ac:dyDescent="0.25">
      <c r="A289">
        <v>284</v>
      </c>
      <c r="C289" s="24">
        <v>4.8136369921059075E-4</v>
      </c>
      <c r="D289" s="24">
        <v>1.4454731033974877E-3</v>
      </c>
      <c r="E289" s="24">
        <v>7.4028783103585738E-11</v>
      </c>
      <c r="F289" s="24">
        <v>6.6490681815896629E-27</v>
      </c>
      <c r="G289" s="24">
        <v>0.72126606108581415</v>
      </c>
      <c r="H289" s="24">
        <v>0.29785969392148426</v>
      </c>
      <c r="I289" s="53">
        <v>1737.6210958042409</v>
      </c>
      <c r="J289" s="53">
        <v>5088.6862049241981</v>
      </c>
      <c r="K289" s="24">
        <v>0.6905492219185374</v>
      </c>
      <c r="L289" s="24">
        <v>0.9547376552135054</v>
      </c>
      <c r="M289" s="24">
        <v>0.82227701916652318</v>
      </c>
      <c r="O289" s="53">
        <v>4.2228368673463708</v>
      </c>
      <c r="P289" s="54">
        <v>23661.809757581923</v>
      </c>
      <c r="Q289" s="54">
        <v>4.6606298201487286</v>
      </c>
      <c r="R289" s="54">
        <v>45852.473830761446</v>
      </c>
      <c r="S289" s="54">
        <v>0.43779295280235786</v>
      </c>
      <c r="T289" s="54">
        <v>22190.664073179523</v>
      </c>
      <c r="V289" s="69">
        <f t="shared" si="26"/>
        <v>820905.56371169223</v>
      </c>
      <c r="W289" s="69">
        <f t="shared" si="27"/>
        <v>886273.49019898428</v>
      </c>
      <c r="X289" s="69">
        <f t="shared" si="24"/>
        <v>65367.926487292047</v>
      </c>
      <c r="Z289" s="68">
        <f t="shared" si="28"/>
        <v>0</v>
      </c>
      <c r="AA289" s="68">
        <f t="shared" si="29"/>
        <v>1</v>
      </c>
      <c r="AB289" s="68">
        <f t="shared" si="25"/>
        <v>1</v>
      </c>
    </row>
    <row r="290" spans="1:28" x14ac:dyDescent="0.25">
      <c r="A290">
        <v>285</v>
      </c>
      <c r="C290" s="24">
        <v>9.3119659231663779E-19</v>
      </c>
      <c r="D290" s="24">
        <v>1.5544141104734122E-3</v>
      </c>
      <c r="E290" s="24">
        <v>6.0212612673637977E-11</v>
      </c>
      <c r="F290" s="24">
        <v>4.6948925520252041E-16</v>
      </c>
      <c r="G290" s="24">
        <v>0.53097904159861531</v>
      </c>
      <c r="H290" s="24">
        <v>0.26914642864148808</v>
      </c>
      <c r="I290" s="53">
        <v>2160.1496708077902</v>
      </c>
      <c r="J290" s="53">
        <v>5753.3533172138814</v>
      </c>
      <c r="K290" s="24">
        <v>0.79057331154451571</v>
      </c>
      <c r="L290" s="24">
        <v>0.87779710587857673</v>
      </c>
      <c r="M290" s="24">
        <v>0.94941548695393463</v>
      </c>
      <c r="O290" s="53">
        <v>4.2944071955377456</v>
      </c>
      <c r="P290" s="54">
        <v>13903.593790276966</v>
      </c>
      <c r="Q290" s="54">
        <v>4.35761517966887</v>
      </c>
      <c r="R290" s="54">
        <v>41838.957865408476</v>
      </c>
      <c r="S290" s="54">
        <v>6.3207984131124384E-2</v>
      </c>
      <c r="T290" s="54">
        <v>27935.364075131511</v>
      </c>
      <c r="V290" s="69">
        <f t="shared" si="26"/>
        <v>844977.84531727224</v>
      </c>
      <c r="W290" s="69">
        <f t="shared" si="27"/>
        <v>829684.07806836546</v>
      </c>
      <c r="X290" s="69">
        <f t="shared" si="24"/>
        <v>-15293.767248906634</v>
      </c>
      <c r="Z290" s="68">
        <f t="shared" si="28"/>
        <v>1</v>
      </c>
      <c r="AA290" s="68">
        <f t="shared" si="29"/>
        <v>0</v>
      </c>
      <c r="AB290" s="68">
        <f t="shared" si="25"/>
        <v>0</v>
      </c>
    </row>
    <row r="291" spans="1:28" x14ac:dyDescent="0.25">
      <c r="A291">
        <v>286</v>
      </c>
      <c r="C291" s="24">
        <v>5.7147183263076551E-3</v>
      </c>
      <c r="D291" s="24">
        <v>7.2899475903343588E-4</v>
      </c>
      <c r="E291" s="24">
        <v>3.7396977958792377E-8</v>
      </c>
      <c r="F291" s="24">
        <v>5.5741012519244793E-3</v>
      </c>
      <c r="G291" s="24">
        <v>0.6802790455913742</v>
      </c>
      <c r="H291" s="24">
        <v>0.32194512448453905</v>
      </c>
      <c r="I291" s="53">
        <v>1966.4484639019263</v>
      </c>
      <c r="J291" s="53">
        <v>4130.9334235474698</v>
      </c>
      <c r="K291" s="24">
        <v>0.66558588618193792</v>
      </c>
      <c r="L291" s="24">
        <v>0.76725456424226113</v>
      </c>
      <c r="M291" s="24">
        <v>0.85722768374517799</v>
      </c>
      <c r="O291" s="53">
        <v>3.6565835250418912</v>
      </c>
      <c r="P291" s="54">
        <v>18301.722807316764</v>
      </c>
      <c r="Q291" s="54">
        <v>3.7600521821050306</v>
      </c>
      <c r="R291" s="54">
        <v>51360.638159558694</v>
      </c>
      <c r="S291" s="54">
        <v>0.10346865706313935</v>
      </c>
      <c r="T291" s="54">
        <v>33058.915352241929</v>
      </c>
      <c r="V291" s="69">
        <f t="shared" si="26"/>
        <v>713014.98220106144</v>
      </c>
      <c r="W291" s="69">
        <f t="shared" si="27"/>
        <v>700649.79826144746</v>
      </c>
      <c r="X291" s="69">
        <f t="shared" si="24"/>
        <v>-12365.18393961406</v>
      </c>
      <c r="Z291" s="68">
        <f t="shared" si="28"/>
        <v>1</v>
      </c>
      <c r="AA291" s="68">
        <f t="shared" si="29"/>
        <v>0</v>
      </c>
      <c r="AB291" s="68">
        <f t="shared" si="25"/>
        <v>0</v>
      </c>
    </row>
    <row r="292" spans="1:28" x14ac:dyDescent="0.25">
      <c r="A292">
        <v>287</v>
      </c>
      <c r="C292" s="24">
        <v>2.0165503234742754E-2</v>
      </c>
      <c r="D292" s="24">
        <v>2.0326749680587531E-4</v>
      </c>
      <c r="E292" s="24">
        <v>2.4665420353685918E-15</v>
      </c>
      <c r="F292" s="24">
        <v>9.9920072216264089E-14</v>
      </c>
      <c r="G292" s="24">
        <v>0.42505286374529927</v>
      </c>
      <c r="H292" s="24">
        <v>0.22983122738996642</v>
      </c>
      <c r="I292" s="53">
        <v>2614.6084204388339</v>
      </c>
      <c r="J292" s="53">
        <v>5005.418846150872</v>
      </c>
      <c r="K292" s="24">
        <v>0.73230153615310667</v>
      </c>
      <c r="L292" s="24">
        <v>0.8590409913043866</v>
      </c>
      <c r="M292" s="24">
        <v>0.93210238747170804</v>
      </c>
      <c r="O292" s="53">
        <v>4.213752181152012</v>
      </c>
      <c r="P292" s="54">
        <v>13625.637068599255</v>
      </c>
      <c r="Q292" s="54">
        <v>4.2574987031062221</v>
      </c>
      <c r="R292" s="54">
        <v>24067.896988416931</v>
      </c>
      <c r="S292" s="54">
        <v>4.3746521954210138E-2</v>
      </c>
      <c r="T292" s="54">
        <v>10442.259919817676</v>
      </c>
      <c r="V292" s="69">
        <f t="shared" si="26"/>
        <v>829124.79916180321</v>
      </c>
      <c r="W292" s="69">
        <f t="shared" si="27"/>
        <v>827431.84363282751</v>
      </c>
      <c r="X292" s="69">
        <f t="shared" si="24"/>
        <v>-1692.9555289756481</v>
      </c>
      <c r="Z292" s="68">
        <f t="shared" si="28"/>
        <v>1</v>
      </c>
      <c r="AA292" s="68">
        <f t="shared" si="29"/>
        <v>0</v>
      </c>
      <c r="AB292" s="68">
        <f t="shared" si="25"/>
        <v>0</v>
      </c>
    </row>
    <row r="293" spans="1:28" x14ac:dyDescent="0.25">
      <c r="A293">
        <v>288</v>
      </c>
      <c r="C293" s="24">
        <v>1.8480687508624184E-10</v>
      </c>
      <c r="D293" s="24">
        <v>3.8631457793204891E-4</v>
      </c>
      <c r="E293" s="24">
        <v>4.5812842174131828E-39</v>
      </c>
      <c r="F293" s="24">
        <v>4.4408920985006262E-14</v>
      </c>
      <c r="G293" s="24">
        <v>0.72668652948840728</v>
      </c>
      <c r="H293" s="24">
        <v>0.38588602616387291</v>
      </c>
      <c r="I293" s="53">
        <v>1711.8572439736297</v>
      </c>
      <c r="J293" s="53">
        <v>6544.0524608239039</v>
      </c>
      <c r="K293" s="24">
        <v>0.60233012503159356</v>
      </c>
      <c r="L293" s="24">
        <v>0.73348546114978064</v>
      </c>
      <c r="M293" s="24">
        <v>0.73067617671646123</v>
      </c>
      <c r="O293" s="53">
        <v>3.3893766990866347</v>
      </c>
      <c r="P293" s="54">
        <v>19271.517253640453</v>
      </c>
      <c r="Q293" s="54">
        <v>3.5857116770433803</v>
      </c>
      <c r="R293" s="54">
        <v>43761.069684596878</v>
      </c>
      <c r="S293" s="54">
        <v>0.19633497795674559</v>
      </c>
      <c r="T293" s="54">
        <v>24489.552430956424</v>
      </c>
      <c r="V293" s="69">
        <f t="shared" si="26"/>
        <v>658603.82256368652</v>
      </c>
      <c r="W293" s="69">
        <f t="shared" si="27"/>
        <v>673381.26572407922</v>
      </c>
      <c r="X293" s="69">
        <f t="shared" si="24"/>
        <v>14777.443160392697</v>
      </c>
      <c r="Z293" s="68">
        <f t="shared" si="28"/>
        <v>0</v>
      </c>
      <c r="AA293" s="68">
        <f t="shared" si="29"/>
        <v>1</v>
      </c>
      <c r="AB293" s="68">
        <f t="shared" si="25"/>
        <v>1</v>
      </c>
    </row>
    <row r="294" spans="1:28" x14ac:dyDescent="0.25">
      <c r="A294">
        <v>289</v>
      </c>
      <c r="C294" s="24">
        <v>7.3243902188102616E-5</v>
      </c>
      <c r="D294" s="24">
        <v>8.3862990942830118E-3</v>
      </c>
      <c r="E294" s="24">
        <v>1.861732989993925E-12</v>
      </c>
      <c r="F294" s="24">
        <v>8.6046219219721462E-34</v>
      </c>
      <c r="G294" s="24">
        <v>0.45380315051060816</v>
      </c>
      <c r="H294" s="24">
        <v>0.30663573644740438</v>
      </c>
      <c r="I294" s="53">
        <v>1887.1642646452185</v>
      </c>
      <c r="J294" s="53">
        <v>5689.6737725309913</v>
      </c>
      <c r="K294" s="24">
        <v>0.63317652632309085</v>
      </c>
      <c r="L294" s="24">
        <v>0.86906513240110805</v>
      </c>
      <c r="M294" s="24">
        <v>0.90652760154859358</v>
      </c>
      <c r="O294" s="53">
        <v>4.1531325055255399</v>
      </c>
      <c r="P294" s="54">
        <v>11592.725950142203</v>
      </c>
      <c r="Q294" s="54">
        <v>4.2433540119525075</v>
      </c>
      <c r="R294" s="54">
        <v>49589.799904214713</v>
      </c>
      <c r="S294" s="54">
        <v>9.0221506426967579E-2</v>
      </c>
      <c r="T294" s="54">
        <v>37997.073954072512</v>
      </c>
      <c r="V294" s="69">
        <f t="shared" si="26"/>
        <v>819033.7751549657</v>
      </c>
      <c r="W294" s="69">
        <f t="shared" si="27"/>
        <v>799081.0024862868</v>
      </c>
      <c r="X294" s="69">
        <f t="shared" si="24"/>
        <v>-19952.772668678997</v>
      </c>
      <c r="Z294" s="68">
        <f t="shared" si="28"/>
        <v>1</v>
      </c>
      <c r="AA294" s="68">
        <f t="shared" si="29"/>
        <v>0</v>
      </c>
      <c r="AB294" s="68">
        <f t="shared" si="25"/>
        <v>0</v>
      </c>
    </row>
    <row r="295" spans="1:28" x14ac:dyDescent="0.25">
      <c r="A295">
        <v>290</v>
      </c>
      <c r="C295" s="24">
        <v>2.4838430996635106E-6</v>
      </c>
      <c r="D295" s="24">
        <v>1.2617963819948387E-5</v>
      </c>
      <c r="E295" s="24">
        <v>1.9756212062749245E-3</v>
      </c>
      <c r="F295" s="24">
        <v>6.9675218049569665E-6</v>
      </c>
      <c r="G295" s="24">
        <v>0.62567777408386516</v>
      </c>
      <c r="H295" s="24">
        <v>0.36827862593789795</v>
      </c>
      <c r="I295" s="53">
        <v>1791.7907704321076</v>
      </c>
      <c r="J295" s="53">
        <v>5174.963252408128</v>
      </c>
      <c r="K295" s="24">
        <v>0.51386442723736403</v>
      </c>
      <c r="L295" s="24">
        <v>0.96106009896862954</v>
      </c>
      <c r="M295" s="24">
        <v>0.86941191960599273</v>
      </c>
      <c r="O295" s="53">
        <v>4.1117898406221753</v>
      </c>
      <c r="P295" s="54">
        <v>18770.045604082574</v>
      </c>
      <c r="Q295" s="54">
        <v>4.5463072001616904</v>
      </c>
      <c r="R295" s="54">
        <v>40186.593592047902</v>
      </c>
      <c r="S295" s="54">
        <v>0.43451735953951509</v>
      </c>
      <c r="T295" s="54">
        <v>21416.547987965329</v>
      </c>
      <c r="V295" s="69">
        <f t="shared" si="26"/>
        <v>803587.92252035253</v>
      </c>
      <c r="W295" s="69">
        <f t="shared" si="27"/>
        <v>869074.84644029022</v>
      </c>
      <c r="X295" s="69">
        <f t="shared" si="24"/>
        <v>65486.92391993769</v>
      </c>
      <c r="Z295" s="68">
        <f t="shared" si="28"/>
        <v>0</v>
      </c>
      <c r="AA295" s="68">
        <f t="shared" si="29"/>
        <v>1</v>
      </c>
      <c r="AB295" s="68">
        <f t="shared" si="25"/>
        <v>1</v>
      </c>
    </row>
    <row r="296" spans="1:28" x14ac:dyDescent="0.25">
      <c r="A296">
        <v>291</v>
      </c>
      <c r="C296" s="24">
        <v>3.7480837853686009E-6</v>
      </c>
      <c r="D296" s="24">
        <v>7.6072109416218045E-4</v>
      </c>
      <c r="E296" s="24">
        <v>1.1897652905976704E-41</v>
      </c>
      <c r="F296" s="24">
        <v>1.0498793160553799E-3</v>
      </c>
      <c r="G296" s="24">
        <v>0.54066577635341417</v>
      </c>
      <c r="H296" s="24">
        <v>0.336842097842734</v>
      </c>
      <c r="I296" s="53">
        <v>2006.1024004517701</v>
      </c>
      <c r="J296" s="53">
        <v>6156.2978705136247</v>
      </c>
      <c r="K296" s="24">
        <v>0.62182731783247303</v>
      </c>
      <c r="L296" s="24">
        <v>0.98474353850753604</v>
      </c>
      <c r="M296" s="24">
        <v>0.91327234127989509</v>
      </c>
      <c r="O296" s="53">
        <v>4.516275438398222</v>
      </c>
      <c r="P296" s="54">
        <v>18524.643691980058</v>
      </c>
      <c r="Q296" s="54">
        <v>4.7328036515151375</v>
      </c>
      <c r="R296" s="54">
        <v>66845.29210172742</v>
      </c>
      <c r="S296" s="54">
        <v>0.2165282131169155</v>
      </c>
      <c r="T296" s="54">
        <v>48320.648409747359</v>
      </c>
      <c r="V296" s="69">
        <f t="shared" si="26"/>
        <v>884730.4439876643</v>
      </c>
      <c r="W296" s="69">
        <f t="shared" si="27"/>
        <v>879715.4382013001</v>
      </c>
      <c r="X296" s="69">
        <f t="shared" si="24"/>
        <v>-5015.0057863642578</v>
      </c>
      <c r="Z296" s="68">
        <f t="shared" si="28"/>
        <v>1</v>
      </c>
      <c r="AA296" s="68">
        <f t="shared" si="29"/>
        <v>0</v>
      </c>
      <c r="AB296" s="68">
        <f t="shared" si="25"/>
        <v>0</v>
      </c>
    </row>
    <row r="297" spans="1:28" x14ac:dyDescent="0.25">
      <c r="A297">
        <v>292</v>
      </c>
      <c r="C297" s="24">
        <v>2.6301209482740957E-7</v>
      </c>
      <c r="D297" s="24">
        <v>3.3422650760667194E-3</v>
      </c>
      <c r="E297" s="24">
        <v>7.734076371239894E-15</v>
      </c>
      <c r="F297" s="24">
        <v>3.0037030114582182E-136</v>
      </c>
      <c r="G297" s="24">
        <v>0.69620664219802553</v>
      </c>
      <c r="H297" s="24">
        <v>0.27248451792184525</v>
      </c>
      <c r="I297" s="53">
        <v>1748.7660560325787</v>
      </c>
      <c r="J297" s="53">
        <v>7281.3603566172205</v>
      </c>
      <c r="K297" s="24">
        <v>0.69195376360324601</v>
      </c>
      <c r="L297" s="24">
        <v>0.88893907090331847</v>
      </c>
      <c r="M297" s="24">
        <v>0.9020890630506494</v>
      </c>
      <c r="O297" s="53">
        <v>4.0671007373188317</v>
      </c>
      <c r="P297" s="54">
        <v>17676.767859763197</v>
      </c>
      <c r="Q297" s="54">
        <v>4.3713065361953678</v>
      </c>
      <c r="R297" s="54">
        <v>46240.282398222022</v>
      </c>
      <c r="S297" s="54">
        <v>0.30420579887653609</v>
      </c>
      <c r="T297" s="54">
        <v>28563.514538458825</v>
      </c>
      <c r="V297" s="69">
        <f t="shared" si="26"/>
        <v>795743.37960400316</v>
      </c>
      <c r="W297" s="69">
        <f t="shared" si="27"/>
        <v>828021.02484085155</v>
      </c>
      <c r="X297" s="69">
        <f t="shared" si="24"/>
        <v>32277.645236848395</v>
      </c>
      <c r="Z297" s="68">
        <f t="shared" si="28"/>
        <v>0</v>
      </c>
      <c r="AA297" s="68">
        <f t="shared" si="29"/>
        <v>1</v>
      </c>
      <c r="AB297" s="68">
        <f t="shared" si="25"/>
        <v>1</v>
      </c>
    </row>
    <row r="298" spans="1:28" x14ac:dyDescent="0.25">
      <c r="A298">
        <v>293</v>
      </c>
      <c r="C298" s="24">
        <v>4.088184815963162E-7</v>
      </c>
      <c r="D298" s="24">
        <v>4.5037243002035211E-5</v>
      </c>
      <c r="E298" s="24">
        <v>6.0752827752537849E-54</v>
      </c>
      <c r="F298" s="24">
        <v>3.1275487770504074E-41</v>
      </c>
      <c r="G298" s="24">
        <v>0.50969086583545131</v>
      </c>
      <c r="H298" s="24">
        <v>0.31684010537239571</v>
      </c>
      <c r="I298" s="53">
        <v>2142.1739949172847</v>
      </c>
      <c r="J298" s="53">
        <v>4708.0958872515412</v>
      </c>
      <c r="K298" s="24">
        <v>0.55285211791573929</v>
      </c>
      <c r="L298" s="24">
        <v>0.86719540544063278</v>
      </c>
      <c r="M298" s="24">
        <v>0.87843569290530132</v>
      </c>
      <c r="O298" s="53">
        <v>4.0204481406871553</v>
      </c>
      <c r="P298" s="54">
        <v>11421.334884663034</v>
      </c>
      <c r="Q298" s="54">
        <v>4.1906578261725587</v>
      </c>
      <c r="R298" s="54">
        <v>36057.741985880792</v>
      </c>
      <c r="S298" s="54">
        <v>0.17020968548540338</v>
      </c>
      <c r="T298" s="54">
        <v>24636.407101217759</v>
      </c>
      <c r="V298" s="69">
        <f t="shared" si="26"/>
        <v>792668.29325276811</v>
      </c>
      <c r="W298" s="69">
        <f t="shared" si="27"/>
        <v>802073.82324863097</v>
      </c>
      <c r="X298" s="69">
        <f t="shared" si="24"/>
        <v>9405.5299958629184</v>
      </c>
      <c r="Z298" s="68">
        <f t="shared" si="28"/>
        <v>0</v>
      </c>
      <c r="AA298" s="68">
        <f t="shared" si="29"/>
        <v>1</v>
      </c>
      <c r="AB298" s="68">
        <f t="shared" si="25"/>
        <v>1</v>
      </c>
    </row>
    <row r="299" spans="1:28" x14ac:dyDescent="0.25">
      <c r="A299">
        <v>294</v>
      </c>
      <c r="C299" s="24">
        <v>3.7172898674458609E-5</v>
      </c>
      <c r="D299" s="24">
        <v>6.7591107535483106E-4</v>
      </c>
      <c r="E299" s="24">
        <v>5.2435833453046143E-13</v>
      </c>
      <c r="F299" s="24">
        <v>2.3678900434864758E-6</v>
      </c>
      <c r="G299" s="24">
        <v>0.60027950096281579</v>
      </c>
      <c r="H299" s="24">
        <v>0.21456890047396404</v>
      </c>
      <c r="I299" s="53">
        <v>1875.2680815378021</v>
      </c>
      <c r="J299" s="53">
        <v>5581.7657704565681</v>
      </c>
      <c r="K299" s="24">
        <v>0.77436099306492023</v>
      </c>
      <c r="L299" s="24">
        <v>0.96285025625096121</v>
      </c>
      <c r="M299" s="24">
        <v>0.81591202374577576</v>
      </c>
      <c r="O299" s="53">
        <v>4.5532008101282262</v>
      </c>
      <c r="P299" s="54">
        <v>18551.887482166145</v>
      </c>
      <c r="Q299" s="54">
        <v>4.7621706051506969</v>
      </c>
      <c r="R299" s="54">
        <v>24645.203626980161</v>
      </c>
      <c r="S299" s="54">
        <v>0.20896979502247071</v>
      </c>
      <c r="T299" s="54">
        <v>6093.3161448140163</v>
      </c>
      <c r="V299" s="69">
        <f t="shared" si="26"/>
        <v>892088.27454347908</v>
      </c>
      <c r="W299" s="69">
        <f t="shared" si="27"/>
        <v>927788.9174031592</v>
      </c>
      <c r="X299" s="69">
        <f t="shared" si="24"/>
        <v>35700.642859680127</v>
      </c>
      <c r="Z299" s="68">
        <f t="shared" si="28"/>
        <v>0</v>
      </c>
      <c r="AA299" s="68">
        <f t="shared" si="29"/>
        <v>1</v>
      </c>
      <c r="AB299" s="68">
        <f t="shared" si="25"/>
        <v>1</v>
      </c>
    </row>
    <row r="300" spans="1:28" x14ac:dyDescent="0.25">
      <c r="A300">
        <v>295</v>
      </c>
      <c r="C300" s="24">
        <v>2.1516369962978213E-5</v>
      </c>
      <c r="D300" s="24">
        <v>2.4118003685427158E-3</v>
      </c>
      <c r="E300" s="24">
        <v>3.0201700327717351E-16</v>
      </c>
      <c r="F300" s="24">
        <v>2.0194571375033891E-26</v>
      </c>
      <c r="G300" s="24">
        <v>0.60286698626563306</v>
      </c>
      <c r="H300" s="24">
        <v>0.27459452630084358</v>
      </c>
      <c r="I300" s="53">
        <v>2096.2329789895389</v>
      </c>
      <c r="J300" s="53">
        <v>4271.2078771066272</v>
      </c>
      <c r="K300" s="24">
        <v>0.56067507580911413</v>
      </c>
      <c r="L300" s="24">
        <v>0.86086402571732934</v>
      </c>
      <c r="M300" s="24">
        <v>0.92103175232451817</v>
      </c>
      <c r="O300" s="53">
        <v>3.8849206944335291</v>
      </c>
      <c r="P300" s="54">
        <v>20410.342327046688</v>
      </c>
      <c r="Q300" s="54">
        <v>4.191788809973465</v>
      </c>
      <c r="R300" s="54">
        <v>30272.039346716279</v>
      </c>
      <c r="S300" s="54">
        <v>0.30686811553993598</v>
      </c>
      <c r="T300" s="54">
        <v>9861.6970196695911</v>
      </c>
      <c r="V300" s="69">
        <f t="shared" si="26"/>
        <v>756573.79655965918</v>
      </c>
      <c r="W300" s="69">
        <f t="shared" si="27"/>
        <v>808085.72264797671</v>
      </c>
      <c r="X300" s="69">
        <f t="shared" si="24"/>
        <v>51511.926088317603</v>
      </c>
      <c r="Z300" s="68">
        <f t="shared" si="28"/>
        <v>0</v>
      </c>
      <c r="AA300" s="68">
        <f t="shared" si="29"/>
        <v>1</v>
      </c>
      <c r="AB300" s="68">
        <f t="shared" si="25"/>
        <v>1</v>
      </c>
    </row>
    <row r="301" spans="1:28" x14ac:dyDescent="0.25">
      <c r="A301">
        <v>296</v>
      </c>
      <c r="C301" s="24">
        <v>7.6748832438608972E-3</v>
      </c>
      <c r="D301" s="24">
        <v>3.2578116032710991E-3</v>
      </c>
      <c r="E301" s="24">
        <v>6.6829010248876392E-38</v>
      </c>
      <c r="F301" s="24">
        <v>1.9992896227449819E-12</v>
      </c>
      <c r="G301" s="24">
        <v>0.57937573767323258</v>
      </c>
      <c r="H301" s="24">
        <v>0.3233058977437091</v>
      </c>
      <c r="I301" s="53">
        <v>2019.963903474513</v>
      </c>
      <c r="J301" s="53">
        <v>5926.3907404858046</v>
      </c>
      <c r="K301" s="24">
        <v>0.6242835459588425</v>
      </c>
      <c r="L301" s="24">
        <v>0.88942267476725467</v>
      </c>
      <c r="M301" s="24">
        <v>0.82665665484257778</v>
      </c>
      <c r="O301" s="53">
        <v>4.1014959354117675</v>
      </c>
      <c r="P301" s="54">
        <v>14855.631925165715</v>
      </c>
      <c r="Q301" s="54">
        <v>4.3195176203889858</v>
      </c>
      <c r="R301" s="54">
        <v>47739.393360141155</v>
      </c>
      <c r="S301" s="54">
        <v>0.2180216849772183</v>
      </c>
      <c r="T301" s="54">
        <v>32883.761434975444</v>
      </c>
      <c r="V301" s="69">
        <f t="shared" si="26"/>
        <v>805443.55515718774</v>
      </c>
      <c r="W301" s="69">
        <f t="shared" si="27"/>
        <v>816164.13071765599</v>
      </c>
      <c r="X301" s="69">
        <f t="shared" si="24"/>
        <v>10720.575560468213</v>
      </c>
      <c r="Z301" s="68">
        <f t="shared" si="28"/>
        <v>0</v>
      </c>
      <c r="AA301" s="68">
        <f t="shared" si="29"/>
        <v>1</v>
      </c>
      <c r="AB301" s="68">
        <f t="shared" si="25"/>
        <v>1</v>
      </c>
    </row>
    <row r="302" spans="1:28" x14ac:dyDescent="0.25">
      <c r="A302">
        <v>297</v>
      </c>
      <c r="C302" s="24">
        <v>2.4513378780212314E-2</v>
      </c>
      <c r="D302" s="24">
        <v>3.9641787187849652E-4</v>
      </c>
      <c r="E302" s="24">
        <v>1.2774058564469459E-22</v>
      </c>
      <c r="F302" s="24">
        <v>3.9414184434611368E-16</v>
      </c>
      <c r="G302" s="24">
        <v>0.6129477527583076</v>
      </c>
      <c r="H302" s="24">
        <v>0.24121945608109496</v>
      </c>
      <c r="I302" s="53">
        <v>1887.0558054415983</v>
      </c>
      <c r="J302" s="53">
        <v>5672.6443507802105</v>
      </c>
      <c r="K302" s="24">
        <v>0.67374618590997515</v>
      </c>
      <c r="L302" s="24">
        <v>0.83755003966965769</v>
      </c>
      <c r="M302" s="24">
        <v>0.75659494327084154</v>
      </c>
      <c r="O302" s="53">
        <v>3.9325703438827477</v>
      </c>
      <c r="P302" s="54">
        <v>24001.493331839414</v>
      </c>
      <c r="Q302" s="54">
        <v>4.1355207714580189</v>
      </c>
      <c r="R302" s="54">
        <v>33393.548201949758</v>
      </c>
      <c r="S302" s="54">
        <v>0.20295042757527115</v>
      </c>
      <c r="T302" s="54">
        <v>9392.0548701103435</v>
      </c>
      <c r="V302" s="69">
        <f t="shared" si="26"/>
        <v>762512.57544471009</v>
      </c>
      <c r="W302" s="69">
        <f t="shared" si="27"/>
        <v>793710.60608965403</v>
      </c>
      <c r="X302" s="69">
        <f t="shared" si="24"/>
        <v>31198.03064494389</v>
      </c>
      <c r="Z302" s="68">
        <f t="shared" si="28"/>
        <v>0</v>
      </c>
      <c r="AA302" s="68">
        <f t="shared" si="29"/>
        <v>1</v>
      </c>
      <c r="AB302" s="68">
        <f t="shared" si="25"/>
        <v>1</v>
      </c>
    </row>
    <row r="303" spans="1:28" x14ac:dyDescent="0.25">
      <c r="A303">
        <v>298</v>
      </c>
      <c r="C303" s="24">
        <v>1.2051266255390733E-7</v>
      </c>
      <c r="D303" s="24">
        <v>3.3165424730702275E-3</v>
      </c>
      <c r="E303" s="24">
        <v>1.230099134950364E-33</v>
      </c>
      <c r="F303" s="24">
        <v>8.0298054999328825E-28</v>
      </c>
      <c r="G303" s="24">
        <v>0.62737980686226069</v>
      </c>
      <c r="H303" s="24">
        <v>0.22177074475094571</v>
      </c>
      <c r="I303" s="53">
        <v>2104.1209326955313</v>
      </c>
      <c r="J303" s="53">
        <v>5946.4389365527004</v>
      </c>
      <c r="K303" s="24">
        <v>0.82395813287649644</v>
      </c>
      <c r="L303" s="24">
        <v>0.95015258495058386</v>
      </c>
      <c r="M303" s="24">
        <v>0.92941027379008667</v>
      </c>
      <c r="O303" s="53">
        <v>4.5589413386736686</v>
      </c>
      <c r="P303" s="54">
        <v>20131.540364198307</v>
      </c>
      <c r="Q303" s="54">
        <v>4.714403979079683</v>
      </c>
      <c r="R303" s="54">
        <v>30904.969961285329</v>
      </c>
      <c r="S303" s="54">
        <v>0.15546264040601443</v>
      </c>
      <c r="T303" s="54">
        <v>10773.429597087023</v>
      </c>
      <c r="V303" s="69">
        <f t="shared" si="26"/>
        <v>891656.72737053549</v>
      </c>
      <c r="W303" s="69">
        <f t="shared" si="27"/>
        <v>911975.82585465128</v>
      </c>
      <c r="X303" s="69">
        <f t="shared" si="24"/>
        <v>20319.098484115864</v>
      </c>
      <c r="Z303" s="68">
        <f t="shared" si="28"/>
        <v>0</v>
      </c>
      <c r="AA303" s="68">
        <f t="shared" si="29"/>
        <v>1</v>
      </c>
      <c r="AB303" s="68">
        <f t="shared" si="25"/>
        <v>1</v>
      </c>
    </row>
    <row r="304" spans="1:28" x14ac:dyDescent="0.25">
      <c r="A304">
        <v>299</v>
      </c>
      <c r="C304" s="24">
        <v>5.0410417490214243E-3</v>
      </c>
      <c r="D304" s="24">
        <v>4.1003142461414344E-3</v>
      </c>
      <c r="E304" s="24">
        <v>2.2947099414305505E-5</v>
      </c>
      <c r="F304" s="24">
        <v>1.0464952977883302E-3</v>
      </c>
      <c r="G304" s="24">
        <v>0.51678667394177402</v>
      </c>
      <c r="H304" s="24">
        <v>0.20576945236805488</v>
      </c>
      <c r="I304" s="53">
        <v>2138.681466516136</v>
      </c>
      <c r="J304" s="53">
        <v>4052.8083461015381</v>
      </c>
      <c r="K304" s="24">
        <v>0.6705190169252806</v>
      </c>
      <c r="L304" s="24">
        <v>0.93114734555651768</v>
      </c>
      <c r="M304" s="24">
        <v>0.80807677382031429</v>
      </c>
      <c r="O304" s="53">
        <v>4.3820017660858914</v>
      </c>
      <c r="P304" s="54">
        <v>13470.547898314102</v>
      </c>
      <c r="Q304" s="54">
        <v>4.579408946959636</v>
      </c>
      <c r="R304" s="54">
        <v>34146.42107239645</v>
      </c>
      <c r="S304" s="54">
        <v>0.19740718087374454</v>
      </c>
      <c r="T304" s="54">
        <v>20675.87317408235</v>
      </c>
      <c r="V304" s="69">
        <f t="shared" si="26"/>
        <v>862929.80531886418</v>
      </c>
      <c r="W304" s="69">
        <f t="shared" si="27"/>
        <v>881735.36831953074</v>
      </c>
      <c r="X304" s="69">
        <f t="shared" si="24"/>
        <v>18805.56300066656</v>
      </c>
      <c r="Z304" s="68">
        <f t="shared" si="28"/>
        <v>0</v>
      </c>
      <c r="AA304" s="68">
        <f t="shared" si="29"/>
        <v>1</v>
      </c>
      <c r="AB304" s="68">
        <f t="shared" si="25"/>
        <v>1</v>
      </c>
    </row>
    <row r="305" spans="1:28" x14ac:dyDescent="0.25">
      <c r="A305">
        <v>300</v>
      </c>
      <c r="C305" s="24">
        <v>1.3369077803068175E-3</v>
      </c>
      <c r="D305" s="24">
        <v>6.6067850099201214E-4</v>
      </c>
      <c r="E305" s="24">
        <v>1.7662501947553301E-29</v>
      </c>
      <c r="F305" s="24">
        <v>5.1058953966757272E-18</v>
      </c>
      <c r="G305" s="24">
        <v>0.46520461064315455</v>
      </c>
      <c r="H305" s="24">
        <v>0.19363586723489112</v>
      </c>
      <c r="I305" s="53">
        <v>1920.6165329556277</v>
      </c>
      <c r="J305" s="53">
        <v>4445.7189364188962</v>
      </c>
      <c r="K305" s="24">
        <v>0.570237182187876</v>
      </c>
      <c r="L305" s="24">
        <v>0.67033958152701056</v>
      </c>
      <c r="M305" s="24">
        <v>0.858945828961314</v>
      </c>
      <c r="O305" s="53">
        <v>3.2684749033881944</v>
      </c>
      <c r="P305" s="54">
        <v>13989.99208301102</v>
      </c>
      <c r="Q305" s="54">
        <v>3.3284019652962087</v>
      </c>
      <c r="R305" s="54">
        <v>27204.892497461209</v>
      </c>
      <c r="S305" s="54">
        <v>5.9927061908014334E-2</v>
      </c>
      <c r="T305" s="54">
        <v>13214.900414450189</v>
      </c>
      <c r="V305" s="69">
        <f t="shared" si="26"/>
        <v>639704.98859462794</v>
      </c>
      <c r="W305" s="69">
        <f t="shared" si="27"/>
        <v>638475.50056178053</v>
      </c>
      <c r="X305" s="69">
        <f t="shared" si="24"/>
        <v>-1229.4880328473228</v>
      </c>
      <c r="Z305" s="68">
        <f t="shared" si="28"/>
        <v>1</v>
      </c>
      <c r="AA305" s="68">
        <f t="shared" si="29"/>
        <v>0</v>
      </c>
      <c r="AB305" s="68">
        <f t="shared" si="25"/>
        <v>0</v>
      </c>
    </row>
    <row r="306" spans="1:28" x14ac:dyDescent="0.25">
      <c r="A306">
        <v>301</v>
      </c>
      <c r="C306" s="24">
        <v>1.691821862357834E-3</v>
      </c>
      <c r="D306" s="24">
        <v>4.2804012725328032E-4</v>
      </c>
      <c r="E306" s="24">
        <v>7.5563010355296131E-26</v>
      </c>
      <c r="F306" s="24">
        <v>6.361577931102147E-14</v>
      </c>
      <c r="G306" s="24">
        <v>0.52951433451062802</v>
      </c>
      <c r="H306" s="24">
        <v>0.26464019408406492</v>
      </c>
      <c r="I306" s="53">
        <v>2091.9030755557237</v>
      </c>
      <c r="J306" s="53">
        <v>6369.3011635176772</v>
      </c>
      <c r="K306" s="24">
        <v>0.55728771884750083</v>
      </c>
      <c r="L306" s="24">
        <v>0.98904346624153683</v>
      </c>
      <c r="M306" s="24">
        <v>0.75412139615552853</v>
      </c>
      <c r="O306" s="53">
        <v>4.4762077133204849</v>
      </c>
      <c r="P306" s="54">
        <v>17813.453074653582</v>
      </c>
      <c r="Q306" s="54">
        <v>4.7894048264068951</v>
      </c>
      <c r="R306" s="54">
        <v>30276.6709465024</v>
      </c>
      <c r="S306" s="54">
        <v>0.31319711308641018</v>
      </c>
      <c r="T306" s="54">
        <v>12463.217871848818</v>
      </c>
      <c r="V306" s="69">
        <f t="shared" si="26"/>
        <v>877428.08958944341</v>
      </c>
      <c r="W306" s="69">
        <f t="shared" si="27"/>
        <v>927604.2943348767</v>
      </c>
      <c r="X306" s="69">
        <f t="shared" si="24"/>
        <v>50176.204745433221</v>
      </c>
      <c r="Z306" s="68">
        <f t="shared" si="28"/>
        <v>0</v>
      </c>
      <c r="AA306" s="68">
        <f t="shared" si="29"/>
        <v>1</v>
      </c>
      <c r="AB306" s="68">
        <f t="shared" si="25"/>
        <v>1</v>
      </c>
    </row>
    <row r="307" spans="1:28" x14ac:dyDescent="0.25">
      <c r="A307">
        <v>302</v>
      </c>
      <c r="C307" s="24">
        <v>9.7105498563974872E-7</v>
      </c>
      <c r="D307" s="24">
        <v>1.3442355075041768E-3</v>
      </c>
      <c r="E307" s="24">
        <v>1.4931053926145488E-28</v>
      </c>
      <c r="F307" s="24">
        <v>6.2380889242092952E-3</v>
      </c>
      <c r="G307" s="24">
        <v>0.61183841240950665</v>
      </c>
      <c r="H307" s="24">
        <v>0.23109954644252806</v>
      </c>
      <c r="I307" s="53">
        <v>1992.5044302417389</v>
      </c>
      <c r="J307" s="53">
        <v>5094.1822892375667</v>
      </c>
      <c r="K307" s="24">
        <v>0.58047702806355306</v>
      </c>
      <c r="L307" s="24">
        <v>0.80579900114440428</v>
      </c>
      <c r="M307" s="24">
        <v>0.84663707721144987</v>
      </c>
      <c r="O307" s="53">
        <v>3.7042840499285328</v>
      </c>
      <c r="P307" s="54">
        <v>16452.925524059792</v>
      </c>
      <c r="Q307" s="54">
        <v>3.9309291065105181</v>
      </c>
      <c r="R307" s="54">
        <v>33839.153551662377</v>
      </c>
      <c r="S307" s="54">
        <v>0.2266450565819853</v>
      </c>
      <c r="T307" s="54">
        <v>17386.228027602585</v>
      </c>
      <c r="V307" s="69">
        <f t="shared" si="26"/>
        <v>724403.88446164678</v>
      </c>
      <c r="W307" s="69">
        <f t="shared" si="27"/>
        <v>752346.66775044124</v>
      </c>
      <c r="X307" s="69">
        <f t="shared" si="24"/>
        <v>27942.783288794475</v>
      </c>
      <c r="Z307" s="68">
        <f t="shared" si="28"/>
        <v>0</v>
      </c>
      <c r="AA307" s="68">
        <f t="shared" si="29"/>
        <v>1</v>
      </c>
      <c r="AB307" s="68">
        <f t="shared" si="25"/>
        <v>1</v>
      </c>
    </row>
    <row r="308" spans="1:28" x14ac:dyDescent="0.25">
      <c r="A308">
        <v>303</v>
      </c>
      <c r="C308" s="24">
        <v>5.5131847643419274E-4</v>
      </c>
      <c r="D308" s="24">
        <v>4.0851407911032256E-3</v>
      </c>
      <c r="E308" s="24">
        <v>4.8288657412810199E-16</v>
      </c>
      <c r="F308" s="24">
        <v>5.9303135818539831E-79</v>
      </c>
      <c r="G308" s="24">
        <v>0.51841775839277293</v>
      </c>
      <c r="H308" s="24">
        <v>0.34133191223840653</v>
      </c>
      <c r="I308" s="53">
        <v>1630.5426279431867</v>
      </c>
      <c r="J308" s="53">
        <v>5182.2233792780153</v>
      </c>
      <c r="K308" s="24">
        <v>0.56204499391333618</v>
      </c>
      <c r="L308" s="24">
        <v>0.97410629302707108</v>
      </c>
      <c r="M308" s="24">
        <v>0.78981218850196144</v>
      </c>
      <c r="O308" s="53">
        <v>4.4427259488542425</v>
      </c>
      <c r="P308" s="54">
        <v>17476.821330880757</v>
      </c>
      <c r="Q308" s="54">
        <v>4.6528588501994701</v>
      </c>
      <c r="R308" s="54">
        <v>62505.270303843405</v>
      </c>
      <c r="S308" s="54">
        <v>0.21013290134522755</v>
      </c>
      <c r="T308" s="54">
        <v>45028.448972962651</v>
      </c>
      <c r="V308" s="69">
        <f t="shared" si="26"/>
        <v>871068.36843996774</v>
      </c>
      <c r="W308" s="69">
        <f t="shared" si="27"/>
        <v>868066.49973605061</v>
      </c>
      <c r="X308" s="69">
        <f t="shared" si="24"/>
        <v>-3001.8687039171418</v>
      </c>
      <c r="Z308" s="68">
        <f t="shared" si="28"/>
        <v>1</v>
      </c>
      <c r="AA308" s="68">
        <f t="shared" si="29"/>
        <v>0</v>
      </c>
      <c r="AB308" s="68">
        <f t="shared" si="25"/>
        <v>0</v>
      </c>
    </row>
    <row r="309" spans="1:28" x14ac:dyDescent="0.25">
      <c r="A309">
        <v>304</v>
      </c>
      <c r="C309" s="24">
        <v>5.0400777854735124E-5</v>
      </c>
      <c r="D309" s="24">
        <v>3.0232641945825766E-5</v>
      </c>
      <c r="E309" s="24">
        <v>8.2116530699294536E-37</v>
      </c>
      <c r="F309" s="24">
        <v>1.2261222682392812E-66</v>
      </c>
      <c r="G309" s="24">
        <v>0.62145627593889641</v>
      </c>
      <c r="H309" s="24">
        <v>0.40164495933903555</v>
      </c>
      <c r="I309" s="53">
        <v>1966.9410031920629</v>
      </c>
      <c r="J309" s="53">
        <v>5599.8518860417753</v>
      </c>
      <c r="K309" s="24">
        <v>0.64853475069871458</v>
      </c>
      <c r="L309" s="24">
        <v>0.90087408722748008</v>
      </c>
      <c r="M309" s="24">
        <v>0.69255177365535858</v>
      </c>
      <c r="O309" s="53">
        <v>4.1284069836841946</v>
      </c>
      <c r="P309" s="54">
        <v>18225.439787526964</v>
      </c>
      <c r="Q309" s="54">
        <v>4.336712817461569</v>
      </c>
      <c r="R309" s="54">
        <v>64619.492760535773</v>
      </c>
      <c r="S309" s="54">
        <v>0.20830583377737444</v>
      </c>
      <c r="T309" s="54">
        <v>46394.052973008809</v>
      </c>
      <c r="V309" s="69">
        <f t="shared" si="26"/>
        <v>807455.95694931189</v>
      </c>
      <c r="W309" s="69">
        <f t="shared" si="27"/>
        <v>802723.07073177805</v>
      </c>
      <c r="X309" s="69">
        <f t="shared" si="24"/>
        <v>-4732.8862175339236</v>
      </c>
      <c r="Z309" s="68">
        <f t="shared" si="28"/>
        <v>1</v>
      </c>
      <c r="AA309" s="68">
        <f t="shared" si="29"/>
        <v>0</v>
      </c>
      <c r="AB309" s="68">
        <f t="shared" si="25"/>
        <v>0</v>
      </c>
    </row>
    <row r="310" spans="1:28" x14ac:dyDescent="0.25">
      <c r="A310">
        <v>305</v>
      </c>
      <c r="C310" s="24">
        <v>8.7627477066841819E-2</v>
      </c>
      <c r="D310" s="24">
        <v>2.2173289121175666E-3</v>
      </c>
      <c r="E310" s="24">
        <v>4.0166243664430112E-9</v>
      </c>
      <c r="F310" s="24">
        <v>4.9534524794705133E-22</v>
      </c>
      <c r="G310" s="24">
        <v>0.43459479541295076</v>
      </c>
      <c r="H310" s="24">
        <v>0.20685321276044744</v>
      </c>
      <c r="I310" s="53">
        <v>2369.8749141983926</v>
      </c>
      <c r="J310" s="53">
        <v>3969.7857516860317</v>
      </c>
      <c r="K310" s="24">
        <v>0.71995254908671336</v>
      </c>
      <c r="L310" s="24">
        <v>0.89997903660091039</v>
      </c>
      <c r="M310" s="24">
        <v>0.90323933255358757</v>
      </c>
      <c r="O310" s="53">
        <v>4.3658083895273592</v>
      </c>
      <c r="P310" s="54">
        <v>13929.055003408408</v>
      </c>
      <c r="Q310" s="54">
        <v>4.4530051320318158</v>
      </c>
      <c r="R310" s="54">
        <v>32426.590544707084</v>
      </c>
      <c r="S310" s="54">
        <v>8.7196742504456637E-2</v>
      </c>
      <c r="T310" s="54">
        <v>18497.535541298676</v>
      </c>
      <c r="V310" s="69">
        <f t="shared" si="26"/>
        <v>859232.62290206342</v>
      </c>
      <c r="W310" s="69">
        <f t="shared" si="27"/>
        <v>858174.43586165598</v>
      </c>
      <c r="X310" s="69">
        <f t="shared" si="24"/>
        <v>-1058.1870404073488</v>
      </c>
      <c r="Z310" s="68">
        <f t="shared" si="28"/>
        <v>1</v>
      </c>
      <c r="AA310" s="68">
        <f t="shared" si="29"/>
        <v>0</v>
      </c>
      <c r="AB310" s="68">
        <f t="shared" si="25"/>
        <v>0</v>
      </c>
    </row>
    <row r="311" spans="1:28" x14ac:dyDescent="0.25">
      <c r="A311">
        <v>306</v>
      </c>
      <c r="C311" s="24">
        <v>5.460787646770493E-4</v>
      </c>
      <c r="D311" s="24">
        <v>8.4267054171670575E-3</v>
      </c>
      <c r="E311" s="24">
        <v>8.4242337589320243E-25</v>
      </c>
      <c r="F311" s="24">
        <v>2.412536710826705E-17</v>
      </c>
      <c r="G311" s="24">
        <v>0.69507229055295561</v>
      </c>
      <c r="H311" s="24">
        <v>0.19256892558571204</v>
      </c>
      <c r="I311" s="53">
        <v>2130.869264151992</v>
      </c>
      <c r="J311" s="53">
        <v>5505.6877938954985</v>
      </c>
      <c r="K311" s="24">
        <v>0.7144276615493601</v>
      </c>
      <c r="L311" s="24">
        <v>0.82992693478221324</v>
      </c>
      <c r="M311" s="24">
        <v>0.61869412115030642</v>
      </c>
      <c r="O311" s="53">
        <v>3.9279022047783823</v>
      </c>
      <c r="P311" s="54">
        <v>18286.183277505403</v>
      </c>
      <c r="Q311" s="54">
        <v>4.1115989129354951</v>
      </c>
      <c r="R311" s="54">
        <v>28517.532609403599</v>
      </c>
      <c r="S311" s="54">
        <v>0.18369670815711281</v>
      </c>
      <c r="T311" s="54">
        <v>10231.349331898196</v>
      </c>
      <c r="V311" s="69">
        <f t="shared" si="26"/>
        <v>767294.25767817104</v>
      </c>
      <c r="W311" s="69">
        <f t="shared" si="27"/>
        <v>793802.24997769541</v>
      </c>
      <c r="X311" s="69">
        <f t="shared" si="24"/>
        <v>26507.992299524365</v>
      </c>
      <c r="Z311" s="68">
        <f t="shared" si="28"/>
        <v>0</v>
      </c>
      <c r="AA311" s="68">
        <f t="shared" si="29"/>
        <v>1</v>
      </c>
      <c r="AB311" s="68">
        <f t="shared" si="25"/>
        <v>1</v>
      </c>
    </row>
    <row r="312" spans="1:28" x14ac:dyDescent="0.25">
      <c r="A312">
        <v>307</v>
      </c>
      <c r="C312" s="24">
        <v>6.166450853014819E-16</v>
      </c>
      <c r="D312" s="24">
        <v>1.8390897180473598E-3</v>
      </c>
      <c r="E312" s="24">
        <v>1.0133443195670111E-8</v>
      </c>
      <c r="F312" s="24">
        <v>1.1957101975212936E-13</v>
      </c>
      <c r="G312" s="24">
        <v>0.68092096253061052</v>
      </c>
      <c r="H312" s="24">
        <v>0.28465772089896024</v>
      </c>
      <c r="I312" s="53">
        <v>1830.0891124377131</v>
      </c>
      <c r="J312" s="53">
        <v>4556.6895874836837</v>
      </c>
      <c r="K312" s="24">
        <v>0.81037802301256256</v>
      </c>
      <c r="L312" s="24">
        <v>0.84965086274274293</v>
      </c>
      <c r="M312" s="24">
        <v>0.8025243598190559</v>
      </c>
      <c r="O312" s="53">
        <v>4.1767132268406222</v>
      </c>
      <c r="P312" s="54">
        <v>24093.657812081052</v>
      </c>
      <c r="Q312" s="54">
        <v>4.232097925305041</v>
      </c>
      <c r="R312" s="54">
        <v>33614.328948192189</v>
      </c>
      <c r="S312" s="54">
        <v>5.5384698464418847E-2</v>
      </c>
      <c r="T312" s="54">
        <v>9520.6711361111375</v>
      </c>
      <c r="V312" s="69">
        <f t="shared" si="26"/>
        <v>811248.98755604343</v>
      </c>
      <c r="W312" s="69">
        <f t="shared" si="27"/>
        <v>812805.25611281605</v>
      </c>
      <c r="X312" s="69">
        <f t="shared" si="24"/>
        <v>1556.2685567726312</v>
      </c>
      <c r="Z312" s="68">
        <f t="shared" si="28"/>
        <v>0</v>
      </c>
      <c r="AA312" s="68">
        <f t="shared" si="29"/>
        <v>1</v>
      </c>
      <c r="AB312" s="68">
        <f t="shared" si="25"/>
        <v>1</v>
      </c>
    </row>
    <row r="313" spans="1:28" x14ac:dyDescent="0.25">
      <c r="A313">
        <v>308</v>
      </c>
      <c r="C313" s="24">
        <v>9.6927561540788298E-3</v>
      </c>
      <c r="D313" s="24">
        <v>1.7216246394124163E-4</v>
      </c>
      <c r="E313" s="24">
        <v>9.0328474043128535E-44</v>
      </c>
      <c r="F313" s="24">
        <v>7.8812727839734479E-20</v>
      </c>
      <c r="G313" s="24">
        <v>0.53835224452564445</v>
      </c>
      <c r="H313" s="24">
        <v>0.25438026397804081</v>
      </c>
      <c r="I313" s="53">
        <v>1478.2499601384964</v>
      </c>
      <c r="J313" s="53">
        <v>3773.7652503712638</v>
      </c>
      <c r="K313" s="24">
        <v>0.51969090070014556</v>
      </c>
      <c r="L313" s="24">
        <v>0.86139005701867188</v>
      </c>
      <c r="M313" s="24">
        <v>0.84703749096453251</v>
      </c>
      <c r="O313" s="53">
        <v>3.9253244066906658</v>
      </c>
      <c r="P313" s="54">
        <v>18634.65211936627</v>
      </c>
      <c r="Q313" s="54">
        <v>4.1904828093278974</v>
      </c>
      <c r="R313" s="54">
        <v>35960.698065669152</v>
      </c>
      <c r="S313" s="54">
        <v>0.26515840263723156</v>
      </c>
      <c r="T313" s="54">
        <v>17326.045946302882</v>
      </c>
      <c r="V313" s="69">
        <f t="shared" si="26"/>
        <v>766430.22921876691</v>
      </c>
      <c r="W313" s="69">
        <f t="shared" si="27"/>
        <v>802135.86379991029</v>
      </c>
      <c r="X313" s="69">
        <f t="shared" si="24"/>
        <v>35705.634581143429</v>
      </c>
      <c r="Z313" s="68">
        <f t="shared" si="28"/>
        <v>0</v>
      </c>
      <c r="AA313" s="68">
        <f t="shared" si="29"/>
        <v>1</v>
      </c>
      <c r="AB313" s="68">
        <f t="shared" si="25"/>
        <v>1</v>
      </c>
    </row>
    <row r="314" spans="1:28" x14ac:dyDescent="0.25">
      <c r="A314">
        <v>309</v>
      </c>
      <c r="C314" s="24">
        <v>2.8629280064066824E-7</v>
      </c>
      <c r="D314" s="24">
        <v>2.5092148854120033E-3</v>
      </c>
      <c r="E314" s="24">
        <v>4.9595974847803323E-31</v>
      </c>
      <c r="F314" s="24">
        <v>5.3395351124753619E-38</v>
      </c>
      <c r="G314" s="24">
        <v>0.57205655709898817</v>
      </c>
      <c r="H314" s="24">
        <v>0.30286042824749637</v>
      </c>
      <c r="I314" s="53">
        <v>1404.6591274505608</v>
      </c>
      <c r="J314" s="53">
        <v>5446.9278516656559</v>
      </c>
      <c r="K314" s="24">
        <v>0.47604161507876402</v>
      </c>
      <c r="L314" s="24">
        <v>0.95887051644981747</v>
      </c>
      <c r="M314" s="24">
        <v>0.95235968068280341</v>
      </c>
      <c r="O314" s="53">
        <v>4.1884678334252952</v>
      </c>
      <c r="P314" s="54">
        <v>14608.466527492663</v>
      </c>
      <c r="Q314" s="54">
        <v>4.5850232383224867</v>
      </c>
      <c r="R314" s="54">
        <v>46499.683335177768</v>
      </c>
      <c r="S314" s="54">
        <v>0.39655540489719154</v>
      </c>
      <c r="T314" s="54">
        <v>31891.216807685105</v>
      </c>
      <c r="V314" s="69">
        <f t="shared" si="26"/>
        <v>823085.10015756637</v>
      </c>
      <c r="W314" s="69">
        <f t="shared" si="27"/>
        <v>870504.96432931966</v>
      </c>
      <c r="X314" s="69">
        <f t="shared" si="24"/>
        <v>47419.864171753201</v>
      </c>
      <c r="Z314" s="68">
        <f t="shared" si="28"/>
        <v>0</v>
      </c>
      <c r="AA314" s="68">
        <f t="shared" si="29"/>
        <v>1</v>
      </c>
      <c r="AB314" s="68">
        <f t="shared" si="25"/>
        <v>1</v>
      </c>
    </row>
    <row r="315" spans="1:28" x14ac:dyDescent="0.25">
      <c r="A315">
        <v>310</v>
      </c>
      <c r="C315" s="24">
        <v>3.7519471991262264E-6</v>
      </c>
      <c r="D315" s="24">
        <v>8.3993889116447808E-4</v>
      </c>
      <c r="E315" s="24">
        <v>6.6105802986127227E-4</v>
      </c>
      <c r="F315" s="24">
        <v>2.156865919344762E-28</v>
      </c>
      <c r="G315" s="24">
        <v>0.62046225786057074</v>
      </c>
      <c r="H315" s="24">
        <v>0.29878980986581061</v>
      </c>
      <c r="I315" s="53">
        <v>1908.6625112334511</v>
      </c>
      <c r="J315" s="53">
        <v>4927.8562545668283</v>
      </c>
      <c r="K315" s="24">
        <v>0.59486648244353224</v>
      </c>
      <c r="L315" s="24">
        <v>0.99297190876963692</v>
      </c>
      <c r="M315" s="24">
        <v>0.72156611742522647</v>
      </c>
      <c r="O315" s="53">
        <v>4.3677995828340013</v>
      </c>
      <c r="P315" s="54">
        <v>14547.464868946261</v>
      </c>
      <c r="Q315" s="54">
        <v>4.7941411241851464</v>
      </c>
      <c r="R315" s="54">
        <v>38968.004623114721</v>
      </c>
      <c r="S315" s="54">
        <v>0.4263415413511451</v>
      </c>
      <c r="T315" s="54">
        <v>24420.539754168458</v>
      </c>
      <c r="V315" s="69">
        <f t="shared" si="26"/>
        <v>859012.45169785398</v>
      </c>
      <c r="W315" s="69">
        <f t="shared" si="27"/>
        <v>919860.22021391452</v>
      </c>
      <c r="X315" s="69">
        <f t="shared" si="24"/>
        <v>60847.768516060569</v>
      </c>
      <c r="Z315" s="68">
        <f t="shared" si="28"/>
        <v>0</v>
      </c>
      <c r="AA315" s="68">
        <f t="shared" si="29"/>
        <v>1</v>
      </c>
      <c r="AB315" s="68">
        <f t="shared" si="25"/>
        <v>1</v>
      </c>
    </row>
    <row r="316" spans="1:28" x14ac:dyDescent="0.25">
      <c r="A316">
        <v>311</v>
      </c>
      <c r="C316" s="24">
        <v>6.1778104564202962E-5</v>
      </c>
      <c r="D316" s="24">
        <v>6.2743648286238685E-3</v>
      </c>
      <c r="E316" s="24">
        <v>8.0300413605183252E-6</v>
      </c>
      <c r="F316" s="24">
        <v>3.2859124721418276E-4</v>
      </c>
      <c r="G316" s="24">
        <v>0.54518269728358371</v>
      </c>
      <c r="H316" s="24">
        <v>0.34413137319517606</v>
      </c>
      <c r="I316" s="53">
        <v>2276.380191996388</v>
      </c>
      <c r="J316" s="53">
        <v>6446.7039435734496</v>
      </c>
      <c r="K316" s="24">
        <v>0.80805044084971867</v>
      </c>
      <c r="L316" s="24">
        <v>0.95446152909367621</v>
      </c>
      <c r="M316" s="24">
        <v>0.9568374951693398</v>
      </c>
      <c r="O316" s="53">
        <v>4.6051956603528899</v>
      </c>
      <c r="P316" s="54">
        <v>18584.407366877109</v>
      </c>
      <c r="Q316" s="54">
        <v>4.6938176996074903</v>
      </c>
      <c r="R316" s="54">
        <v>51306.729263728375</v>
      </c>
      <c r="S316" s="54">
        <v>8.8622039254600438E-2</v>
      </c>
      <c r="T316" s="54">
        <v>32722.321896851267</v>
      </c>
      <c r="V316" s="69">
        <f t="shared" si="26"/>
        <v>902454.72470370086</v>
      </c>
      <c r="W316" s="69">
        <f t="shared" si="27"/>
        <v>887456.81065776967</v>
      </c>
      <c r="X316" s="69">
        <f t="shared" si="24"/>
        <v>-14997.914045931178</v>
      </c>
      <c r="Z316" s="68">
        <f t="shared" si="28"/>
        <v>1</v>
      </c>
      <c r="AA316" s="68">
        <f t="shared" si="29"/>
        <v>0</v>
      </c>
      <c r="AB316" s="68">
        <f t="shared" si="25"/>
        <v>0</v>
      </c>
    </row>
    <row r="317" spans="1:28" x14ac:dyDescent="0.25">
      <c r="A317">
        <v>312</v>
      </c>
      <c r="C317" s="24">
        <v>1.8837598445634677E-7</v>
      </c>
      <c r="D317" s="24">
        <v>2.7823818675740686E-3</v>
      </c>
      <c r="E317" s="24">
        <v>1.5451388301679046E-25</v>
      </c>
      <c r="F317" s="24">
        <v>3.5410751456659865E-31</v>
      </c>
      <c r="G317" s="24">
        <v>0.62080309040827419</v>
      </c>
      <c r="H317" s="24">
        <v>0.30496928569010018</v>
      </c>
      <c r="I317" s="53">
        <v>1951.199415922707</v>
      </c>
      <c r="J317" s="53">
        <v>4146.7311022857184</v>
      </c>
      <c r="K317" s="24">
        <v>0.48134035604750791</v>
      </c>
      <c r="L317" s="24">
        <v>0.85293951919705813</v>
      </c>
      <c r="M317" s="24">
        <v>0.89380617185333544</v>
      </c>
      <c r="O317" s="53">
        <v>3.7124294083099931</v>
      </c>
      <c r="P317" s="54">
        <v>24009.447161151998</v>
      </c>
      <c r="Q317" s="54">
        <v>4.1028218712879188</v>
      </c>
      <c r="R317" s="54">
        <v>40614.48408302723</v>
      </c>
      <c r="S317" s="54">
        <v>0.39039246297792563</v>
      </c>
      <c r="T317" s="54">
        <v>16605.036921875231</v>
      </c>
      <c r="V317" s="69">
        <f t="shared" si="26"/>
        <v>718476.43450084655</v>
      </c>
      <c r="W317" s="69">
        <f t="shared" si="27"/>
        <v>779949.89017455652</v>
      </c>
      <c r="X317" s="69">
        <f t="shared" si="24"/>
        <v>61473.45567370989</v>
      </c>
      <c r="Z317" s="68">
        <f t="shared" si="28"/>
        <v>0</v>
      </c>
      <c r="AA317" s="68">
        <f t="shared" si="29"/>
        <v>1</v>
      </c>
      <c r="AB317" s="68">
        <f t="shared" si="25"/>
        <v>1</v>
      </c>
    </row>
    <row r="318" spans="1:28" x14ac:dyDescent="0.25">
      <c r="A318">
        <v>313</v>
      </c>
      <c r="C318" s="24">
        <v>1.8397471746930393E-11</v>
      </c>
      <c r="D318" s="24">
        <v>5.1109401733632209E-3</v>
      </c>
      <c r="E318" s="24">
        <v>7.1707026343873943E-22</v>
      </c>
      <c r="F318" s="24">
        <v>3.6267858327665436E-7</v>
      </c>
      <c r="G318" s="24">
        <v>0.50023059922736923</v>
      </c>
      <c r="H318" s="24">
        <v>0.26072074695500524</v>
      </c>
      <c r="I318" s="53">
        <v>1601.27189771396</v>
      </c>
      <c r="J318" s="53">
        <v>3772.6734572597411</v>
      </c>
      <c r="K318" s="24">
        <v>0.85239881465792322</v>
      </c>
      <c r="L318" s="24">
        <v>0.95262817567917457</v>
      </c>
      <c r="M318" s="24">
        <v>0.77164841752468694</v>
      </c>
      <c r="O318" s="53">
        <v>4.6659613174944248</v>
      </c>
      <c r="P318" s="54">
        <v>12629.15422065305</v>
      </c>
      <c r="Q318" s="54">
        <v>4.7220183057669765</v>
      </c>
      <c r="R318" s="54">
        <v>37232.467713122591</v>
      </c>
      <c r="S318" s="54">
        <v>5.6056988272551678E-2</v>
      </c>
      <c r="T318" s="54">
        <v>24603.313492469541</v>
      </c>
      <c r="V318" s="69">
        <f t="shared" si="26"/>
        <v>920563.10927823198</v>
      </c>
      <c r="W318" s="69">
        <f t="shared" si="27"/>
        <v>907171.19344027271</v>
      </c>
      <c r="X318" s="69">
        <f t="shared" si="24"/>
        <v>-13391.915837959205</v>
      </c>
      <c r="Z318" s="68">
        <f t="shared" si="28"/>
        <v>1</v>
      </c>
      <c r="AA318" s="68">
        <f t="shared" si="29"/>
        <v>0</v>
      </c>
      <c r="AB318" s="68">
        <f t="shared" si="25"/>
        <v>0</v>
      </c>
    </row>
    <row r="319" spans="1:28" x14ac:dyDescent="0.25">
      <c r="A319">
        <v>314</v>
      </c>
      <c r="C319" s="24">
        <v>7.2795472366674859E-7</v>
      </c>
      <c r="D319" s="24">
        <v>6.2137099463763779E-3</v>
      </c>
      <c r="E319" s="24">
        <v>3.4475856613980227E-9</v>
      </c>
      <c r="F319" s="24">
        <v>1.6608884601143625E-4</v>
      </c>
      <c r="G319" s="24">
        <v>0.53795458403936025</v>
      </c>
      <c r="H319" s="24">
        <v>0.31559941860787932</v>
      </c>
      <c r="I319" s="53">
        <v>1891.7491604745348</v>
      </c>
      <c r="J319" s="53">
        <v>5912.4809883508597</v>
      </c>
      <c r="K319" s="24">
        <v>0.59129391280080557</v>
      </c>
      <c r="L319" s="24">
        <v>0.72639227654491656</v>
      </c>
      <c r="M319" s="24">
        <v>0.92750510927980434</v>
      </c>
      <c r="O319" s="53">
        <v>3.4817556188578704</v>
      </c>
      <c r="P319" s="54">
        <v>15017.705418071517</v>
      </c>
      <c r="Q319" s="54">
        <v>3.5773480343632902</v>
      </c>
      <c r="R319" s="54">
        <v>37009.143076795641</v>
      </c>
      <c r="S319" s="54">
        <v>9.5592415505419748E-2</v>
      </c>
      <c r="T319" s="54">
        <v>21991.437658724124</v>
      </c>
      <c r="V319" s="69">
        <f t="shared" si="26"/>
        <v>681333.41835350264</v>
      </c>
      <c r="W319" s="69">
        <f t="shared" si="27"/>
        <v>678460.46379586239</v>
      </c>
      <c r="X319" s="69">
        <f t="shared" si="24"/>
        <v>-2872.9545576401761</v>
      </c>
      <c r="Z319" s="68">
        <f t="shared" si="28"/>
        <v>1</v>
      </c>
      <c r="AA319" s="68">
        <f t="shared" si="29"/>
        <v>0</v>
      </c>
      <c r="AB319" s="68">
        <f t="shared" si="25"/>
        <v>0</v>
      </c>
    </row>
    <row r="320" spans="1:28" x14ac:dyDescent="0.25">
      <c r="A320">
        <v>315</v>
      </c>
      <c r="C320" s="24">
        <v>7.2814472733590458E-7</v>
      </c>
      <c r="D320" s="24">
        <v>8.823048000246689E-4</v>
      </c>
      <c r="E320" s="24">
        <v>7.241541073344071E-3</v>
      </c>
      <c r="F320" s="24">
        <v>1.2399814201672717E-19</v>
      </c>
      <c r="G320" s="24">
        <v>0.64030042153202871</v>
      </c>
      <c r="H320" s="24">
        <v>0.26486291032010112</v>
      </c>
      <c r="I320" s="53">
        <v>2305.8851440841995</v>
      </c>
      <c r="J320" s="53">
        <v>4795.6504784800827</v>
      </c>
      <c r="K320" s="24">
        <v>0.49208025655794235</v>
      </c>
      <c r="L320" s="24">
        <v>0.92419059446998197</v>
      </c>
      <c r="M320" s="24">
        <v>0.77226659280041943</v>
      </c>
      <c r="O320" s="53">
        <v>3.8710652922747055</v>
      </c>
      <c r="P320" s="54">
        <v>19376.543627265983</v>
      </c>
      <c r="Q320" s="54">
        <v>4.4646245754457849</v>
      </c>
      <c r="R320" s="54">
        <v>34884.931743262227</v>
      </c>
      <c r="S320" s="54">
        <v>0.59355928317107942</v>
      </c>
      <c r="T320" s="54">
        <v>15508.388115996244</v>
      </c>
      <c r="V320" s="69">
        <f t="shared" si="26"/>
        <v>754836.51482767519</v>
      </c>
      <c r="W320" s="69">
        <f t="shared" si="27"/>
        <v>858039.98334589473</v>
      </c>
      <c r="X320" s="69">
        <f t="shared" si="24"/>
        <v>103203.46851821964</v>
      </c>
      <c r="Z320" s="68">
        <f t="shared" si="28"/>
        <v>0</v>
      </c>
      <c r="AA320" s="68">
        <f t="shared" si="29"/>
        <v>1</v>
      </c>
      <c r="AB320" s="68">
        <f t="shared" si="25"/>
        <v>1</v>
      </c>
    </row>
    <row r="321" spans="1:28" x14ac:dyDescent="0.25">
      <c r="A321">
        <v>316</v>
      </c>
      <c r="C321" s="24">
        <v>4.211609054676867E-7</v>
      </c>
      <c r="D321" s="24">
        <v>7.0996455390412994E-3</v>
      </c>
      <c r="E321" s="24">
        <v>2.1849450027033868E-9</v>
      </c>
      <c r="F321" s="24">
        <v>4.5499811206243106E-37</v>
      </c>
      <c r="G321" s="24">
        <v>0.53950854484789768</v>
      </c>
      <c r="H321" s="24">
        <v>0.33042177721496158</v>
      </c>
      <c r="I321" s="53">
        <v>1626.9748352085671</v>
      </c>
      <c r="J321" s="53">
        <v>4734.6879477004277</v>
      </c>
      <c r="K321" s="24">
        <v>0.62514359803609454</v>
      </c>
      <c r="L321" s="24">
        <v>0.76007539476682118</v>
      </c>
      <c r="M321" s="24">
        <v>0.81693093149682205</v>
      </c>
      <c r="O321" s="53">
        <v>3.6495177652186479</v>
      </c>
      <c r="P321" s="54">
        <v>13576.061669547567</v>
      </c>
      <c r="Q321" s="54">
        <v>3.736771347463494</v>
      </c>
      <c r="R321" s="54">
        <v>41261.380521068742</v>
      </c>
      <c r="S321" s="54">
        <v>8.725358224484614E-2</v>
      </c>
      <c r="T321" s="54">
        <v>27685.318851521173</v>
      </c>
      <c r="V321" s="69">
        <f t="shared" si="26"/>
        <v>716327.49137418205</v>
      </c>
      <c r="W321" s="69">
        <f t="shared" si="27"/>
        <v>706092.88897163013</v>
      </c>
      <c r="X321" s="69">
        <f t="shared" si="24"/>
        <v>-10234.602402551944</v>
      </c>
      <c r="Z321" s="68">
        <f t="shared" si="28"/>
        <v>1</v>
      </c>
      <c r="AA321" s="68">
        <f t="shared" si="29"/>
        <v>0</v>
      </c>
      <c r="AB321" s="68">
        <f t="shared" si="25"/>
        <v>0</v>
      </c>
    </row>
    <row r="322" spans="1:28" x14ac:dyDescent="0.25">
      <c r="A322">
        <v>317</v>
      </c>
      <c r="C322" s="24">
        <v>5.9913273626999164E-4</v>
      </c>
      <c r="D322" s="24">
        <v>5.8471306507426046E-3</v>
      </c>
      <c r="E322" s="24">
        <v>3.2627815144231853E-37</v>
      </c>
      <c r="F322" s="24">
        <v>8.1518412009540242E-7</v>
      </c>
      <c r="G322" s="24">
        <v>0.61753713886726802</v>
      </c>
      <c r="H322" s="24">
        <v>0.23223753054005536</v>
      </c>
      <c r="I322" s="53">
        <v>1923.5828866460029</v>
      </c>
      <c r="J322" s="53">
        <v>6448.1766643876226</v>
      </c>
      <c r="K322" s="24">
        <v>0.64941098640447037</v>
      </c>
      <c r="L322" s="24">
        <v>0.97561969902179335</v>
      </c>
      <c r="M322" s="24">
        <v>0.8304179510178411</v>
      </c>
      <c r="O322" s="53">
        <v>4.3978907122745508</v>
      </c>
      <c r="P322" s="54">
        <v>22130.930749673738</v>
      </c>
      <c r="Q322" s="54">
        <v>4.7742917932168121</v>
      </c>
      <c r="R322" s="54">
        <v>35449.272977666689</v>
      </c>
      <c r="S322" s="54">
        <v>0.37640108094226132</v>
      </c>
      <c r="T322" s="54">
        <v>13318.342227992951</v>
      </c>
      <c r="V322" s="69">
        <f t="shared" si="26"/>
        <v>857447.21170523635</v>
      </c>
      <c r="W322" s="69">
        <f t="shared" si="27"/>
        <v>919409.08566569572</v>
      </c>
      <c r="X322" s="69">
        <f t="shared" si="24"/>
        <v>61961.873960459314</v>
      </c>
      <c r="Z322" s="68">
        <f t="shared" si="28"/>
        <v>0</v>
      </c>
      <c r="AA322" s="68">
        <f t="shared" si="29"/>
        <v>1</v>
      </c>
      <c r="AB322" s="68">
        <f t="shared" si="25"/>
        <v>1</v>
      </c>
    </row>
    <row r="323" spans="1:28" x14ac:dyDescent="0.25">
      <c r="A323">
        <v>318</v>
      </c>
      <c r="C323" s="24">
        <v>1.4625635529376008E-7</v>
      </c>
      <c r="D323" s="24">
        <v>2.0402301858373217E-3</v>
      </c>
      <c r="E323" s="24">
        <v>1.5469557506462449E-29</v>
      </c>
      <c r="F323" s="24">
        <v>4.9048870159107416E-5</v>
      </c>
      <c r="G323" s="24">
        <v>0.5231882641291965</v>
      </c>
      <c r="H323" s="24">
        <v>0.30799354115235922</v>
      </c>
      <c r="I323" s="53">
        <v>1858.6995445469565</v>
      </c>
      <c r="J323" s="53">
        <v>5687.8492887886541</v>
      </c>
      <c r="K323" s="24">
        <v>0.75897034191487966</v>
      </c>
      <c r="L323" s="24">
        <v>0.93115271315661119</v>
      </c>
      <c r="M323" s="24">
        <v>0.93011131346012355</v>
      </c>
      <c r="O323" s="53">
        <v>4.4742401814054427</v>
      </c>
      <c r="P323" s="54">
        <v>13902.288253648037</v>
      </c>
      <c r="Q323" s="54">
        <v>4.579027498292084</v>
      </c>
      <c r="R323" s="54">
        <v>50443.134834028577</v>
      </c>
      <c r="S323" s="54">
        <v>0.10478731688664134</v>
      </c>
      <c r="T323" s="54">
        <v>36540.846580380537</v>
      </c>
      <c r="V323" s="69">
        <f t="shared" si="26"/>
        <v>880945.74802744039</v>
      </c>
      <c r="W323" s="69">
        <f t="shared" si="27"/>
        <v>865362.36482438829</v>
      </c>
      <c r="X323" s="69">
        <f t="shared" si="24"/>
        <v>-15583.383203052272</v>
      </c>
      <c r="Z323" s="68">
        <f t="shared" si="28"/>
        <v>1</v>
      </c>
      <c r="AA323" s="68">
        <f t="shared" si="29"/>
        <v>0</v>
      </c>
      <c r="AB323" s="68">
        <f t="shared" si="25"/>
        <v>0</v>
      </c>
    </row>
    <row r="324" spans="1:28" x14ac:dyDescent="0.25">
      <c r="A324">
        <v>319</v>
      </c>
      <c r="C324" s="24">
        <v>5.482857791032969E-3</v>
      </c>
      <c r="D324" s="24">
        <v>9.9426397670516857E-5</v>
      </c>
      <c r="E324" s="24">
        <v>1.0111572761993945E-29</v>
      </c>
      <c r="F324" s="24">
        <v>2.4202861936828413E-14</v>
      </c>
      <c r="G324" s="24">
        <v>0.58727567787745283</v>
      </c>
      <c r="H324" s="24">
        <v>0.23584068302268124</v>
      </c>
      <c r="I324" s="53">
        <v>2248.0884223674125</v>
      </c>
      <c r="J324" s="53">
        <v>4506.4273990350712</v>
      </c>
      <c r="K324" s="24">
        <v>0.55875108165764897</v>
      </c>
      <c r="L324" s="24">
        <v>0.99780585159729518</v>
      </c>
      <c r="M324" s="24">
        <v>0.88545859792516657</v>
      </c>
      <c r="O324" s="53">
        <v>4.4024428652305323</v>
      </c>
      <c r="P324" s="54">
        <v>18449.51622604876</v>
      </c>
      <c r="Q324" s="54">
        <v>4.8535551080364732</v>
      </c>
      <c r="R324" s="54">
        <v>34956.300663612208</v>
      </c>
      <c r="S324" s="54">
        <v>0.45111224280594087</v>
      </c>
      <c r="T324" s="54">
        <v>16506.784437563449</v>
      </c>
      <c r="V324" s="69">
        <f t="shared" si="26"/>
        <v>862039.05682005768</v>
      </c>
      <c r="W324" s="69">
        <f t="shared" si="27"/>
        <v>935754.72094368248</v>
      </c>
      <c r="X324" s="69">
        <f t="shared" si="24"/>
        <v>73715.664123624723</v>
      </c>
      <c r="Z324" s="68">
        <f t="shared" si="28"/>
        <v>0</v>
      </c>
      <c r="AA324" s="68">
        <f t="shared" si="29"/>
        <v>1</v>
      </c>
      <c r="AB324" s="68">
        <f t="shared" si="25"/>
        <v>1</v>
      </c>
    </row>
    <row r="325" spans="1:28" x14ac:dyDescent="0.25">
      <c r="A325">
        <v>320</v>
      </c>
      <c r="C325" s="24">
        <v>4.5378571363948721E-6</v>
      </c>
      <c r="D325" s="24">
        <v>7.5142436573687466E-3</v>
      </c>
      <c r="E325" s="24">
        <v>1.9602000404958865E-41</v>
      </c>
      <c r="F325" s="24">
        <v>5.9141580521782089E-13</v>
      </c>
      <c r="G325" s="24">
        <v>0.6527855456194458</v>
      </c>
      <c r="H325" s="24">
        <v>0.33876117183384591</v>
      </c>
      <c r="I325" s="53">
        <v>1790.0494090079821</v>
      </c>
      <c r="J325" s="53">
        <v>4610.5364196160917</v>
      </c>
      <c r="K325" s="24">
        <v>0.58466817269222138</v>
      </c>
      <c r="L325" s="24">
        <v>0.71658505983737253</v>
      </c>
      <c r="M325" s="24">
        <v>0.89660851747225623</v>
      </c>
      <c r="O325" s="53">
        <v>3.3643194574980422</v>
      </c>
      <c r="P325" s="54">
        <v>12621.321256214012</v>
      </c>
      <c r="Q325" s="54">
        <v>3.5248295245737853</v>
      </c>
      <c r="R325" s="54">
        <v>40171.148180621836</v>
      </c>
      <c r="S325" s="54">
        <v>0.16051006707574311</v>
      </c>
      <c r="T325" s="54">
        <v>27549.826924407826</v>
      </c>
      <c r="V325" s="69">
        <f t="shared" si="26"/>
        <v>660242.57024339435</v>
      </c>
      <c r="W325" s="69">
        <f t="shared" si="27"/>
        <v>664794.75673413521</v>
      </c>
      <c r="X325" s="69">
        <f t="shared" si="24"/>
        <v>4552.186490740798</v>
      </c>
      <c r="Z325" s="68">
        <f t="shared" si="28"/>
        <v>0</v>
      </c>
      <c r="AA325" s="68">
        <f t="shared" si="29"/>
        <v>1</v>
      </c>
      <c r="AB325" s="68">
        <f t="shared" si="25"/>
        <v>1</v>
      </c>
    </row>
    <row r="326" spans="1:28" x14ac:dyDescent="0.25">
      <c r="A326">
        <v>321</v>
      </c>
      <c r="C326" s="24">
        <v>8.1494249083990944E-5</v>
      </c>
      <c r="D326" s="24">
        <v>1.2153718756271418E-3</v>
      </c>
      <c r="E326" s="24">
        <v>1.6001954456783692E-16</v>
      </c>
      <c r="F326" s="24">
        <v>2.0366165753848975E-8</v>
      </c>
      <c r="G326" s="24">
        <v>0.54817705396809835</v>
      </c>
      <c r="H326" s="24">
        <v>0.38111727593199418</v>
      </c>
      <c r="I326" s="53">
        <v>1636.978368466908</v>
      </c>
      <c r="J326" s="53">
        <v>5254.7257582897919</v>
      </c>
      <c r="K326" s="24">
        <v>0.5141308804215251</v>
      </c>
      <c r="L326" s="24">
        <v>0.96987744019774924</v>
      </c>
      <c r="M326" s="24">
        <v>0.80136370321850903</v>
      </c>
      <c r="O326" s="53">
        <v>4.3237032189428479</v>
      </c>
      <c r="P326" s="54">
        <v>15170.321839731767</v>
      </c>
      <c r="Q326" s="54">
        <v>4.5695356517541299</v>
      </c>
      <c r="R326" s="54">
        <v>74305.422980821197</v>
      </c>
      <c r="S326" s="54">
        <v>0.24583243281128198</v>
      </c>
      <c r="T326" s="54">
        <v>59135.101141089428</v>
      </c>
      <c r="V326" s="69">
        <f t="shared" si="26"/>
        <v>849570.32194883784</v>
      </c>
      <c r="W326" s="69">
        <f t="shared" si="27"/>
        <v>839601.70737000473</v>
      </c>
      <c r="X326" s="69">
        <f t="shared" si="24"/>
        <v>-9968.6145788330323</v>
      </c>
      <c r="Z326" s="68">
        <f t="shared" si="28"/>
        <v>1</v>
      </c>
      <c r="AA326" s="68">
        <f t="shared" si="29"/>
        <v>0</v>
      </c>
      <c r="AB326" s="68">
        <f t="shared" si="25"/>
        <v>0</v>
      </c>
    </row>
    <row r="327" spans="1:28" x14ac:dyDescent="0.25">
      <c r="A327">
        <v>322</v>
      </c>
      <c r="C327" s="24">
        <v>4.5899518660297289E-4</v>
      </c>
      <c r="D327" s="24">
        <v>1.4448904464040568E-3</v>
      </c>
      <c r="E327" s="24">
        <v>4.3658273729802234E-28</v>
      </c>
      <c r="F327" s="24">
        <v>1.7021537015651595E-23</v>
      </c>
      <c r="G327" s="24">
        <v>0.501440195650807</v>
      </c>
      <c r="H327" s="24">
        <v>0.32918753445079929</v>
      </c>
      <c r="I327" s="53">
        <v>1790.2267938212885</v>
      </c>
      <c r="J327" s="53">
        <v>4549.5073733557319</v>
      </c>
      <c r="K327" s="24">
        <v>0.74338221007987815</v>
      </c>
      <c r="L327" s="24">
        <v>0.74746293253089191</v>
      </c>
      <c r="M327" s="24">
        <v>0.76526822317389687</v>
      </c>
      <c r="O327" s="53">
        <v>3.7334064785093268</v>
      </c>
      <c r="P327" s="54">
        <v>12232.16538990966</v>
      </c>
      <c r="Q327" s="54">
        <v>3.7354928825711071</v>
      </c>
      <c r="R327" s="54">
        <v>59331.900001344147</v>
      </c>
      <c r="S327" s="54">
        <v>2.0864040617802893E-3</v>
      </c>
      <c r="T327" s="54">
        <v>47099.734611434484</v>
      </c>
      <c r="V327" s="69">
        <f t="shared" si="26"/>
        <v>734449.1303119557</v>
      </c>
      <c r="W327" s="69">
        <f t="shared" si="27"/>
        <v>687766.67651287722</v>
      </c>
      <c r="X327" s="69">
        <f t="shared" ref="X327:X390" si="30">S327*cRatio-T327</f>
        <v>-46682.453799078423</v>
      </c>
      <c r="Z327" s="68">
        <f t="shared" si="28"/>
        <v>1</v>
      </c>
      <c r="AA327" s="68">
        <f t="shared" si="29"/>
        <v>0</v>
      </c>
      <c r="AB327" s="68">
        <f t="shared" ref="AB327:AB390" si="31">IF(X327&gt;0,1,0)</f>
        <v>0</v>
      </c>
    </row>
    <row r="328" spans="1:28" x14ac:dyDescent="0.25">
      <c r="A328">
        <v>323</v>
      </c>
      <c r="C328" s="24">
        <v>3.0132817211083521E-6</v>
      </c>
      <c r="D328" s="24">
        <v>6.2294360941262295E-4</v>
      </c>
      <c r="E328" s="24">
        <v>2.6256562063679595E-13</v>
      </c>
      <c r="F328" s="24">
        <v>6.6455212465636934E-17</v>
      </c>
      <c r="G328" s="24">
        <v>0.45156433252704364</v>
      </c>
      <c r="H328" s="24">
        <v>0.25739606686631733</v>
      </c>
      <c r="I328" s="53">
        <v>1990.248901890189</v>
      </c>
      <c r="J328" s="53">
        <v>4291.1358663494839</v>
      </c>
      <c r="K328" s="24">
        <v>0.61055360407706094</v>
      </c>
      <c r="L328" s="24">
        <v>0.69847127870296399</v>
      </c>
      <c r="M328" s="24">
        <v>0.8523859515352431</v>
      </c>
      <c r="O328" s="53">
        <v>3.4213304988709949</v>
      </c>
      <c r="P328" s="54">
        <v>11140.460888303938</v>
      </c>
      <c r="Q328" s="54">
        <v>3.4625182925502931</v>
      </c>
      <c r="R328" s="54">
        <v>26105.171455158725</v>
      </c>
      <c r="S328" s="54">
        <v>4.1187793679298146E-2</v>
      </c>
      <c r="T328" s="54">
        <v>14964.710566854787</v>
      </c>
      <c r="V328" s="69">
        <f t="shared" si="26"/>
        <v>673125.63888589502</v>
      </c>
      <c r="W328" s="69">
        <f t="shared" si="27"/>
        <v>666398.48705489992</v>
      </c>
      <c r="X328" s="69">
        <f t="shared" si="30"/>
        <v>-6727.1518309951571</v>
      </c>
      <c r="Z328" s="68">
        <f t="shared" si="28"/>
        <v>1</v>
      </c>
      <c r="AA328" s="68">
        <f t="shared" si="29"/>
        <v>0</v>
      </c>
      <c r="AB328" s="68">
        <f t="shared" si="31"/>
        <v>0</v>
      </c>
    </row>
    <row r="329" spans="1:28" x14ac:dyDescent="0.25">
      <c r="A329">
        <v>324</v>
      </c>
      <c r="C329" s="24">
        <v>1.0895076264005865E-10</v>
      </c>
      <c r="D329" s="24">
        <v>1.2903558875405174E-2</v>
      </c>
      <c r="E329" s="24">
        <v>4.2264140400044202E-29</v>
      </c>
      <c r="F329" s="24">
        <v>1.3324084697308169E-4</v>
      </c>
      <c r="G329" s="24">
        <v>0.56565632292139512</v>
      </c>
      <c r="H329" s="24">
        <v>0.21031090101169325</v>
      </c>
      <c r="I329" s="53">
        <v>2218.5926198206766</v>
      </c>
      <c r="J329" s="53">
        <v>5623.552471898015</v>
      </c>
      <c r="K329" s="24">
        <v>0.78169937923780375</v>
      </c>
      <c r="L329" s="24">
        <v>0.97968086486109041</v>
      </c>
      <c r="M329" s="24">
        <v>0.7527370145670037</v>
      </c>
      <c r="O329" s="53">
        <v>4.6554998462304287</v>
      </c>
      <c r="P329" s="54">
        <v>13021.763027503706</v>
      </c>
      <c r="Q329" s="54">
        <v>4.8273626974505559</v>
      </c>
      <c r="R329" s="54">
        <v>31371.757109367834</v>
      </c>
      <c r="S329" s="54">
        <v>0.17186285122012723</v>
      </c>
      <c r="T329" s="54">
        <v>18349.994081864126</v>
      </c>
      <c r="V329" s="69">
        <f t="shared" si="26"/>
        <v>918078.206218582</v>
      </c>
      <c r="W329" s="69">
        <f t="shared" si="27"/>
        <v>934100.7823807433</v>
      </c>
      <c r="X329" s="69">
        <f t="shared" si="30"/>
        <v>16022.57616216132</v>
      </c>
      <c r="Z329" s="68">
        <f t="shared" si="28"/>
        <v>0</v>
      </c>
      <c r="AA329" s="68">
        <f t="shared" si="29"/>
        <v>1</v>
      </c>
      <c r="AB329" s="68">
        <f t="shared" si="31"/>
        <v>1</v>
      </c>
    </row>
    <row r="330" spans="1:28" x14ac:dyDescent="0.25">
      <c r="A330">
        <v>325</v>
      </c>
      <c r="C330" s="24">
        <v>1.1931432671012709E-2</v>
      </c>
      <c r="D330" s="24">
        <v>1.5716050134902959E-3</v>
      </c>
      <c r="E330" s="24">
        <v>7.0188074339909701E-3</v>
      </c>
      <c r="F330" s="24">
        <v>4.6844049622195174E-16</v>
      </c>
      <c r="G330" s="24">
        <v>0.57004621950788359</v>
      </c>
      <c r="H330" s="24">
        <v>0.22168082013967705</v>
      </c>
      <c r="I330" s="53">
        <v>2010.5528962738094</v>
      </c>
      <c r="J330" s="53">
        <v>5770.0220442638065</v>
      </c>
      <c r="K330" s="24">
        <v>0.66483219415653561</v>
      </c>
      <c r="L330" s="24">
        <v>0.88289712080235228</v>
      </c>
      <c r="M330" s="24">
        <v>0.84573864515569686</v>
      </c>
      <c r="O330" s="53">
        <v>4.0847946157914095</v>
      </c>
      <c r="P330" s="54">
        <v>16145.643154246729</v>
      </c>
      <c r="Q330" s="54">
        <v>4.3520558172151267</v>
      </c>
      <c r="R330" s="54">
        <v>34120.926908567948</v>
      </c>
      <c r="S330" s="54">
        <v>0.26726120142371723</v>
      </c>
      <c r="T330" s="54">
        <v>17975.283754321219</v>
      </c>
      <c r="V330" s="69">
        <f t="shared" ref="V330:V393" si="32">O330*cRatio-P330</f>
        <v>800813.28000403522</v>
      </c>
      <c r="W330" s="69">
        <f t="shared" ref="W330:W393" si="33">Q330*cRatio-R330</f>
        <v>836290.23653445742</v>
      </c>
      <c r="X330" s="69">
        <f t="shared" si="30"/>
        <v>35476.956530422234</v>
      </c>
      <c r="Z330" s="68">
        <f t="shared" ref="Z330:Z393" si="34">IF(MAX(V330:W330)=V330,1,0)</f>
        <v>0</v>
      </c>
      <c r="AA330" s="68">
        <f t="shared" ref="AA330:AA393" si="35">IF(MAX(V330:W330)=W330,1,0)</f>
        <v>1</v>
      </c>
      <c r="AB330" s="68">
        <f t="shared" si="31"/>
        <v>1</v>
      </c>
    </row>
    <row r="331" spans="1:28" x14ac:dyDescent="0.25">
      <c r="A331">
        <v>326</v>
      </c>
      <c r="C331" s="24">
        <v>3.8267266331478145E-2</v>
      </c>
      <c r="D331" s="24">
        <v>5.1505638831981226E-3</v>
      </c>
      <c r="E331" s="24">
        <v>9.5524321077796052E-61</v>
      </c>
      <c r="F331" s="24">
        <v>8.327888526483252E-31</v>
      </c>
      <c r="G331" s="24">
        <v>0.51803859676046315</v>
      </c>
      <c r="H331" s="24">
        <v>0.3489568683898806</v>
      </c>
      <c r="I331" s="53">
        <v>2121.843513176123</v>
      </c>
      <c r="J331" s="53">
        <v>4353.9418072788585</v>
      </c>
      <c r="K331" s="24">
        <v>0.5086770269368629</v>
      </c>
      <c r="L331" s="24">
        <v>0.89462012618456177</v>
      </c>
      <c r="M331" s="24">
        <v>0.79317209362190455</v>
      </c>
      <c r="O331" s="53">
        <v>4.0418051086400872</v>
      </c>
      <c r="P331" s="54">
        <v>17323.061777090094</v>
      </c>
      <c r="Q331" s="54">
        <v>4.2637219101228583</v>
      </c>
      <c r="R331" s="54">
        <v>47796.269178240684</v>
      </c>
      <c r="S331" s="54">
        <v>0.22191680148277104</v>
      </c>
      <c r="T331" s="54">
        <v>30473.20740115059</v>
      </c>
      <c r="V331" s="69">
        <f t="shared" si="32"/>
        <v>791037.95995092741</v>
      </c>
      <c r="W331" s="69">
        <f t="shared" si="33"/>
        <v>804948.11284633097</v>
      </c>
      <c r="X331" s="69">
        <f t="shared" si="30"/>
        <v>13910.152895403618</v>
      </c>
      <c r="Z331" s="68">
        <f t="shared" si="34"/>
        <v>0</v>
      </c>
      <c r="AA331" s="68">
        <f t="shared" si="35"/>
        <v>1</v>
      </c>
      <c r="AB331" s="68">
        <f t="shared" si="31"/>
        <v>1</v>
      </c>
    </row>
    <row r="332" spans="1:28" x14ac:dyDescent="0.25">
      <c r="A332">
        <v>327</v>
      </c>
      <c r="C332" s="24">
        <v>6.2090963617969278E-6</v>
      </c>
      <c r="D332" s="24">
        <v>4.1594991683239213E-3</v>
      </c>
      <c r="E332" s="24">
        <v>1.7592847987141018E-13</v>
      </c>
      <c r="F332" s="24">
        <v>4.9515946898281982E-14</v>
      </c>
      <c r="G332" s="24">
        <v>0.46368444750666205</v>
      </c>
      <c r="H332" s="24">
        <v>0.20116710516389202</v>
      </c>
      <c r="I332" s="53">
        <v>2142.381351182255</v>
      </c>
      <c r="J332" s="53">
        <v>4325.331085017745</v>
      </c>
      <c r="K332" s="24">
        <v>0.75404756882855173</v>
      </c>
      <c r="L332" s="24">
        <v>0.66596586579565831</v>
      </c>
      <c r="M332" s="24">
        <v>0.76158422257341951</v>
      </c>
      <c r="O332" s="53">
        <v>3.4043547700918042</v>
      </c>
      <c r="P332" s="54">
        <v>12545.503169626716</v>
      </c>
      <c r="Q332" s="54">
        <v>3.3543673791009159</v>
      </c>
      <c r="R332" s="54">
        <v>36476.404245032245</v>
      </c>
      <c r="S332" s="54">
        <v>-4.9987390990888336E-2</v>
      </c>
      <c r="T332" s="54">
        <v>23930.901075405527</v>
      </c>
      <c r="V332" s="69">
        <f t="shared" si="32"/>
        <v>668325.45084873412</v>
      </c>
      <c r="W332" s="69">
        <f t="shared" si="33"/>
        <v>634397.07157515094</v>
      </c>
      <c r="X332" s="69">
        <f t="shared" si="30"/>
        <v>-33928.379273583196</v>
      </c>
      <c r="Z332" s="68">
        <f t="shared" si="34"/>
        <v>1</v>
      </c>
      <c r="AA332" s="68">
        <f t="shared" si="35"/>
        <v>0</v>
      </c>
      <c r="AB332" s="68">
        <f t="shared" si="31"/>
        <v>0</v>
      </c>
    </row>
    <row r="333" spans="1:28" x14ac:dyDescent="0.25">
      <c r="A333">
        <v>328</v>
      </c>
      <c r="C333" s="24">
        <v>1.1031239616145016E-5</v>
      </c>
      <c r="D333" s="24">
        <v>1.2553814082971403E-3</v>
      </c>
      <c r="E333" s="24">
        <v>1.9376717265151555E-6</v>
      </c>
      <c r="F333" s="24">
        <v>2.8075265509229662E-39</v>
      </c>
      <c r="G333" s="24">
        <v>0.51893317021234919</v>
      </c>
      <c r="H333" s="24">
        <v>0.29872926053935867</v>
      </c>
      <c r="I333" s="53">
        <v>1780.8745173806758</v>
      </c>
      <c r="J333" s="53">
        <v>5072.8279995443791</v>
      </c>
      <c r="K333" s="24">
        <v>0.71173523736565447</v>
      </c>
      <c r="L333" s="24">
        <v>0.84426317591555355</v>
      </c>
      <c r="M333" s="24">
        <v>0.98942089407666545</v>
      </c>
      <c r="O333" s="53">
        <v>4.0837358047696242</v>
      </c>
      <c r="P333" s="54">
        <v>13203.73514755249</v>
      </c>
      <c r="Q333" s="54">
        <v>4.1661844053456294</v>
      </c>
      <c r="R333" s="54">
        <v>46913.899899279175</v>
      </c>
      <c r="S333" s="54">
        <v>8.2448600576005227E-2</v>
      </c>
      <c r="T333" s="54">
        <v>33710.164751726683</v>
      </c>
      <c r="V333" s="69">
        <f t="shared" si="32"/>
        <v>803543.42580637243</v>
      </c>
      <c r="W333" s="69">
        <f t="shared" si="33"/>
        <v>786322.98116984661</v>
      </c>
      <c r="X333" s="69">
        <f t="shared" si="30"/>
        <v>-17220.444636525637</v>
      </c>
      <c r="Z333" s="68">
        <f t="shared" si="34"/>
        <v>1</v>
      </c>
      <c r="AA333" s="68">
        <f t="shared" si="35"/>
        <v>0</v>
      </c>
      <c r="AB333" s="68">
        <f t="shared" si="31"/>
        <v>0</v>
      </c>
    </row>
    <row r="334" spans="1:28" x14ac:dyDescent="0.25">
      <c r="A334">
        <v>329</v>
      </c>
      <c r="C334" s="24">
        <v>4.8997700903683494E-3</v>
      </c>
      <c r="D334" s="24">
        <v>1.0394256637713317E-2</v>
      </c>
      <c r="E334" s="24">
        <v>2.4896520356765116E-23</v>
      </c>
      <c r="F334" s="24">
        <v>4.9960036108132044E-15</v>
      </c>
      <c r="G334" s="24">
        <v>0.54413503337158475</v>
      </c>
      <c r="H334" s="24">
        <v>0.23344326133046533</v>
      </c>
      <c r="I334" s="53">
        <v>1996.1032268999011</v>
      </c>
      <c r="J334" s="53">
        <v>5135.0437894205998</v>
      </c>
      <c r="K334" s="24">
        <v>0.57078877205836387</v>
      </c>
      <c r="L334" s="24">
        <v>0.80051408918360922</v>
      </c>
      <c r="M334" s="24">
        <v>0.91873069405404451</v>
      </c>
      <c r="O334" s="53">
        <v>3.7463519166190573</v>
      </c>
      <c r="P334" s="54">
        <v>18612.376414194903</v>
      </c>
      <c r="Q334" s="54">
        <v>3.9401866427704566</v>
      </c>
      <c r="R334" s="54">
        <v>34193.354533981699</v>
      </c>
      <c r="S334" s="54">
        <v>0.19383472615139929</v>
      </c>
      <c r="T334" s="54">
        <v>15580.978119786796</v>
      </c>
      <c r="V334" s="69">
        <f t="shared" si="32"/>
        <v>730658.00690961652</v>
      </c>
      <c r="W334" s="69">
        <f t="shared" si="33"/>
        <v>753843.97402010963</v>
      </c>
      <c r="X334" s="69">
        <f t="shared" si="30"/>
        <v>23185.967110493064</v>
      </c>
      <c r="Z334" s="68">
        <f t="shared" si="34"/>
        <v>0</v>
      </c>
      <c r="AA334" s="68">
        <f t="shared" si="35"/>
        <v>1</v>
      </c>
      <c r="AB334" s="68">
        <f t="shared" si="31"/>
        <v>1</v>
      </c>
    </row>
    <row r="335" spans="1:28" x14ac:dyDescent="0.25">
      <c r="A335">
        <v>330</v>
      </c>
      <c r="C335" s="24">
        <v>7.6908813040893385E-6</v>
      </c>
      <c r="D335" s="24">
        <v>3.4547588247235423E-4</v>
      </c>
      <c r="E335" s="24">
        <v>4.8267088640186312E-30</v>
      </c>
      <c r="F335" s="24">
        <v>7.9321885899194615E-22</v>
      </c>
      <c r="G335" s="24">
        <v>0.53312813363826783</v>
      </c>
      <c r="H335" s="24">
        <v>0.27969187600817758</v>
      </c>
      <c r="I335" s="53">
        <v>1848.1772724019902</v>
      </c>
      <c r="J335" s="53">
        <v>5730.6968433114735</v>
      </c>
      <c r="K335" s="24">
        <v>0.78593104414334292</v>
      </c>
      <c r="L335" s="24">
        <v>0.82404478513245361</v>
      </c>
      <c r="M335" s="24">
        <v>0.74193849081520957</v>
      </c>
      <c r="O335" s="53">
        <v>4.0785704247471619</v>
      </c>
      <c r="P335" s="54">
        <v>16467.316790804176</v>
      </c>
      <c r="Q335" s="54">
        <v>4.1052682546687915</v>
      </c>
      <c r="R335" s="54">
        <v>39234.278560944382</v>
      </c>
      <c r="S335" s="54">
        <v>2.6697829921629612E-2</v>
      </c>
      <c r="T335" s="54">
        <v>22766.961770140206</v>
      </c>
      <c r="V335" s="69">
        <f t="shared" si="32"/>
        <v>799246.76815862826</v>
      </c>
      <c r="W335" s="69">
        <f t="shared" si="33"/>
        <v>781819.37237281399</v>
      </c>
      <c r="X335" s="69">
        <f t="shared" si="30"/>
        <v>-17427.395785814282</v>
      </c>
      <c r="Z335" s="68">
        <f t="shared" si="34"/>
        <v>1</v>
      </c>
      <c r="AA335" s="68">
        <f t="shared" si="35"/>
        <v>0</v>
      </c>
      <c r="AB335" s="68">
        <f t="shared" si="31"/>
        <v>0</v>
      </c>
    </row>
    <row r="336" spans="1:28" x14ac:dyDescent="0.25">
      <c r="A336">
        <v>331</v>
      </c>
      <c r="C336" s="24">
        <v>1.0097685076585927E-2</v>
      </c>
      <c r="D336" s="24">
        <v>2.9902985717172398E-4</v>
      </c>
      <c r="E336" s="24">
        <v>2.8595395726191518E-35</v>
      </c>
      <c r="F336" s="24">
        <v>3.4349193489546792E-9</v>
      </c>
      <c r="G336" s="24">
        <v>0.60613073701634734</v>
      </c>
      <c r="H336" s="24">
        <v>0.25718844020891418</v>
      </c>
      <c r="I336" s="53">
        <v>2608.5001068901829</v>
      </c>
      <c r="J336" s="53">
        <v>5540.596866980286</v>
      </c>
      <c r="K336" s="24">
        <v>0.57609289053904855</v>
      </c>
      <c r="L336" s="24">
        <v>0.8394127479966369</v>
      </c>
      <c r="M336" s="24">
        <v>0.86590308831983442</v>
      </c>
      <c r="O336" s="53">
        <v>3.8274268064435946</v>
      </c>
      <c r="P336" s="54">
        <v>16649.810214717672</v>
      </c>
      <c r="Q336" s="54">
        <v>4.1060450125867689</v>
      </c>
      <c r="R336" s="54">
        <v>36121.165744596983</v>
      </c>
      <c r="S336" s="54">
        <v>0.27861820614317434</v>
      </c>
      <c r="T336" s="54">
        <v>19471.355529879311</v>
      </c>
      <c r="V336" s="69">
        <f t="shared" si="32"/>
        <v>748835.55107400124</v>
      </c>
      <c r="W336" s="69">
        <f t="shared" si="33"/>
        <v>785087.83677275677</v>
      </c>
      <c r="X336" s="69">
        <f t="shared" si="30"/>
        <v>36252.285698755557</v>
      </c>
      <c r="Z336" s="68">
        <f t="shared" si="34"/>
        <v>0</v>
      </c>
      <c r="AA336" s="68">
        <f t="shared" si="35"/>
        <v>1</v>
      </c>
      <c r="AB336" s="68">
        <f t="shared" si="31"/>
        <v>1</v>
      </c>
    </row>
    <row r="337" spans="1:28" x14ac:dyDescent="0.25">
      <c r="A337">
        <v>332</v>
      </c>
      <c r="C337" s="24">
        <v>6.2504151611292302E-3</v>
      </c>
      <c r="D337" s="24">
        <v>1.3987767896781467E-3</v>
      </c>
      <c r="E337" s="24">
        <v>1.8319790129339708E-12</v>
      </c>
      <c r="F337" s="24">
        <v>1.8409431978838597E-8</v>
      </c>
      <c r="G337" s="24">
        <v>0.50537784144749831</v>
      </c>
      <c r="H337" s="24">
        <v>0.30576767080130773</v>
      </c>
      <c r="I337" s="53">
        <v>1882.4591138750636</v>
      </c>
      <c r="J337" s="53">
        <v>4537.4667908408564</v>
      </c>
      <c r="K337" s="24">
        <v>0.77115532190001357</v>
      </c>
      <c r="L337" s="24">
        <v>0.91725935999961017</v>
      </c>
      <c r="M337" s="24">
        <v>0.89779387054669324</v>
      </c>
      <c r="O337" s="53">
        <v>4.4409502022084029</v>
      </c>
      <c r="P337" s="54">
        <v>14263.384431532515</v>
      </c>
      <c r="Q337" s="54">
        <v>4.5219397487076343</v>
      </c>
      <c r="R337" s="54">
        <v>37093.766891750696</v>
      </c>
      <c r="S337" s="54">
        <v>8.0989546499231402E-2</v>
      </c>
      <c r="T337" s="54">
        <v>22830.382460218181</v>
      </c>
      <c r="V337" s="69">
        <f t="shared" si="32"/>
        <v>873926.65601014812</v>
      </c>
      <c r="W337" s="69">
        <f t="shared" si="33"/>
        <v>867294.18284977612</v>
      </c>
      <c r="X337" s="69">
        <f t="shared" si="30"/>
        <v>-6632.473160371901</v>
      </c>
      <c r="Z337" s="68">
        <f t="shared" si="34"/>
        <v>1</v>
      </c>
      <c r="AA337" s="68">
        <f t="shared" si="35"/>
        <v>0</v>
      </c>
      <c r="AB337" s="68">
        <f t="shared" si="31"/>
        <v>0</v>
      </c>
    </row>
    <row r="338" spans="1:28" x14ac:dyDescent="0.25">
      <c r="A338">
        <v>333</v>
      </c>
      <c r="C338" s="24">
        <v>1.198636319829971E-3</v>
      </c>
      <c r="D338" s="24">
        <v>1.1022743588742117E-3</v>
      </c>
      <c r="E338" s="24">
        <v>1.3190553034358485E-18</v>
      </c>
      <c r="F338" s="24">
        <v>9.3615601529446564E-19</v>
      </c>
      <c r="G338" s="24">
        <v>0.47007039901208059</v>
      </c>
      <c r="H338" s="24">
        <v>0.28573501186705241</v>
      </c>
      <c r="I338" s="53">
        <v>2185.4957048336405</v>
      </c>
      <c r="J338" s="53">
        <v>5585.9421710257693</v>
      </c>
      <c r="K338" s="24">
        <v>0.63481522136269297</v>
      </c>
      <c r="L338" s="24">
        <v>0.87139553212738563</v>
      </c>
      <c r="M338" s="24">
        <v>0.7866283010112286</v>
      </c>
      <c r="O338" s="53">
        <v>4.1511448028920892</v>
      </c>
      <c r="P338" s="54">
        <v>13069.217735933949</v>
      </c>
      <c r="Q338" s="54">
        <v>4.261914341187186</v>
      </c>
      <c r="R338" s="54">
        <v>32993.430177957591</v>
      </c>
      <c r="S338" s="54">
        <v>0.11076953829509684</v>
      </c>
      <c r="T338" s="54">
        <v>19924.212442023643</v>
      </c>
      <c r="V338" s="69">
        <f t="shared" si="32"/>
        <v>817159.74284248392</v>
      </c>
      <c r="W338" s="69">
        <f t="shared" si="33"/>
        <v>819389.43805947958</v>
      </c>
      <c r="X338" s="69">
        <f t="shared" si="30"/>
        <v>2229.6952169957258</v>
      </c>
      <c r="Z338" s="68">
        <f t="shared" si="34"/>
        <v>0</v>
      </c>
      <c r="AA338" s="68">
        <f t="shared" si="35"/>
        <v>1</v>
      </c>
      <c r="AB338" s="68">
        <f t="shared" si="31"/>
        <v>1</v>
      </c>
    </row>
    <row r="339" spans="1:28" x14ac:dyDescent="0.25">
      <c r="A339">
        <v>334</v>
      </c>
      <c r="C339" s="24">
        <v>8.4717146528465737E-3</v>
      </c>
      <c r="D339" s="24">
        <v>6.4616367660795815E-3</v>
      </c>
      <c r="E339" s="24">
        <v>2.8379884713326865E-20</v>
      </c>
      <c r="F339" s="24">
        <v>2.0864122651786943E-9</v>
      </c>
      <c r="G339" s="24">
        <v>0.64763763762390192</v>
      </c>
      <c r="H339" s="24">
        <v>0.27401575317416516</v>
      </c>
      <c r="I339" s="53">
        <v>1835.9133892471123</v>
      </c>
      <c r="J339" s="53">
        <v>5456.0360723435542</v>
      </c>
      <c r="K339" s="24">
        <v>0.52783918121876383</v>
      </c>
      <c r="L339" s="24">
        <v>0.65302427050194345</v>
      </c>
      <c r="M339" s="24">
        <v>0.98356000769218099</v>
      </c>
      <c r="O339" s="53">
        <v>3.0880405919066876</v>
      </c>
      <c r="P339" s="54">
        <v>17278.577929205247</v>
      </c>
      <c r="Q339" s="54">
        <v>3.2315454386975127</v>
      </c>
      <c r="R339" s="54">
        <v>31701.253967849429</v>
      </c>
      <c r="S339" s="54">
        <v>0.14350484679082509</v>
      </c>
      <c r="T339" s="54">
        <v>14422.676038644182</v>
      </c>
      <c r="V339" s="69">
        <f t="shared" si="32"/>
        <v>600329.54045213223</v>
      </c>
      <c r="W339" s="69">
        <f t="shared" si="33"/>
        <v>614607.83377165312</v>
      </c>
      <c r="X339" s="69">
        <f t="shared" si="30"/>
        <v>14278.293319520835</v>
      </c>
      <c r="Z339" s="68">
        <f t="shared" si="34"/>
        <v>0</v>
      </c>
      <c r="AA339" s="68">
        <f t="shared" si="35"/>
        <v>1</v>
      </c>
      <c r="AB339" s="68">
        <f t="shared" si="31"/>
        <v>1</v>
      </c>
    </row>
    <row r="340" spans="1:28" x14ac:dyDescent="0.25">
      <c r="A340">
        <v>335</v>
      </c>
      <c r="C340" s="24">
        <v>4.3459772485253345E-2</v>
      </c>
      <c r="D340" s="24">
        <v>2.4036154215298661E-5</v>
      </c>
      <c r="E340" s="24">
        <v>1.0723845437180358E-27</v>
      </c>
      <c r="F340" s="24">
        <v>1.5497973579653603E-42</v>
      </c>
      <c r="G340" s="24">
        <v>0.63678807540430693</v>
      </c>
      <c r="H340" s="24">
        <v>0.23535835072541955</v>
      </c>
      <c r="I340" s="53">
        <v>1745.7677151955922</v>
      </c>
      <c r="J340" s="53">
        <v>4472.2554299523927</v>
      </c>
      <c r="K340" s="24">
        <v>0.31746105400822305</v>
      </c>
      <c r="L340" s="24">
        <v>0.97574884097162751</v>
      </c>
      <c r="M340" s="24">
        <v>0.96503764013619686</v>
      </c>
      <c r="O340" s="53">
        <v>3.8410726812748646</v>
      </c>
      <c r="P340" s="54">
        <v>22162.241620335102</v>
      </c>
      <c r="Q340" s="54">
        <v>4.6762665533785626</v>
      </c>
      <c r="R340" s="54">
        <v>31788.165556322761</v>
      </c>
      <c r="S340" s="54">
        <v>0.835193872103698</v>
      </c>
      <c r="T340" s="54">
        <v>9625.9239359876592</v>
      </c>
      <c r="V340" s="69">
        <f t="shared" si="32"/>
        <v>746052.29463463777</v>
      </c>
      <c r="W340" s="69">
        <f t="shared" si="33"/>
        <v>903465.14511938975</v>
      </c>
      <c r="X340" s="69">
        <f t="shared" si="30"/>
        <v>157412.85048475192</v>
      </c>
      <c r="Z340" s="68">
        <f t="shared" si="34"/>
        <v>0</v>
      </c>
      <c r="AA340" s="68">
        <f t="shared" si="35"/>
        <v>1</v>
      </c>
      <c r="AB340" s="68">
        <f t="shared" si="31"/>
        <v>1</v>
      </c>
    </row>
    <row r="341" spans="1:28" x14ac:dyDescent="0.25">
      <c r="A341">
        <v>336</v>
      </c>
      <c r="C341" s="24">
        <v>2.5883215266288118E-2</v>
      </c>
      <c r="D341" s="24">
        <v>6.7124054488808538E-3</v>
      </c>
      <c r="E341" s="24">
        <v>3.077937904549799E-11</v>
      </c>
      <c r="F341" s="24">
        <v>9.3406111562648816E-50</v>
      </c>
      <c r="G341" s="24">
        <v>0.62490240555077603</v>
      </c>
      <c r="H341" s="24">
        <v>0.36400013395651531</v>
      </c>
      <c r="I341" s="53">
        <v>2177.4104316442499</v>
      </c>
      <c r="J341" s="53">
        <v>5454.6739234366614</v>
      </c>
      <c r="K341" s="24">
        <v>0.42850536138753054</v>
      </c>
      <c r="L341" s="24">
        <v>0.83960870684853994</v>
      </c>
      <c r="M341" s="24">
        <v>0.83288894259937862</v>
      </c>
      <c r="O341" s="53">
        <v>3.5768018909093167</v>
      </c>
      <c r="P341" s="54">
        <v>19915.722508570583</v>
      </c>
      <c r="Q341" s="54">
        <v>3.9639470603686622</v>
      </c>
      <c r="R341" s="54">
        <v>46544.673934321065</v>
      </c>
      <c r="S341" s="54">
        <v>0.38714516945934552</v>
      </c>
      <c r="T341" s="54">
        <v>26628.951425750482</v>
      </c>
      <c r="V341" s="69">
        <f t="shared" si="32"/>
        <v>695444.65567329281</v>
      </c>
      <c r="W341" s="69">
        <f t="shared" si="33"/>
        <v>746244.73813941143</v>
      </c>
      <c r="X341" s="69">
        <f t="shared" si="30"/>
        <v>50800.08246611862</v>
      </c>
      <c r="Z341" s="68">
        <f t="shared" si="34"/>
        <v>0</v>
      </c>
      <c r="AA341" s="68">
        <f t="shared" si="35"/>
        <v>1</v>
      </c>
      <c r="AB341" s="68">
        <f t="shared" si="31"/>
        <v>1</v>
      </c>
    </row>
    <row r="342" spans="1:28" x14ac:dyDescent="0.25">
      <c r="A342">
        <v>337</v>
      </c>
      <c r="C342" s="24">
        <v>9.4712789892481553E-5</v>
      </c>
      <c r="D342" s="24">
        <v>6.5235703229118425E-3</v>
      </c>
      <c r="E342" s="24">
        <v>4.6963756634942791E-15</v>
      </c>
      <c r="F342" s="24">
        <v>6.578880956051739E-18</v>
      </c>
      <c r="G342" s="24">
        <v>0.63203192062389224</v>
      </c>
      <c r="H342" s="24">
        <v>0.35273555036902293</v>
      </c>
      <c r="I342" s="53">
        <v>2247.376785863928</v>
      </c>
      <c r="J342" s="53">
        <v>5123.6411107459799</v>
      </c>
      <c r="K342" s="24">
        <v>0.79555421249913461</v>
      </c>
      <c r="L342" s="24">
        <v>0.87437241335008209</v>
      </c>
      <c r="M342" s="24">
        <v>0.79364578179618217</v>
      </c>
      <c r="O342" s="53">
        <v>4.2500636946734129</v>
      </c>
      <c r="P342" s="54">
        <v>14106.914958968136</v>
      </c>
      <c r="Q342" s="54">
        <v>4.3255164525368084</v>
      </c>
      <c r="R342" s="54">
        <v>69821.051739737595</v>
      </c>
      <c r="S342" s="54">
        <v>7.5452757863395448E-2</v>
      </c>
      <c r="T342" s="54">
        <v>55714.136780769462</v>
      </c>
      <c r="V342" s="69">
        <f t="shared" si="32"/>
        <v>835905.82397571439</v>
      </c>
      <c r="W342" s="69">
        <f t="shared" si="33"/>
        <v>795282.23876762402</v>
      </c>
      <c r="X342" s="69">
        <f t="shared" si="30"/>
        <v>-40623.585208090371</v>
      </c>
      <c r="Z342" s="68">
        <f t="shared" si="34"/>
        <v>1</v>
      </c>
      <c r="AA342" s="68">
        <f t="shared" si="35"/>
        <v>0</v>
      </c>
      <c r="AB342" s="68">
        <f t="shared" si="31"/>
        <v>0</v>
      </c>
    </row>
    <row r="343" spans="1:28" x14ac:dyDescent="0.25">
      <c r="A343">
        <v>338</v>
      </c>
      <c r="C343" s="24">
        <v>8.2829467199583284E-3</v>
      </c>
      <c r="D343" s="24">
        <v>1.010931179067217E-6</v>
      </c>
      <c r="E343" s="24">
        <v>2.2087331963405177E-11</v>
      </c>
      <c r="F343" s="24">
        <v>7.4380872280507397E-18</v>
      </c>
      <c r="G343" s="24">
        <v>0.55801530089812124</v>
      </c>
      <c r="H343" s="24">
        <v>0.21999262529794239</v>
      </c>
      <c r="I343" s="53">
        <v>2208.2124713768076</v>
      </c>
      <c r="J343" s="53">
        <v>4724.4213928195613</v>
      </c>
      <c r="K343" s="24">
        <v>0.63065020823567641</v>
      </c>
      <c r="L343" s="24">
        <v>0.95375616859865286</v>
      </c>
      <c r="M343" s="24">
        <v>0.92965139745805636</v>
      </c>
      <c r="O343" s="53">
        <v>4.3812039543206076</v>
      </c>
      <c r="P343" s="54">
        <v>16975.654597089797</v>
      </c>
      <c r="Q343" s="54">
        <v>4.6776991181396355</v>
      </c>
      <c r="R343" s="54">
        <v>32276.62793062269</v>
      </c>
      <c r="S343" s="54">
        <v>0.29649516381902785</v>
      </c>
      <c r="T343" s="54">
        <v>15300.973333532893</v>
      </c>
      <c r="V343" s="69">
        <f t="shared" si="32"/>
        <v>859265.13626703178</v>
      </c>
      <c r="W343" s="69">
        <f t="shared" si="33"/>
        <v>903263.19569730444</v>
      </c>
      <c r="X343" s="69">
        <f t="shared" si="30"/>
        <v>43998.059430272675</v>
      </c>
      <c r="Z343" s="68">
        <f t="shared" si="34"/>
        <v>0</v>
      </c>
      <c r="AA343" s="68">
        <f t="shared" si="35"/>
        <v>1</v>
      </c>
      <c r="AB343" s="68">
        <f t="shared" si="31"/>
        <v>1</v>
      </c>
    </row>
    <row r="344" spans="1:28" x14ac:dyDescent="0.25">
      <c r="A344">
        <v>339</v>
      </c>
      <c r="C344" s="24">
        <v>1.2019149743682613E-6</v>
      </c>
      <c r="D344" s="24">
        <v>2.1687188417367144E-4</v>
      </c>
      <c r="E344" s="24">
        <v>5.6288795962507023E-51</v>
      </c>
      <c r="F344" s="24">
        <v>7.6437572949993967E-28</v>
      </c>
      <c r="G344" s="24">
        <v>0.54160258935366912</v>
      </c>
      <c r="H344" s="24">
        <v>0.29978878815656573</v>
      </c>
      <c r="I344" s="53">
        <v>2083.9874783407827</v>
      </c>
      <c r="J344" s="53">
        <v>4687.9271156502709</v>
      </c>
      <c r="K344" s="24">
        <v>0.6561357310085385</v>
      </c>
      <c r="L344" s="24">
        <v>0.81428021374352877</v>
      </c>
      <c r="M344" s="24">
        <v>0.85248179826377746</v>
      </c>
      <c r="O344" s="53">
        <v>3.8932592197027387</v>
      </c>
      <c r="P344" s="54">
        <v>15277.988404553824</v>
      </c>
      <c r="Q344" s="54">
        <v>4.0039110669970794</v>
      </c>
      <c r="R344" s="54">
        <v>45460.946264133345</v>
      </c>
      <c r="S344" s="54">
        <v>0.11065184729434074</v>
      </c>
      <c r="T344" s="54">
        <v>30182.957859579521</v>
      </c>
      <c r="V344" s="69">
        <f t="shared" si="32"/>
        <v>763373.85553599393</v>
      </c>
      <c r="W344" s="69">
        <f t="shared" si="33"/>
        <v>755321.26713528251</v>
      </c>
      <c r="X344" s="69">
        <f t="shared" si="30"/>
        <v>-8052.5884007113709</v>
      </c>
      <c r="Z344" s="68">
        <f t="shared" si="34"/>
        <v>1</v>
      </c>
      <c r="AA344" s="68">
        <f t="shared" si="35"/>
        <v>0</v>
      </c>
      <c r="AB344" s="68">
        <f t="shared" si="31"/>
        <v>0</v>
      </c>
    </row>
    <row r="345" spans="1:28" x14ac:dyDescent="0.25">
      <c r="A345">
        <v>340</v>
      </c>
      <c r="C345" s="24">
        <v>7.4954479625025004E-8</v>
      </c>
      <c r="D345" s="24">
        <v>3.2194987769367578E-5</v>
      </c>
      <c r="E345" s="24">
        <v>8.2778864594667959E-27</v>
      </c>
      <c r="F345" s="24">
        <v>2.317572834499293E-4</v>
      </c>
      <c r="G345" s="24">
        <v>0.60234124457857574</v>
      </c>
      <c r="H345" s="24">
        <v>0.27193044319222537</v>
      </c>
      <c r="I345" s="53">
        <v>1931.4311439732617</v>
      </c>
      <c r="J345" s="53">
        <v>4770.68462055291</v>
      </c>
      <c r="K345" s="24">
        <v>0.55244238817643054</v>
      </c>
      <c r="L345" s="24">
        <v>0.81286451322553599</v>
      </c>
      <c r="M345" s="24">
        <v>0.84789107555289833</v>
      </c>
      <c r="O345" s="53">
        <v>3.7011331125370193</v>
      </c>
      <c r="P345" s="54">
        <v>18087.051025470941</v>
      </c>
      <c r="Q345" s="54">
        <v>3.9660107146431107</v>
      </c>
      <c r="R345" s="54">
        <v>43375.785410196928</v>
      </c>
      <c r="S345" s="54">
        <v>0.26487760210609146</v>
      </c>
      <c r="T345" s="54">
        <v>25288.734384725987</v>
      </c>
      <c r="V345" s="69">
        <f t="shared" si="32"/>
        <v>722139.57148193289</v>
      </c>
      <c r="W345" s="69">
        <f t="shared" si="33"/>
        <v>749826.35751842521</v>
      </c>
      <c r="X345" s="69">
        <f t="shared" si="30"/>
        <v>27686.786036492307</v>
      </c>
      <c r="Z345" s="68">
        <f t="shared" si="34"/>
        <v>0</v>
      </c>
      <c r="AA345" s="68">
        <f t="shared" si="35"/>
        <v>1</v>
      </c>
      <c r="AB345" s="68">
        <f t="shared" si="31"/>
        <v>1</v>
      </c>
    </row>
    <row r="346" spans="1:28" x14ac:dyDescent="0.25">
      <c r="A346">
        <v>341</v>
      </c>
      <c r="C346" s="24">
        <v>7.0201066550785157E-7</v>
      </c>
      <c r="D346" s="24">
        <v>9.8329838406116081E-6</v>
      </c>
      <c r="E346" s="24">
        <v>7.4274024042253473E-8</v>
      </c>
      <c r="F346" s="24">
        <v>6.3463901911475773E-9</v>
      </c>
      <c r="G346" s="24">
        <v>0.49887493808328498</v>
      </c>
      <c r="H346" s="24">
        <v>0.39040503338878529</v>
      </c>
      <c r="I346" s="53">
        <v>1827.3349977773689</v>
      </c>
      <c r="J346" s="53">
        <v>4131.0811182494435</v>
      </c>
      <c r="K346" s="24">
        <v>0.74805297871919985</v>
      </c>
      <c r="L346" s="24">
        <v>0.91675633636451437</v>
      </c>
      <c r="M346" s="24">
        <v>0.97011917776621781</v>
      </c>
      <c r="O346" s="53">
        <v>4.4210251063401085</v>
      </c>
      <c r="P346" s="54">
        <v>15640.79304700104</v>
      </c>
      <c r="Q346" s="54">
        <v>4.4767220015064479</v>
      </c>
      <c r="R346" s="54">
        <v>71102.222616987739</v>
      </c>
      <c r="S346" s="54">
        <v>5.5696895166339466E-2</v>
      </c>
      <c r="T346" s="54">
        <v>55461.4295699867</v>
      </c>
      <c r="V346" s="69">
        <f t="shared" si="32"/>
        <v>868564.22822102066</v>
      </c>
      <c r="W346" s="69">
        <f t="shared" si="33"/>
        <v>824242.17768430186</v>
      </c>
      <c r="X346" s="69">
        <f t="shared" si="30"/>
        <v>-44322.050536718809</v>
      </c>
      <c r="Z346" s="68">
        <f t="shared" si="34"/>
        <v>1</v>
      </c>
      <c r="AA346" s="68">
        <f t="shared" si="35"/>
        <v>0</v>
      </c>
      <c r="AB346" s="68">
        <f t="shared" si="31"/>
        <v>0</v>
      </c>
    </row>
    <row r="347" spans="1:28" x14ac:dyDescent="0.25">
      <c r="A347">
        <v>342</v>
      </c>
      <c r="C347" s="24">
        <v>2.4865717971589429E-4</v>
      </c>
      <c r="D347" s="24">
        <v>3.1768070594345776E-5</v>
      </c>
      <c r="E347" s="24">
        <v>1.4346542208665269E-6</v>
      </c>
      <c r="F347" s="24">
        <v>6.4361777159651907E-55</v>
      </c>
      <c r="G347" s="24">
        <v>0.46642244202769945</v>
      </c>
      <c r="H347" s="24">
        <v>0.25410456699071404</v>
      </c>
      <c r="I347" s="53">
        <v>1329.6044820478696</v>
      </c>
      <c r="J347" s="53">
        <v>4997.2411712550029</v>
      </c>
      <c r="K347" s="24">
        <v>0.65769875029607117</v>
      </c>
      <c r="L347" s="24">
        <v>0.79309579134234998</v>
      </c>
      <c r="M347" s="24">
        <v>0.66599219416757405</v>
      </c>
      <c r="O347" s="53">
        <v>3.8494810691565253</v>
      </c>
      <c r="P347" s="54">
        <v>12447.683272659086</v>
      </c>
      <c r="Q347" s="54">
        <v>3.9193768207192168</v>
      </c>
      <c r="R347" s="54">
        <v>30354.932226013396</v>
      </c>
      <c r="S347" s="54">
        <v>6.9895751562691455E-2</v>
      </c>
      <c r="T347" s="54">
        <v>17907.248953354312</v>
      </c>
      <c r="V347" s="69">
        <f t="shared" si="32"/>
        <v>757448.53055864596</v>
      </c>
      <c r="W347" s="69">
        <f t="shared" si="33"/>
        <v>753520.43191783002</v>
      </c>
      <c r="X347" s="69">
        <f t="shared" si="30"/>
        <v>-3928.0986408160206</v>
      </c>
      <c r="Z347" s="68">
        <f t="shared" si="34"/>
        <v>1</v>
      </c>
      <c r="AA347" s="68">
        <f t="shared" si="35"/>
        <v>0</v>
      </c>
      <c r="AB347" s="68">
        <f t="shared" si="31"/>
        <v>0</v>
      </c>
    </row>
    <row r="348" spans="1:28" x14ac:dyDescent="0.25">
      <c r="A348">
        <v>343</v>
      </c>
      <c r="C348" s="24">
        <v>4.3419965794455558E-5</v>
      </c>
      <c r="D348" s="24">
        <v>5.3708946825946624E-3</v>
      </c>
      <c r="E348" s="24">
        <v>1.7056273060589433E-8</v>
      </c>
      <c r="F348" s="24">
        <v>5.3388310942592554E-5</v>
      </c>
      <c r="G348" s="24">
        <v>0.52427934824395761</v>
      </c>
      <c r="H348" s="24">
        <v>0.24831202747710812</v>
      </c>
      <c r="I348" s="53">
        <v>2007.8518715751613</v>
      </c>
      <c r="J348" s="53">
        <v>4215.7429375236752</v>
      </c>
      <c r="K348" s="24">
        <v>0.82136841250814463</v>
      </c>
      <c r="L348" s="24">
        <v>0.87655585454326523</v>
      </c>
      <c r="M348" s="24">
        <v>0.86408958194740015</v>
      </c>
      <c r="O348" s="53">
        <v>4.3243631757029002</v>
      </c>
      <c r="P348" s="54">
        <v>16357.629111848226</v>
      </c>
      <c r="Q348" s="54">
        <v>4.3638591992942022</v>
      </c>
      <c r="R348" s="54">
        <v>35641.089244550036</v>
      </c>
      <c r="S348" s="54">
        <v>3.9496023591301999E-2</v>
      </c>
      <c r="T348" s="54">
        <v>19283.46013270181</v>
      </c>
      <c r="V348" s="69">
        <f t="shared" si="32"/>
        <v>848515.00602873182</v>
      </c>
      <c r="W348" s="69">
        <f t="shared" si="33"/>
        <v>837130.75061429036</v>
      </c>
      <c r="X348" s="69">
        <f t="shared" si="30"/>
        <v>-11384.25541444141</v>
      </c>
      <c r="Z348" s="68">
        <f t="shared" si="34"/>
        <v>1</v>
      </c>
      <c r="AA348" s="68">
        <f t="shared" si="35"/>
        <v>0</v>
      </c>
      <c r="AB348" s="68">
        <f t="shared" si="31"/>
        <v>0</v>
      </c>
    </row>
    <row r="349" spans="1:28" x14ac:dyDescent="0.25">
      <c r="A349">
        <v>344</v>
      </c>
      <c r="C349" s="24">
        <v>1.0184466426759853E-2</v>
      </c>
      <c r="D349" s="24">
        <v>2.0922048032984142E-3</v>
      </c>
      <c r="E349" s="24">
        <v>1.1498636225127233E-20</v>
      </c>
      <c r="F349" s="24">
        <v>6.4591896276056104E-7</v>
      </c>
      <c r="G349" s="24">
        <v>0.62518296654527816</v>
      </c>
      <c r="H349" s="24">
        <v>0.24676421533295034</v>
      </c>
      <c r="I349" s="53">
        <v>1948.3289376043117</v>
      </c>
      <c r="J349" s="53">
        <v>5987.0128222722087</v>
      </c>
      <c r="K349" s="24">
        <v>0.61560354897078384</v>
      </c>
      <c r="L349" s="24">
        <v>0.93330049572753992</v>
      </c>
      <c r="M349" s="24">
        <v>0.95361167133197589</v>
      </c>
      <c r="O349" s="53">
        <v>4.1891308747849711</v>
      </c>
      <c r="P349" s="54">
        <v>16838.591873722893</v>
      </c>
      <c r="Q349" s="54">
        <v>4.5627783080976823</v>
      </c>
      <c r="R349" s="54">
        <v>40339.191019130922</v>
      </c>
      <c r="S349" s="54">
        <v>0.37364743331271111</v>
      </c>
      <c r="T349" s="54">
        <v>23500.599145408029</v>
      </c>
      <c r="V349" s="69">
        <f t="shared" si="32"/>
        <v>820987.5830832714</v>
      </c>
      <c r="W349" s="69">
        <f t="shared" si="33"/>
        <v>872216.47060040559</v>
      </c>
      <c r="X349" s="69">
        <f t="shared" si="30"/>
        <v>51228.887517134186</v>
      </c>
      <c r="Z349" s="68">
        <f t="shared" si="34"/>
        <v>0</v>
      </c>
      <c r="AA349" s="68">
        <f t="shared" si="35"/>
        <v>1</v>
      </c>
      <c r="AB349" s="68">
        <f t="shared" si="31"/>
        <v>1</v>
      </c>
    </row>
    <row r="350" spans="1:28" x14ac:dyDescent="0.25">
      <c r="A350">
        <v>345</v>
      </c>
      <c r="C350" s="24">
        <v>5.2201317538306978E-7</v>
      </c>
      <c r="D350" s="24">
        <v>4.6410589123534012E-4</v>
      </c>
      <c r="E350" s="24">
        <v>5.0070490425703218E-3</v>
      </c>
      <c r="F350" s="24">
        <v>7.2365381332817336E-5</v>
      </c>
      <c r="G350" s="24">
        <v>0.69564481091398234</v>
      </c>
      <c r="H350" s="24">
        <v>0.24923768034380933</v>
      </c>
      <c r="I350" s="53">
        <v>2500.9505948944529</v>
      </c>
      <c r="J350" s="53">
        <v>6441.91059385673</v>
      </c>
      <c r="K350" s="24">
        <v>0.6793425103787063</v>
      </c>
      <c r="L350" s="24">
        <v>0.78334075631715228</v>
      </c>
      <c r="M350" s="24">
        <v>0.77406328937604163</v>
      </c>
      <c r="O350" s="53">
        <v>3.6779464393023082</v>
      </c>
      <c r="P350" s="54">
        <v>23390.646832278504</v>
      </c>
      <c r="Q350" s="54">
        <v>3.8818324443863128</v>
      </c>
      <c r="R350" s="54">
        <v>36994.47397079692</v>
      </c>
      <c r="S350" s="54">
        <v>0.20388600508400456</v>
      </c>
      <c r="T350" s="54">
        <v>13603.827138518416</v>
      </c>
      <c r="V350" s="69">
        <f t="shared" si="32"/>
        <v>712198.64102818316</v>
      </c>
      <c r="W350" s="69">
        <f t="shared" si="33"/>
        <v>739372.01490646566</v>
      </c>
      <c r="X350" s="69">
        <f t="shared" si="30"/>
        <v>27173.373878282498</v>
      </c>
      <c r="Z350" s="68">
        <f t="shared" si="34"/>
        <v>0</v>
      </c>
      <c r="AA350" s="68">
        <f t="shared" si="35"/>
        <v>1</v>
      </c>
      <c r="AB350" s="68">
        <f t="shared" si="31"/>
        <v>1</v>
      </c>
    </row>
    <row r="351" spans="1:28" x14ac:dyDescent="0.25">
      <c r="A351">
        <v>346</v>
      </c>
      <c r="C351" s="24">
        <v>2.4356348867459225E-13</v>
      </c>
      <c r="D351" s="24">
        <v>3.0157198784948047E-3</v>
      </c>
      <c r="E351" s="24">
        <v>5.9939664343033883E-10</v>
      </c>
      <c r="F351" s="24">
        <v>6.1985630295247063E-7</v>
      </c>
      <c r="G351" s="24">
        <v>0.62936837232526999</v>
      </c>
      <c r="H351" s="24">
        <v>0.20006274622498554</v>
      </c>
      <c r="I351" s="53">
        <v>2427.1130844178874</v>
      </c>
      <c r="J351" s="53">
        <v>5806.0089856812665</v>
      </c>
      <c r="K351" s="24">
        <v>0.73564672740996961</v>
      </c>
      <c r="L351" s="24">
        <v>0.86272102393728445</v>
      </c>
      <c r="M351" s="24">
        <v>0.95621794194972587</v>
      </c>
      <c r="O351" s="53">
        <v>4.1191287614058574</v>
      </c>
      <c r="P351" s="54">
        <v>17779.506289629418</v>
      </c>
      <c r="Q351" s="54">
        <v>4.2835053621549353</v>
      </c>
      <c r="R351" s="54">
        <v>31379.676289209601</v>
      </c>
      <c r="S351" s="54">
        <v>0.16437660074907789</v>
      </c>
      <c r="T351" s="54">
        <v>13600.169999580183</v>
      </c>
      <c r="V351" s="69">
        <f t="shared" si="32"/>
        <v>806046.24599154212</v>
      </c>
      <c r="W351" s="69">
        <f t="shared" si="33"/>
        <v>825321.3961417774</v>
      </c>
      <c r="X351" s="69">
        <f t="shared" si="30"/>
        <v>19275.150150235393</v>
      </c>
      <c r="Z351" s="68">
        <f t="shared" si="34"/>
        <v>0</v>
      </c>
      <c r="AA351" s="68">
        <f t="shared" si="35"/>
        <v>1</v>
      </c>
      <c r="AB351" s="68">
        <f t="shared" si="31"/>
        <v>1</v>
      </c>
    </row>
    <row r="352" spans="1:28" x14ac:dyDescent="0.25">
      <c r="A352">
        <v>347</v>
      </c>
      <c r="C352" s="24">
        <v>1.9122252732141258E-8</v>
      </c>
      <c r="D352" s="24">
        <v>6.1129830303013115E-5</v>
      </c>
      <c r="E352" s="24">
        <v>4.5633674616851749E-10</v>
      </c>
      <c r="F352" s="24">
        <v>7.4454212795060926E-9</v>
      </c>
      <c r="G352" s="24">
        <v>0.59865024111424725</v>
      </c>
      <c r="H352" s="24">
        <v>0.33306051637061829</v>
      </c>
      <c r="I352" s="53">
        <v>2122.695558329744</v>
      </c>
      <c r="J352" s="53">
        <v>5212.3380378760994</v>
      </c>
      <c r="K352" s="24">
        <v>0.54698799766512096</v>
      </c>
      <c r="L352" s="24">
        <v>0.94977785589654751</v>
      </c>
      <c r="M352" s="24">
        <v>0.8084373775407</v>
      </c>
      <c r="O352" s="53">
        <v>4.1942859177614071</v>
      </c>
      <c r="P352" s="54">
        <v>18182.470396724533</v>
      </c>
      <c r="Q352" s="54">
        <v>4.5485075046141752</v>
      </c>
      <c r="R352" s="54">
        <v>56446.160462678512</v>
      </c>
      <c r="S352" s="54">
        <v>0.35422158685276806</v>
      </c>
      <c r="T352" s="54">
        <v>38263.690065953982</v>
      </c>
      <c r="V352" s="69">
        <f t="shared" si="32"/>
        <v>820674.71315555694</v>
      </c>
      <c r="W352" s="69">
        <f t="shared" si="33"/>
        <v>853255.34046015656</v>
      </c>
      <c r="X352" s="69">
        <f t="shared" si="30"/>
        <v>32580.627304599635</v>
      </c>
      <c r="Z352" s="68">
        <f t="shared" si="34"/>
        <v>0</v>
      </c>
      <c r="AA352" s="68">
        <f t="shared" si="35"/>
        <v>1</v>
      </c>
      <c r="AB352" s="68">
        <f t="shared" si="31"/>
        <v>1</v>
      </c>
    </row>
    <row r="353" spans="1:28" x14ac:dyDescent="0.25">
      <c r="A353">
        <v>348</v>
      </c>
      <c r="C353" s="24">
        <v>7.9749956265219312E-10</v>
      </c>
      <c r="D353" s="24">
        <v>2.9314823959594109E-4</v>
      </c>
      <c r="E353" s="24">
        <v>1.1637618378563665E-35</v>
      </c>
      <c r="F353" s="24">
        <v>8.567974346673779E-7</v>
      </c>
      <c r="G353" s="24">
        <v>0.58157557995233389</v>
      </c>
      <c r="H353" s="24">
        <v>0.28469745193705964</v>
      </c>
      <c r="I353" s="53">
        <v>1702.6556908273001</v>
      </c>
      <c r="J353" s="53">
        <v>4939.9579534412669</v>
      </c>
      <c r="K353" s="24">
        <v>0.76797504964789176</v>
      </c>
      <c r="L353" s="24">
        <v>0.78087184111265262</v>
      </c>
      <c r="M353" s="24">
        <v>0.81837894284708823</v>
      </c>
      <c r="O353" s="53">
        <v>3.8876263436060352</v>
      </c>
      <c r="P353" s="54">
        <v>18804.1140196343</v>
      </c>
      <c r="Q353" s="54">
        <v>3.8993022011344891</v>
      </c>
      <c r="R353" s="54">
        <v>38484.208466082637</v>
      </c>
      <c r="S353" s="54">
        <v>1.1675857528453903E-2</v>
      </c>
      <c r="T353" s="54">
        <v>19680.094446448336</v>
      </c>
      <c r="V353" s="69">
        <f t="shared" si="32"/>
        <v>758721.15470157273</v>
      </c>
      <c r="W353" s="69">
        <f t="shared" si="33"/>
        <v>741376.23176081525</v>
      </c>
      <c r="X353" s="69">
        <f t="shared" si="30"/>
        <v>-17344.922940757555</v>
      </c>
      <c r="Z353" s="68">
        <f t="shared" si="34"/>
        <v>1</v>
      </c>
      <c r="AA353" s="68">
        <f t="shared" si="35"/>
        <v>0</v>
      </c>
      <c r="AB353" s="68">
        <f t="shared" si="31"/>
        <v>0</v>
      </c>
    </row>
    <row r="354" spans="1:28" x14ac:dyDescent="0.25">
      <c r="A354">
        <v>349</v>
      </c>
      <c r="C354" s="24">
        <v>7.2340083333754223E-16</v>
      </c>
      <c r="D354" s="24">
        <v>9.6946868206967491E-5</v>
      </c>
      <c r="E354" s="24">
        <v>3.4528835986807703E-14</v>
      </c>
      <c r="F354" s="24">
        <v>1.0167133283941672E-30</v>
      </c>
      <c r="G354" s="24">
        <v>0.58408285455172004</v>
      </c>
      <c r="H354" s="24">
        <v>0.34288007807689524</v>
      </c>
      <c r="I354" s="53">
        <v>1672.3659755250205</v>
      </c>
      <c r="J354" s="53">
        <v>4631.7089976598336</v>
      </c>
      <c r="K354" s="24">
        <v>0.52991293799803574</v>
      </c>
      <c r="L354" s="24">
        <v>0.92226068985882337</v>
      </c>
      <c r="M354" s="24">
        <v>0.93010684615975547</v>
      </c>
      <c r="O354" s="53">
        <v>4.0977747952511905</v>
      </c>
      <c r="P354" s="54">
        <v>14718.111632312124</v>
      </c>
      <c r="Q354" s="54">
        <v>4.4075548643990521</v>
      </c>
      <c r="R354" s="54">
        <v>61900.506827768557</v>
      </c>
      <c r="S354" s="54">
        <v>0.3097800691478616</v>
      </c>
      <c r="T354" s="54">
        <v>47182.395195456433</v>
      </c>
      <c r="V354" s="69">
        <f t="shared" si="32"/>
        <v>804836.84741792595</v>
      </c>
      <c r="W354" s="69">
        <f t="shared" si="33"/>
        <v>819610.46605204185</v>
      </c>
      <c r="X354" s="69">
        <f t="shared" si="30"/>
        <v>14773.61863411589</v>
      </c>
      <c r="Z354" s="68">
        <f t="shared" si="34"/>
        <v>0</v>
      </c>
      <c r="AA354" s="68">
        <f t="shared" si="35"/>
        <v>1</v>
      </c>
      <c r="AB354" s="68">
        <f t="shared" si="31"/>
        <v>1</v>
      </c>
    </row>
    <row r="355" spans="1:28" x14ac:dyDescent="0.25">
      <c r="A355">
        <v>350</v>
      </c>
      <c r="C355" s="24">
        <v>9.6242979245042548E-5</v>
      </c>
      <c r="D355" s="24">
        <v>2.4610944067277759E-5</v>
      </c>
      <c r="E355" s="24">
        <v>3.4090841261047444E-11</v>
      </c>
      <c r="F355" s="24">
        <v>1.865174681370263E-14</v>
      </c>
      <c r="G355" s="24">
        <v>0.54659034387617489</v>
      </c>
      <c r="H355" s="24">
        <v>0.3104538323923961</v>
      </c>
      <c r="I355" s="53">
        <v>1863.1942521127319</v>
      </c>
      <c r="J355" s="53">
        <v>4728.7494827874361</v>
      </c>
      <c r="K355" s="24">
        <v>0.68297008105694679</v>
      </c>
      <c r="L355" s="24">
        <v>0.97314944847605189</v>
      </c>
      <c r="M355" s="24">
        <v>0.85723535256798455</v>
      </c>
      <c r="O355" s="53">
        <v>4.5329046230101646</v>
      </c>
      <c r="P355" s="54">
        <v>13505.682619020437</v>
      </c>
      <c r="Q355" s="54">
        <v>4.7354579618362465</v>
      </c>
      <c r="R355" s="54">
        <v>50656.740880477075</v>
      </c>
      <c r="S355" s="54">
        <v>0.20255333882608184</v>
      </c>
      <c r="T355" s="54">
        <v>37151.058261456637</v>
      </c>
      <c r="V355" s="69">
        <f t="shared" si="32"/>
        <v>893075.24198301241</v>
      </c>
      <c r="W355" s="69">
        <f t="shared" si="33"/>
        <v>896434.85148677218</v>
      </c>
      <c r="X355" s="69">
        <f t="shared" si="30"/>
        <v>3359.6095037597333</v>
      </c>
      <c r="Z355" s="68">
        <f t="shared" si="34"/>
        <v>0</v>
      </c>
      <c r="AA355" s="68">
        <f t="shared" si="35"/>
        <v>1</v>
      </c>
      <c r="AB355" s="68">
        <f t="shared" si="31"/>
        <v>1</v>
      </c>
    </row>
    <row r="356" spans="1:28" x14ac:dyDescent="0.25">
      <c r="A356">
        <v>351</v>
      </c>
      <c r="C356" s="24">
        <v>4.7107487812181885E-5</v>
      </c>
      <c r="D356" s="24">
        <v>3.1335493230052021E-4</v>
      </c>
      <c r="E356" s="24">
        <v>1.1514436071280443E-9</v>
      </c>
      <c r="F356" s="24">
        <v>1.1363484330202969E-71</v>
      </c>
      <c r="G356" s="24">
        <v>0.53979620909108816</v>
      </c>
      <c r="H356" s="24">
        <v>0.28116119514349425</v>
      </c>
      <c r="I356" s="53">
        <v>1734.5529095034244</v>
      </c>
      <c r="J356" s="53">
        <v>7409.3446600690468</v>
      </c>
      <c r="K356" s="24">
        <v>0.63688382995237602</v>
      </c>
      <c r="L356" s="24">
        <v>0.95218085137762765</v>
      </c>
      <c r="M356" s="24">
        <v>0.93533506669997046</v>
      </c>
      <c r="O356" s="53">
        <v>4.4080189748577414</v>
      </c>
      <c r="P356" s="54">
        <v>15739.829005733885</v>
      </c>
      <c r="Q356" s="54">
        <v>4.6377641862207195</v>
      </c>
      <c r="R356" s="54">
        <v>33508.85023768527</v>
      </c>
      <c r="S356" s="54">
        <v>0.2297452113629781</v>
      </c>
      <c r="T356" s="54">
        <v>17769.021231951385</v>
      </c>
      <c r="V356" s="69">
        <f t="shared" si="32"/>
        <v>865863.96596581442</v>
      </c>
      <c r="W356" s="69">
        <f t="shared" si="33"/>
        <v>894043.98700645869</v>
      </c>
      <c r="X356" s="69">
        <f t="shared" si="30"/>
        <v>28180.021040644231</v>
      </c>
      <c r="Z356" s="68">
        <f t="shared" si="34"/>
        <v>0</v>
      </c>
      <c r="AA356" s="68">
        <f t="shared" si="35"/>
        <v>1</v>
      </c>
      <c r="AB356" s="68">
        <f t="shared" si="31"/>
        <v>1</v>
      </c>
    </row>
    <row r="357" spans="1:28" x14ac:dyDescent="0.25">
      <c r="A357">
        <v>352</v>
      </c>
      <c r="C357" s="24">
        <v>1.6603639621785918E-6</v>
      </c>
      <c r="D357" s="24">
        <v>2.5001924984786631E-5</v>
      </c>
      <c r="E357" s="24">
        <v>6.0448914347584871E-15</v>
      </c>
      <c r="F357" s="24">
        <v>2.1978803609001017E-30</v>
      </c>
      <c r="G357" s="24">
        <v>0.70084663782906431</v>
      </c>
      <c r="H357" s="24">
        <v>0.22239728296282391</v>
      </c>
      <c r="I357" s="53">
        <v>1890.7622144315401</v>
      </c>
      <c r="J357" s="53">
        <v>5604.105493782643</v>
      </c>
      <c r="K357" s="24">
        <v>0.62956268735395082</v>
      </c>
      <c r="L357" s="24">
        <v>0.86705479214963521</v>
      </c>
      <c r="M357" s="24">
        <v>0.85463190604780659</v>
      </c>
      <c r="O357" s="53">
        <v>3.87296419560281</v>
      </c>
      <c r="P357" s="54">
        <v>20540.027077790066</v>
      </c>
      <c r="Q357" s="54">
        <v>4.2673854028891105</v>
      </c>
      <c r="R357" s="54">
        <v>38119.46196666771</v>
      </c>
      <c r="S357" s="54">
        <v>0.39442120728630048</v>
      </c>
      <c r="T357" s="54">
        <v>17579.434888877644</v>
      </c>
      <c r="V357" s="69">
        <f t="shared" si="32"/>
        <v>754052.81204277184</v>
      </c>
      <c r="W357" s="69">
        <f t="shared" si="33"/>
        <v>815357.61861115438</v>
      </c>
      <c r="X357" s="69">
        <f t="shared" si="30"/>
        <v>61304.806568382453</v>
      </c>
      <c r="Z357" s="68">
        <f t="shared" si="34"/>
        <v>0</v>
      </c>
      <c r="AA357" s="68">
        <f t="shared" si="35"/>
        <v>1</v>
      </c>
      <c r="AB357" s="68">
        <f t="shared" si="31"/>
        <v>1</v>
      </c>
    </row>
    <row r="358" spans="1:28" x14ac:dyDescent="0.25">
      <c r="A358">
        <v>353</v>
      </c>
      <c r="C358" s="24">
        <v>9.3812802004057417E-12</v>
      </c>
      <c r="D358" s="24">
        <v>8.5701451623172102E-4</v>
      </c>
      <c r="E358" s="24">
        <v>8.2486639300016762E-4</v>
      </c>
      <c r="F358" s="24">
        <v>5.5680813515479599E-8</v>
      </c>
      <c r="G358" s="24">
        <v>0.6849252216374957</v>
      </c>
      <c r="H358" s="24">
        <v>0.26394972942899209</v>
      </c>
      <c r="I358" s="53">
        <v>2174.8275669203476</v>
      </c>
      <c r="J358" s="53">
        <v>4744.1401757227486</v>
      </c>
      <c r="K358" s="24">
        <v>0.7965761739306112</v>
      </c>
      <c r="L358" s="24">
        <v>0.81298447273899177</v>
      </c>
      <c r="M358" s="24">
        <v>0.91230358219285634</v>
      </c>
      <c r="O358" s="53">
        <v>4.0279172129040512</v>
      </c>
      <c r="P358" s="54">
        <v>21171.689367691964</v>
      </c>
      <c r="Q358" s="54">
        <v>4.0595823448827311</v>
      </c>
      <c r="R358" s="54">
        <v>44895.598357306524</v>
      </c>
      <c r="S358" s="54">
        <v>3.1665131978679817E-2</v>
      </c>
      <c r="T358" s="54">
        <v>23723.90898961456</v>
      </c>
      <c r="V358" s="69">
        <f t="shared" si="32"/>
        <v>784411.7532131183</v>
      </c>
      <c r="W358" s="69">
        <f t="shared" si="33"/>
        <v>767020.87061923963</v>
      </c>
      <c r="X358" s="69">
        <f t="shared" si="30"/>
        <v>-17390.882593878596</v>
      </c>
      <c r="Z358" s="68">
        <f t="shared" si="34"/>
        <v>1</v>
      </c>
      <c r="AA358" s="68">
        <f t="shared" si="35"/>
        <v>0</v>
      </c>
      <c r="AB358" s="68">
        <f t="shared" si="31"/>
        <v>0</v>
      </c>
    </row>
    <row r="359" spans="1:28" x14ac:dyDescent="0.25">
      <c r="A359">
        <v>354</v>
      </c>
      <c r="C359" s="24">
        <v>2.6132571910112836E-6</v>
      </c>
      <c r="D359" s="24">
        <v>3.032704832235989E-4</v>
      </c>
      <c r="E359" s="24">
        <v>1.7094881066270773E-11</v>
      </c>
      <c r="F359" s="24">
        <v>2.0834232263095723E-19</v>
      </c>
      <c r="G359" s="24">
        <v>0.54797827466994731</v>
      </c>
      <c r="H359" s="24">
        <v>0.28491889579955287</v>
      </c>
      <c r="I359" s="53">
        <v>2278.8031503343818</v>
      </c>
      <c r="J359" s="53">
        <v>4868.2748484355006</v>
      </c>
      <c r="K359" s="24">
        <v>0.62092212070362485</v>
      </c>
      <c r="L359" s="24">
        <v>0.9931655799010064</v>
      </c>
      <c r="M359" s="24">
        <v>0.80544931456234603</v>
      </c>
      <c r="O359" s="53">
        <v>4.5368563593796036</v>
      </c>
      <c r="P359" s="54">
        <v>11975.685738907669</v>
      </c>
      <c r="Q359" s="54">
        <v>4.8174222707365644</v>
      </c>
      <c r="R359" s="54">
        <v>42956.122482318497</v>
      </c>
      <c r="S359" s="54">
        <v>0.28056591135696074</v>
      </c>
      <c r="T359" s="54">
        <v>30980.436743410828</v>
      </c>
      <c r="V359" s="69">
        <f t="shared" si="32"/>
        <v>895395.58613701304</v>
      </c>
      <c r="W359" s="69">
        <f t="shared" si="33"/>
        <v>920528.33166499436</v>
      </c>
      <c r="X359" s="69">
        <f t="shared" si="30"/>
        <v>25132.745527981322</v>
      </c>
      <c r="Z359" s="68">
        <f t="shared" si="34"/>
        <v>0</v>
      </c>
      <c r="AA359" s="68">
        <f t="shared" si="35"/>
        <v>1</v>
      </c>
      <c r="AB359" s="68">
        <f t="shared" si="31"/>
        <v>1</v>
      </c>
    </row>
    <row r="360" spans="1:28" x14ac:dyDescent="0.25">
      <c r="A360">
        <v>355</v>
      </c>
      <c r="C360" s="24">
        <v>3.4175241832408165E-3</v>
      </c>
      <c r="D360" s="24">
        <v>5.3201748089416441E-4</v>
      </c>
      <c r="E360" s="24">
        <v>2.0417658335366415E-19</v>
      </c>
      <c r="F360" s="24">
        <v>2.1714852138643437E-12</v>
      </c>
      <c r="G360" s="24">
        <v>0.54446123426972437</v>
      </c>
      <c r="H360" s="24">
        <v>0.25588791445270542</v>
      </c>
      <c r="I360" s="53">
        <v>1265.3540388024201</v>
      </c>
      <c r="J360" s="53">
        <v>5927.7397651478095</v>
      </c>
      <c r="K360" s="24">
        <v>0.79932538337269765</v>
      </c>
      <c r="L360" s="24">
        <v>0.9054049156241557</v>
      </c>
      <c r="M360" s="24">
        <v>0.89057006329506294</v>
      </c>
      <c r="O360" s="53">
        <v>4.4058742836236053</v>
      </c>
      <c r="P360" s="54">
        <v>13770.257464107537</v>
      </c>
      <c r="Q360" s="54">
        <v>4.4905362031240781</v>
      </c>
      <c r="R360" s="54">
        <v>31137.069885945119</v>
      </c>
      <c r="S360" s="54">
        <v>8.4661919500472749E-2</v>
      </c>
      <c r="T360" s="54">
        <v>17366.812421837581</v>
      </c>
      <c r="V360" s="69">
        <f t="shared" si="32"/>
        <v>867404.59926061344</v>
      </c>
      <c r="W360" s="69">
        <f t="shared" si="33"/>
        <v>866970.17073887051</v>
      </c>
      <c r="X360" s="69">
        <f t="shared" si="30"/>
        <v>-434.42852174303334</v>
      </c>
      <c r="Z360" s="68">
        <f t="shared" si="34"/>
        <v>1</v>
      </c>
      <c r="AA360" s="68">
        <f t="shared" si="35"/>
        <v>0</v>
      </c>
      <c r="AB360" s="68">
        <f t="shared" si="31"/>
        <v>0</v>
      </c>
    </row>
    <row r="361" spans="1:28" x14ac:dyDescent="0.25">
      <c r="A361">
        <v>356</v>
      </c>
      <c r="C361" s="24">
        <v>6.2419357694099009E-4</v>
      </c>
      <c r="D361" s="24">
        <v>2.7333638978298513E-4</v>
      </c>
      <c r="E361" s="24">
        <v>3.4396802144892889E-41</v>
      </c>
      <c r="F361" s="24">
        <v>3.1080402919656208E-25</v>
      </c>
      <c r="G361" s="24">
        <v>0.67462126548440715</v>
      </c>
      <c r="H361" s="24">
        <v>0.19744960114024124</v>
      </c>
      <c r="I361" s="53">
        <v>1672.6003585339135</v>
      </c>
      <c r="J361" s="53">
        <v>3901.7454779260247</v>
      </c>
      <c r="K361" s="24">
        <v>0.62522318712099101</v>
      </c>
      <c r="L361" s="24">
        <v>0.80767761259571269</v>
      </c>
      <c r="M361" s="24">
        <v>0.57037372327886249</v>
      </c>
      <c r="O361" s="53">
        <v>3.7114932949606718</v>
      </c>
      <c r="P361" s="54">
        <v>19748.134587974357</v>
      </c>
      <c r="Q361" s="54">
        <v>3.9931284663440061</v>
      </c>
      <c r="R361" s="54">
        <v>22287.804405700899</v>
      </c>
      <c r="S361" s="54">
        <v>0.28163517138333427</v>
      </c>
      <c r="T361" s="54">
        <v>2539.6698177265425</v>
      </c>
      <c r="V361" s="69">
        <f t="shared" si="32"/>
        <v>722550.52440415998</v>
      </c>
      <c r="W361" s="69">
        <f t="shared" si="33"/>
        <v>776337.88886310032</v>
      </c>
      <c r="X361" s="69">
        <f t="shared" si="30"/>
        <v>53787.364458940312</v>
      </c>
      <c r="Z361" s="68">
        <f t="shared" si="34"/>
        <v>0</v>
      </c>
      <c r="AA361" s="68">
        <f t="shared" si="35"/>
        <v>1</v>
      </c>
      <c r="AB361" s="68">
        <f t="shared" si="31"/>
        <v>1</v>
      </c>
    </row>
    <row r="362" spans="1:28" x14ac:dyDescent="0.25">
      <c r="A362">
        <v>357</v>
      </c>
      <c r="C362" s="24">
        <v>4.7848148828322223E-4</v>
      </c>
      <c r="D362" s="24">
        <v>1.0222236800929804E-6</v>
      </c>
      <c r="E362" s="24">
        <v>7.2789322578092897E-4</v>
      </c>
      <c r="F362" s="24">
        <v>3.818455714626899E-54</v>
      </c>
      <c r="G362" s="24">
        <v>0.70219176827697916</v>
      </c>
      <c r="H362" s="24">
        <v>0.35098717106692112</v>
      </c>
      <c r="I362" s="53">
        <v>2405.593977101918</v>
      </c>
      <c r="J362" s="53">
        <v>6102.3379024436827</v>
      </c>
      <c r="K362" s="24">
        <v>0.72828672100990666</v>
      </c>
      <c r="L362" s="24">
        <v>0.49474717267460544</v>
      </c>
      <c r="M362" s="24">
        <v>0.87804983043606277</v>
      </c>
      <c r="O362" s="53">
        <v>2.9285774530892414</v>
      </c>
      <c r="P362" s="54">
        <v>21641.67629765622</v>
      </c>
      <c r="Q362" s="54">
        <v>2.5993643653278431</v>
      </c>
      <c r="R362" s="54">
        <v>56600.000033761607</v>
      </c>
      <c r="S362" s="54">
        <v>-0.32921308776139835</v>
      </c>
      <c r="T362" s="54">
        <v>34958.323736105391</v>
      </c>
      <c r="V362" s="69">
        <f t="shared" si="32"/>
        <v>564073.81432019197</v>
      </c>
      <c r="W362" s="69">
        <f t="shared" si="33"/>
        <v>463272.87303180702</v>
      </c>
      <c r="X362" s="69">
        <f t="shared" si="30"/>
        <v>-100800.94128838506</v>
      </c>
      <c r="Z362" s="68">
        <f t="shared" si="34"/>
        <v>1</v>
      </c>
      <c r="AA362" s="68">
        <f t="shared" si="35"/>
        <v>0</v>
      </c>
      <c r="AB362" s="68">
        <f t="shared" si="31"/>
        <v>0</v>
      </c>
    </row>
    <row r="363" spans="1:28" x14ac:dyDescent="0.25">
      <c r="A363">
        <v>358</v>
      </c>
      <c r="C363" s="24">
        <v>1.2018532335826837E-3</v>
      </c>
      <c r="D363" s="24">
        <v>1.0793932602638711E-3</v>
      </c>
      <c r="E363" s="24">
        <v>7.3328663098282121E-6</v>
      </c>
      <c r="F363" s="24">
        <v>1.0653315150817782E-24</v>
      </c>
      <c r="G363" s="24">
        <v>0.59322961539233243</v>
      </c>
      <c r="H363" s="24">
        <v>0.32943856681187123</v>
      </c>
      <c r="I363" s="53">
        <v>2185.3536944894545</v>
      </c>
      <c r="J363" s="53">
        <v>5266.0758573871644</v>
      </c>
      <c r="K363" s="24">
        <v>0.71079388323376813</v>
      </c>
      <c r="L363" s="24">
        <v>0.6239470391474462</v>
      </c>
      <c r="M363" s="24">
        <v>0.98649181204298775</v>
      </c>
      <c r="O363" s="53">
        <v>3.2409536194793063</v>
      </c>
      <c r="P363" s="54">
        <v>14944.959103316089</v>
      </c>
      <c r="Q363" s="54">
        <v>3.1648687384927312</v>
      </c>
      <c r="R363" s="54">
        <v>54225.966759034163</v>
      </c>
      <c r="S363" s="54">
        <v>-7.6084880986575065E-2</v>
      </c>
      <c r="T363" s="54">
        <v>39281.007655718073</v>
      </c>
      <c r="V363" s="69">
        <f t="shared" si="32"/>
        <v>633245.76479254523</v>
      </c>
      <c r="W363" s="69">
        <f t="shared" si="33"/>
        <v>578747.78093951207</v>
      </c>
      <c r="X363" s="69">
        <f t="shared" si="30"/>
        <v>-54497.983853033089</v>
      </c>
      <c r="Z363" s="68">
        <f t="shared" si="34"/>
        <v>1</v>
      </c>
      <c r="AA363" s="68">
        <f t="shared" si="35"/>
        <v>0</v>
      </c>
      <c r="AB363" s="68">
        <f t="shared" si="31"/>
        <v>0</v>
      </c>
    </row>
    <row r="364" spans="1:28" x14ac:dyDescent="0.25">
      <c r="A364">
        <v>359</v>
      </c>
      <c r="C364" s="24">
        <v>2.5066569751719392E-3</v>
      </c>
      <c r="D364" s="24">
        <v>2.5797935019213902E-3</v>
      </c>
      <c r="E364" s="24">
        <v>3.2908058157619102E-3</v>
      </c>
      <c r="F364" s="24">
        <v>1.3038163867329366E-5</v>
      </c>
      <c r="G364" s="24">
        <v>0.56596321742660649</v>
      </c>
      <c r="H364" s="24">
        <v>0.35882623908088218</v>
      </c>
      <c r="I364" s="53">
        <v>1718.9463586017994</v>
      </c>
      <c r="J364" s="53">
        <v>4491.2566478001772</v>
      </c>
      <c r="K364" s="24">
        <v>0.48605733008969382</v>
      </c>
      <c r="L364" s="24">
        <v>0.92425718452762551</v>
      </c>
      <c r="M364" s="24">
        <v>0.89507821698894952</v>
      </c>
      <c r="O364" s="53">
        <v>4.0560075642529769</v>
      </c>
      <c r="P364" s="54">
        <v>16362.4939954493</v>
      </c>
      <c r="Q364" s="54">
        <v>4.3769055231334857</v>
      </c>
      <c r="R364" s="54">
        <v>64809.144467241858</v>
      </c>
      <c r="S364" s="54">
        <v>0.32089795888050876</v>
      </c>
      <c r="T364" s="54">
        <v>48446.650471792556</v>
      </c>
      <c r="V364" s="69">
        <f t="shared" si="32"/>
        <v>794839.01885514613</v>
      </c>
      <c r="W364" s="69">
        <f t="shared" si="33"/>
        <v>810571.96015945531</v>
      </c>
      <c r="X364" s="69">
        <f t="shared" si="30"/>
        <v>15732.941304309199</v>
      </c>
      <c r="Z364" s="68">
        <f t="shared" si="34"/>
        <v>0</v>
      </c>
      <c r="AA364" s="68">
        <f t="shared" si="35"/>
        <v>1</v>
      </c>
      <c r="AB364" s="68">
        <f t="shared" si="31"/>
        <v>1</v>
      </c>
    </row>
    <row r="365" spans="1:28" x14ac:dyDescent="0.25">
      <c r="A365">
        <v>360</v>
      </c>
      <c r="C365" s="24">
        <v>7.2236272174563965E-5</v>
      </c>
      <c r="D365" s="24">
        <v>9.7453611034310902E-4</v>
      </c>
      <c r="E365" s="24">
        <v>9.0973006011888574E-34</v>
      </c>
      <c r="F365" s="24">
        <v>5.8591229184003505E-41</v>
      </c>
      <c r="G365" s="24">
        <v>0.51949775594296588</v>
      </c>
      <c r="H365" s="24">
        <v>0.22274099594489527</v>
      </c>
      <c r="I365" s="53">
        <v>2020.5061755375229</v>
      </c>
      <c r="J365" s="53">
        <v>6679.5648091096919</v>
      </c>
      <c r="K365" s="24">
        <v>0.64269253168257356</v>
      </c>
      <c r="L365" s="24">
        <v>0.91479393019809208</v>
      </c>
      <c r="M365" s="24">
        <v>0.95163532181979194</v>
      </c>
      <c r="O365" s="53">
        <v>4.2909386779601464</v>
      </c>
      <c r="P365" s="54">
        <v>13394.300418974315</v>
      </c>
      <c r="Q365" s="54">
        <v>4.4962533775277276</v>
      </c>
      <c r="R365" s="54">
        <v>26907.354969175223</v>
      </c>
      <c r="S365" s="54">
        <v>0.20531469956758119</v>
      </c>
      <c r="T365" s="54">
        <v>13513.054550200908</v>
      </c>
      <c r="V365" s="69">
        <f t="shared" si="32"/>
        <v>844793.43517305492</v>
      </c>
      <c r="W365" s="69">
        <f t="shared" si="33"/>
        <v>872343.32053637039</v>
      </c>
      <c r="X365" s="69">
        <f t="shared" si="30"/>
        <v>27549.88536331533</v>
      </c>
      <c r="Z365" s="68">
        <f t="shared" si="34"/>
        <v>0</v>
      </c>
      <c r="AA365" s="68">
        <f t="shared" si="35"/>
        <v>1</v>
      </c>
      <c r="AB365" s="68">
        <f t="shared" si="31"/>
        <v>1</v>
      </c>
    </row>
    <row r="366" spans="1:28" x14ac:dyDescent="0.25">
      <c r="A366">
        <v>361</v>
      </c>
      <c r="C366" s="24">
        <v>8.1358916095749853E-10</v>
      </c>
      <c r="D366" s="24">
        <v>3.4818499320788304E-4</v>
      </c>
      <c r="E366" s="24">
        <v>3.8300612309214425E-27</v>
      </c>
      <c r="F366" s="24">
        <v>8.5007337007719752E-28</v>
      </c>
      <c r="G366" s="24">
        <v>0.55169841573660738</v>
      </c>
      <c r="H366" s="24">
        <v>0.32552948199004506</v>
      </c>
      <c r="I366" s="53">
        <v>1701.2683832758346</v>
      </c>
      <c r="J366" s="53">
        <v>4570.0512311449802</v>
      </c>
      <c r="K366" s="24">
        <v>0.65581868898625373</v>
      </c>
      <c r="L366" s="24">
        <v>0.83000576223012912</v>
      </c>
      <c r="M366" s="24">
        <v>0.85767430894152774</v>
      </c>
      <c r="O366" s="53">
        <v>3.9466231183048683</v>
      </c>
      <c r="P366" s="54">
        <v>15968.580538194783</v>
      </c>
      <c r="Q366" s="54">
        <v>4.066330250857531</v>
      </c>
      <c r="R366" s="54">
        <v>57846.451644749985</v>
      </c>
      <c r="S366" s="54">
        <v>0.11970713255266263</v>
      </c>
      <c r="T366" s="54">
        <v>41877.871106555205</v>
      </c>
      <c r="V366" s="69">
        <f t="shared" si="32"/>
        <v>773356.04312277888</v>
      </c>
      <c r="W366" s="69">
        <f t="shared" si="33"/>
        <v>755419.59852675628</v>
      </c>
      <c r="X366" s="69">
        <f t="shared" si="30"/>
        <v>-17936.44459602268</v>
      </c>
      <c r="Z366" s="68">
        <f t="shared" si="34"/>
        <v>1</v>
      </c>
      <c r="AA366" s="68">
        <f t="shared" si="35"/>
        <v>0</v>
      </c>
      <c r="AB366" s="68">
        <f t="shared" si="31"/>
        <v>0</v>
      </c>
    </row>
    <row r="367" spans="1:28" x14ac:dyDescent="0.25">
      <c r="A367">
        <v>362</v>
      </c>
      <c r="C367" s="24">
        <v>1.3355578609461349E-2</v>
      </c>
      <c r="D367" s="24">
        <v>6.0698027332223292E-3</v>
      </c>
      <c r="E367" s="24">
        <v>4.8895005266835767E-6</v>
      </c>
      <c r="F367" s="24">
        <v>5.4550758565863333E-6</v>
      </c>
      <c r="G367" s="24">
        <v>0.54865643076407389</v>
      </c>
      <c r="H367" s="24">
        <v>0.31262494877992753</v>
      </c>
      <c r="I367" s="53">
        <v>1978.1447562743208</v>
      </c>
      <c r="J367" s="53">
        <v>4992.3928489810442</v>
      </c>
      <c r="K367" s="24">
        <v>0.78900199259256909</v>
      </c>
      <c r="L367" s="24">
        <v>0.83688827369616647</v>
      </c>
      <c r="M367" s="24">
        <v>0.83682120542245575</v>
      </c>
      <c r="O367" s="53">
        <v>4.1290820329823488</v>
      </c>
      <c r="P367" s="54">
        <v>18975.923435702633</v>
      </c>
      <c r="Q367" s="54">
        <v>4.1626943634861648</v>
      </c>
      <c r="R367" s="54">
        <v>59327.050968651412</v>
      </c>
      <c r="S367" s="54">
        <v>3.3612330503816068E-2</v>
      </c>
      <c r="T367" s="54">
        <v>40351.127532948783</v>
      </c>
      <c r="V367" s="69">
        <f t="shared" si="32"/>
        <v>806840.48316076712</v>
      </c>
      <c r="W367" s="69">
        <f t="shared" si="33"/>
        <v>773211.82172858156</v>
      </c>
      <c r="X367" s="69">
        <f t="shared" si="30"/>
        <v>-33628.661432185567</v>
      </c>
      <c r="Z367" s="68">
        <f t="shared" si="34"/>
        <v>1</v>
      </c>
      <c r="AA367" s="68">
        <f t="shared" si="35"/>
        <v>0</v>
      </c>
      <c r="AB367" s="68">
        <f t="shared" si="31"/>
        <v>0</v>
      </c>
    </row>
    <row r="368" spans="1:28" x14ac:dyDescent="0.25">
      <c r="A368">
        <v>363</v>
      </c>
      <c r="C368" s="24">
        <v>5.755219283398727E-5</v>
      </c>
      <c r="D368" s="24">
        <v>1.1409765175436778E-5</v>
      </c>
      <c r="E368" s="24">
        <v>3.486188415724456E-8</v>
      </c>
      <c r="F368" s="24">
        <v>1.3184453528936046E-11</v>
      </c>
      <c r="G368" s="24">
        <v>0.61654678340503777</v>
      </c>
      <c r="H368" s="24">
        <v>0.32747356465970967</v>
      </c>
      <c r="I368" s="53">
        <v>1992.8158457616473</v>
      </c>
      <c r="J368" s="53">
        <v>6977.9235891630005</v>
      </c>
      <c r="K368" s="24">
        <v>0.59751052569477625</v>
      </c>
      <c r="L368" s="24">
        <v>0.8402769892793378</v>
      </c>
      <c r="M368" s="24">
        <v>0.99081346135340476</v>
      </c>
      <c r="O368" s="53">
        <v>3.8459006276939478</v>
      </c>
      <c r="P368" s="54">
        <v>23704.04845258125</v>
      </c>
      <c r="Q368" s="54">
        <v>4.0836312875972975</v>
      </c>
      <c r="R368" s="54">
        <v>47402.135276621688</v>
      </c>
      <c r="S368" s="54">
        <v>0.23773065990334974</v>
      </c>
      <c r="T368" s="54">
        <v>23698.086824040438</v>
      </c>
      <c r="V368" s="69">
        <f t="shared" si="32"/>
        <v>745476.07708620827</v>
      </c>
      <c r="W368" s="69">
        <f t="shared" si="33"/>
        <v>769324.1222428378</v>
      </c>
      <c r="X368" s="69">
        <f t="shared" si="30"/>
        <v>23848.045156629509</v>
      </c>
      <c r="Z368" s="68">
        <f t="shared" si="34"/>
        <v>0</v>
      </c>
      <c r="AA368" s="68">
        <f t="shared" si="35"/>
        <v>1</v>
      </c>
      <c r="AB368" s="68">
        <f t="shared" si="31"/>
        <v>1</v>
      </c>
    </row>
    <row r="369" spans="1:28" x14ac:dyDescent="0.25">
      <c r="A369">
        <v>364</v>
      </c>
      <c r="C369" s="24">
        <v>5.3038985631301827E-3</v>
      </c>
      <c r="D369" s="24">
        <v>2.6126982239396135E-3</v>
      </c>
      <c r="E369" s="24">
        <v>2.6401387365597804E-22</v>
      </c>
      <c r="F369" s="24">
        <v>1.4359040533163373E-15</v>
      </c>
      <c r="G369" s="24">
        <v>0.60970756009423099</v>
      </c>
      <c r="H369" s="24">
        <v>0.28093645362227726</v>
      </c>
      <c r="I369" s="53">
        <v>1687.8966804369006</v>
      </c>
      <c r="J369" s="53">
        <v>6172.0949613551384</v>
      </c>
      <c r="K369" s="24">
        <v>0.67958946421427502</v>
      </c>
      <c r="L369" s="24">
        <v>0.81942871020310104</v>
      </c>
      <c r="M369" s="24">
        <v>0.61983058297691795</v>
      </c>
      <c r="O369" s="53">
        <v>3.8874137404175659</v>
      </c>
      <c r="P369" s="54">
        <v>16171.129752986419</v>
      </c>
      <c r="Q369" s="54">
        <v>4.0392609738929721</v>
      </c>
      <c r="R369" s="54">
        <v>41964.550178863312</v>
      </c>
      <c r="S369" s="54">
        <v>0.15184723347540618</v>
      </c>
      <c r="T369" s="54">
        <v>25793.420425876895</v>
      </c>
      <c r="V369" s="69">
        <f t="shared" si="32"/>
        <v>761311.61833052686</v>
      </c>
      <c r="W369" s="69">
        <f t="shared" si="33"/>
        <v>765887.64459973108</v>
      </c>
      <c r="X369" s="69">
        <f t="shared" si="30"/>
        <v>4576.0262692043434</v>
      </c>
      <c r="Z369" s="68">
        <f t="shared" si="34"/>
        <v>0</v>
      </c>
      <c r="AA369" s="68">
        <f t="shared" si="35"/>
        <v>1</v>
      </c>
      <c r="AB369" s="68">
        <f t="shared" si="31"/>
        <v>1</v>
      </c>
    </row>
    <row r="370" spans="1:28" x14ac:dyDescent="0.25">
      <c r="A370">
        <v>365</v>
      </c>
      <c r="C370" s="24">
        <v>9.0668942379401596E-4</v>
      </c>
      <c r="D370" s="24">
        <v>1.3926591827519985E-3</v>
      </c>
      <c r="E370" s="24">
        <v>1.1875446003521825E-56</v>
      </c>
      <c r="F370" s="24">
        <v>9.6704810005493854E-42</v>
      </c>
      <c r="G370" s="24">
        <v>0.52989475933296126</v>
      </c>
      <c r="H370" s="24">
        <v>0.243765972016043</v>
      </c>
      <c r="I370" s="53">
        <v>1511.7817351274796</v>
      </c>
      <c r="J370" s="53">
        <v>3999.2283906070948</v>
      </c>
      <c r="K370" s="24">
        <v>0.84500260656207593</v>
      </c>
      <c r="L370" s="24">
        <v>0.84105465159921911</v>
      </c>
      <c r="M370" s="24">
        <v>0.90241572949474547</v>
      </c>
      <c r="O370" s="53">
        <v>4.2100013200884465</v>
      </c>
      <c r="P370" s="54">
        <v>10966.368330439502</v>
      </c>
      <c r="Q370" s="54">
        <v>4.2070733648165755</v>
      </c>
      <c r="R370" s="54">
        <v>33447.093982562408</v>
      </c>
      <c r="S370" s="54">
        <v>-2.9279552718710633E-3</v>
      </c>
      <c r="T370" s="54">
        <v>22480.725652122906</v>
      </c>
      <c r="V370" s="69">
        <f t="shared" si="32"/>
        <v>831033.89568724972</v>
      </c>
      <c r="W370" s="69">
        <f t="shared" si="33"/>
        <v>807967.57898075262</v>
      </c>
      <c r="X370" s="69">
        <f t="shared" si="30"/>
        <v>-23066.31670649712</v>
      </c>
      <c r="Z370" s="68">
        <f t="shared" si="34"/>
        <v>1</v>
      </c>
      <c r="AA370" s="68">
        <f t="shared" si="35"/>
        <v>0</v>
      </c>
      <c r="AB370" s="68">
        <f t="shared" si="31"/>
        <v>0</v>
      </c>
    </row>
    <row r="371" spans="1:28" x14ac:dyDescent="0.25">
      <c r="A371">
        <v>366</v>
      </c>
      <c r="C371" s="24">
        <v>9.2894966891071684E-3</v>
      </c>
      <c r="D371" s="24">
        <v>4.5750460333913301E-4</v>
      </c>
      <c r="E371" s="24">
        <v>1.6079592990436709E-6</v>
      </c>
      <c r="F371" s="24">
        <v>2.6793058453900009E-4</v>
      </c>
      <c r="G371" s="24">
        <v>0.54356396869356283</v>
      </c>
      <c r="H371" s="24">
        <v>0.19876680127571411</v>
      </c>
      <c r="I371" s="53">
        <v>2485.5979414504745</v>
      </c>
      <c r="J371" s="53">
        <v>5010.1722424454374</v>
      </c>
      <c r="K371" s="24">
        <v>0.57627940424465962</v>
      </c>
      <c r="L371" s="24">
        <v>0.87461227399560215</v>
      </c>
      <c r="M371" s="24">
        <v>0.98771762345985548</v>
      </c>
      <c r="O371" s="53">
        <v>4.0435257721389286</v>
      </c>
      <c r="P371" s="54">
        <v>19257.626336853788</v>
      </c>
      <c r="Q371" s="54">
        <v>4.2979921685891354</v>
      </c>
      <c r="R371" s="54">
        <v>25357.225020214701</v>
      </c>
      <c r="S371" s="54">
        <v>0.25446639645020674</v>
      </c>
      <c r="T371" s="54">
        <v>6099.5986833609131</v>
      </c>
      <c r="V371" s="69">
        <f t="shared" si="32"/>
        <v>789447.52809093194</v>
      </c>
      <c r="W371" s="69">
        <f t="shared" si="33"/>
        <v>834241.2086976124</v>
      </c>
      <c r="X371" s="69">
        <f t="shared" si="30"/>
        <v>44793.680606680435</v>
      </c>
      <c r="Z371" s="68">
        <f t="shared" si="34"/>
        <v>0</v>
      </c>
      <c r="AA371" s="68">
        <f t="shared" si="35"/>
        <v>1</v>
      </c>
      <c r="AB371" s="68">
        <f t="shared" si="31"/>
        <v>1</v>
      </c>
    </row>
    <row r="372" spans="1:28" x14ac:dyDescent="0.25">
      <c r="A372">
        <v>367</v>
      </c>
      <c r="C372" s="24">
        <v>1.6957474427962693E-12</v>
      </c>
      <c r="D372" s="24">
        <v>4.2164955415379124E-3</v>
      </c>
      <c r="E372" s="24">
        <v>1.4669561182123481E-5</v>
      </c>
      <c r="F372" s="24">
        <v>1.3965471878622537E-15</v>
      </c>
      <c r="G372" s="24">
        <v>0.63581300687586639</v>
      </c>
      <c r="H372" s="24">
        <v>0.25812190755583564</v>
      </c>
      <c r="I372" s="53">
        <v>2418.7175565780799</v>
      </c>
      <c r="J372" s="53">
        <v>5331.7450858537732</v>
      </c>
      <c r="K372" s="24">
        <v>0.5997931983458844</v>
      </c>
      <c r="L372" s="24">
        <v>0.90190962732015922</v>
      </c>
      <c r="M372" s="24">
        <v>0.95812598766736246</v>
      </c>
      <c r="O372" s="53">
        <v>4.0367815059108381</v>
      </c>
      <c r="P372" s="54">
        <v>18503.46863120735</v>
      </c>
      <c r="Q372" s="54">
        <v>4.4060396071842112</v>
      </c>
      <c r="R372" s="54">
        <v>25037.749289193074</v>
      </c>
      <c r="S372" s="54">
        <v>0.36925810127337311</v>
      </c>
      <c r="T372" s="54">
        <v>6534.2806579857242</v>
      </c>
      <c r="V372" s="69">
        <f t="shared" si="32"/>
        <v>788852.83255096024</v>
      </c>
      <c r="W372" s="69">
        <f t="shared" si="33"/>
        <v>856170.17214764911</v>
      </c>
      <c r="X372" s="69">
        <f t="shared" si="30"/>
        <v>67317.339596688893</v>
      </c>
      <c r="Z372" s="68">
        <f t="shared" si="34"/>
        <v>0</v>
      </c>
      <c r="AA372" s="68">
        <f t="shared" si="35"/>
        <v>1</v>
      </c>
      <c r="AB372" s="68">
        <f t="shared" si="31"/>
        <v>1</v>
      </c>
    </row>
    <row r="373" spans="1:28" x14ac:dyDescent="0.25">
      <c r="A373">
        <v>368</v>
      </c>
      <c r="C373" s="24">
        <v>1.4766807506156539E-6</v>
      </c>
      <c r="D373" s="24">
        <v>9.5067380463298825E-4</v>
      </c>
      <c r="E373" s="24">
        <v>7.7339468163017955E-11</v>
      </c>
      <c r="F373" s="24">
        <v>1.0377484384934438E-17</v>
      </c>
      <c r="G373" s="24">
        <v>0.65637849106905555</v>
      </c>
      <c r="H373" s="24">
        <v>0.31106042928313737</v>
      </c>
      <c r="I373" s="53">
        <v>2276.6020069862802</v>
      </c>
      <c r="J373" s="53">
        <v>4900.3970523739126</v>
      </c>
      <c r="K373" s="24">
        <v>0.68460327150896938</v>
      </c>
      <c r="L373" s="24">
        <v>0.97401770466503201</v>
      </c>
      <c r="M373" s="24">
        <v>0.70610952988573128</v>
      </c>
      <c r="O373" s="53">
        <v>4.3846057960391969</v>
      </c>
      <c r="P373" s="54">
        <v>24691.5318050356</v>
      </c>
      <c r="Q373" s="54">
        <v>4.7381146697081178</v>
      </c>
      <c r="R373" s="54">
        <v>44211.53950158495</v>
      </c>
      <c r="S373" s="54">
        <v>0.35350887366892092</v>
      </c>
      <c r="T373" s="54">
        <v>19520.00769654935</v>
      </c>
      <c r="V373" s="69">
        <f t="shared" si="32"/>
        <v>852229.62740280386</v>
      </c>
      <c r="W373" s="69">
        <f t="shared" si="33"/>
        <v>903411.3944400386</v>
      </c>
      <c r="X373" s="69">
        <f t="shared" si="30"/>
        <v>51181.767037234837</v>
      </c>
      <c r="Z373" s="68">
        <f t="shared" si="34"/>
        <v>0</v>
      </c>
      <c r="AA373" s="68">
        <f t="shared" si="35"/>
        <v>1</v>
      </c>
      <c r="AB373" s="68">
        <f t="shared" si="31"/>
        <v>1</v>
      </c>
    </row>
    <row r="374" spans="1:28" x14ac:dyDescent="0.25">
      <c r="A374">
        <v>369</v>
      </c>
      <c r="C374" s="24">
        <v>2.9908944179222186E-3</v>
      </c>
      <c r="D374" s="24">
        <v>6.5029292957151028E-5</v>
      </c>
      <c r="E374" s="24">
        <v>9.3033200464787136E-4</v>
      </c>
      <c r="F374" s="24">
        <v>9.5315691276938166E-16</v>
      </c>
      <c r="G374" s="24">
        <v>0.50497500865520895</v>
      </c>
      <c r="H374" s="24">
        <v>0.30283581210652488</v>
      </c>
      <c r="I374" s="53">
        <v>1596.233670333155</v>
      </c>
      <c r="J374" s="53">
        <v>5535.5452452856962</v>
      </c>
      <c r="K374" s="24">
        <v>0.69873198343137877</v>
      </c>
      <c r="L374" s="24">
        <v>0.91524678823744265</v>
      </c>
      <c r="M374" s="24">
        <v>0.78887420994076307</v>
      </c>
      <c r="O374" s="53">
        <v>4.3526518278807567</v>
      </c>
      <c r="P374" s="54">
        <v>11895.995288275235</v>
      </c>
      <c r="Q374" s="54">
        <v>4.4823694523468722</v>
      </c>
      <c r="R374" s="54">
        <v>40774.545560198567</v>
      </c>
      <c r="S374" s="54">
        <v>0.12971762446611557</v>
      </c>
      <c r="T374" s="54">
        <v>28878.550271923334</v>
      </c>
      <c r="V374" s="69">
        <f t="shared" si="32"/>
        <v>858634.37028787611</v>
      </c>
      <c r="W374" s="69">
        <f t="shared" si="33"/>
        <v>855699.34490917588</v>
      </c>
      <c r="X374" s="69">
        <f t="shared" si="30"/>
        <v>-2935.0253787002221</v>
      </c>
      <c r="Z374" s="68">
        <f t="shared" si="34"/>
        <v>1</v>
      </c>
      <c r="AA374" s="68">
        <f t="shared" si="35"/>
        <v>0</v>
      </c>
      <c r="AB374" s="68">
        <f t="shared" si="31"/>
        <v>0</v>
      </c>
    </row>
    <row r="375" spans="1:28" x14ac:dyDescent="0.25">
      <c r="A375">
        <v>370</v>
      </c>
      <c r="C375" s="24">
        <v>3.2520978193835148E-3</v>
      </c>
      <c r="D375" s="24">
        <v>3.1640004787477911E-4</v>
      </c>
      <c r="E375" s="24">
        <v>6.6596700008202502E-32</v>
      </c>
      <c r="F375" s="24">
        <v>9.1333373872304532E-24</v>
      </c>
      <c r="G375" s="24">
        <v>0.55364176096682771</v>
      </c>
      <c r="H375" s="24">
        <v>0.25535722839171038</v>
      </c>
      <c r="I375" s="53">
        <v>1748.9693359168818</v>
      </c>
      <c r="J375" s="53">
        <v>4698.4565981800024</v>
      </c>
      <c r="K375" s="24">
        <v>0.58554897816314266</v>
      </c>
      <c r="L375" s="24">
        <v>0.90059120129627912</v>
      </c>
      <c r="M375" s="24">
        <v>0.84754953049900439</v>
      </c>
      <c r="O375" s="53">
        <v>4.131040887968056</v>
      </c>
      <c r="P375" s="54">
        <v>16368.82753893571</v>
      </c>
      <c r="Q375" s="54">
        <v>4.3949322317111941</v>
      </c>
      <c r="R375" s="54">
        <v>45586.59676554727</v>
      </c>
      <c r="S375" s="54">
        <v>0.26389134374313805</v>
      </c>
      <c r="T375" s="54">
        <v>29217.769226611563</v>
      </c>
      <c r="V375" s="69">
        <f t="shared" si="32"/>
        <v>809839.35005467548</v>
      </c>
      <c r="W375" s="69">
        <f t="shared" si="33"/>
        <v>833399.84957669151</v>
      </c>
      <c r="X375" s="69">
        <f t="shared" si="30"/>
        <v>23560.499522016049</v>
      </c>
      <c r="Z375" s="68">
        <f t="shared" si="34"/>
        <v>0</v>
      </c>
      <c r="AA375" s="68">
        <f t="shared" si="35"/>
        <v>1</v>
      </c>
      <c r="AB375" s="68">
        <f t="shared" si="31"/>
        <v>1</v>
      </c>
    </row>
    <row r="376" spans="1:28" x14ac:dyDescent="0.25">
      <c r="A376">
        <v>371</v>
      </c>
      <c r="C376" s="24">
        <v>1.6898648810281802E-4</v>
      </c>
      <c r="D376" s="24">
        <v>1.5899559863727776E-4</v>
      </c>
      <c r="E376" s="24">
        <v>2.0620375765630321E-52</v>
      </c>
      <c r="F376" s="24">
        <v>3.8762465491837261E-6</v>
      </c>
      <c r="G376" s="24">
        <v>0.67179934429328447</v>
      </c>
      <c r="H376" s="24">
        <v>0.2164362686927177</v>
      </c>
      <c r="I376" s="53">
        <v>1559.5582735743574</v>
      </c>
      <c r="J376" s="53">
        <v>4848.2998426965678</v>
      </c>
      <c r="K376" s="24">
        <v>0.66876648289137375</v>
      </c>
      <c r="L376" s="24">
        <v>0.87915713041193577</v>
      </c>
      <c r="M376" s="24">
        <v>0.68200379545393686</v>
      </c>
      <c r="O376" s="53">
        <v>4.0237337259632255</v>
      </c>
      <c r="P376" s="54">
        <v>22237.393742705517</v>
      </c>
      <c r="Q376" s="54">
        <v>4.3374895444314925</v>
      </c>
      <c r="R376" s="54">
        <v>29039.080040899749</v>
      </c>
      <c r="S376" s="54">
        <v>0.31375581846826694</v>
      </c>
      <c r="T376" s="54">
        <v>6801.6862981942322</v>
      </c>
      <c r="V376" s="69">
        <f t="shared" si="32"/>
        <v>782509.35144993966</v>
      </c>
      <c r="W376" s="69">
        <f t="shared" si="33"/>
        <v>838458.82884539873</v>
      </c>
      <c r="X376" s="69">
        <f t="shared" si="30"/>
        <v>55949.477395459158</v>
      </c>
      <c r="Z376" s="68">
        <f t="shared" si="34"/>
        <v>0</v>
      </c>
      <c r="AA376" s="68">
        <f t="shared" si="35"/>
        <v>1</v>
      </c>
      <c r="AB376" s="68">
        <f t="shared" si="31"/>
        <v>1</v>
      </c>
    </row>
    <row r="377" spans="1:28" x14ac:dyDescent="0.25">
      <c r="A377">
        <v>372</v>
      </c>
      <c r="C377" s="24">
        <v>2.0755787074180335E-10</v>
      </c>
      <c r="D377" s="24">
        <v>1.164096861197336E-3</v>
      </c>
      <c r="E377" s="24">
        <v>6.1462390318486547E-25</v>
      </c>
      <c r="F377" s="24">
        <v>3.45275889302015E-24</v>
      </c>
      <c r="G377" s="24">
        <v>0.54185790793806887</v>
      </c>
      <c r="H377" s="24">
        <v>0.16637577776631607</v>
      </c>
      <c r="I377" s="53">
        <v>1739.6091671436675</v>
      </c>
      <c r="J377" s="53">
        <v>6264.1902791138236</v>
      </c>
      <c r="K377" s="24">
        <v>0.58663669696221332</v>
      </c>
      <c r="L377" s="24">
        <v>0.95916929608871815</v>
      </c>
      <c r="M377" s="24">
        <v>0.8567635537336199</v>
      </c>
      <c r="O377" s="53">
        <v>4.3758228757408402</v>
      </c>
      <c r="P377" s="54">
        <v>17161.449827422268</v>
      </c>
      <c r="Q377" s="54">
        <v>4.7208189563316472</v>
      </c>
      <c r="R377" s="54">
        <v>24510.338050413371</v>
      </c>
      <c r="S377" s="54">
        <v>0.344996080590807</v>
      </c>
      <c r="T377" s="54">
        <v>7348.8882229911032</v>
      </c>
      <c r="V377" s="69">
        <f t="shared" si="32"/>
        <v>858003.12532074575</v>
      </c>
      <c r="W377" s="69">
        <f t="shared" si="33"/>
        <v>919653.45321591606</v>
      </c>
      <c r="X377" s="69">
        <f t="shared" si="30"/>
        <v>61650.327895170303</v>
      </c>
      <c r="Z377" s="68">
        <f t="shared" si="34"/>
        <v>0</v>
      </c>
      <c r="AA377" s="68">
        <f t="shared" si="35"/>
        <v>1</v>
      </c>
      <c r="AB377" s="68">
        <f t="shared" si="31"/>
        <v>1</v>
      </c>
    </row>
    <row r="378" spans="1:28" x14ac:dyDescent="0.25">
      <c r="A378">
        <v>373</v>
      </c>
      <c r="C378" s="24">
        <v>6.0972219854527054E-3</v>
      </c>
      <c r="D378" s="24">
        <v>1.4962280824015744E-4</v>
      </c>
      <c r="E378" s="24">
        <v>3.1169962442022147E-22</v>
      </c>
      <c r="F378" s="24">
        <v>1.0718181897573231E-9</v>
      </c>
      <c r="G378" s="24">
        <v>0.67320241388059077</v>
      </c>
      <c r="H378" s="24">
        <v>0.33088454904720366</v>
      </c>
      <c r="I378" s="53">
        <v>1914.9807676334772</v>
      </c>
      <c r="J378" s="53">
        <v>4114.9438684597944</v>
      </c>
      <c r="K378" s="24">
        <v>0.54379541703958911</v>
      </c>
      <c r="L378" s="24">
        <v>0.95934797946566031</v>
      </c>
      <c r="M378" s="24">
        <v>0.83609864006434109</v>
      </c>
      <c r="O378" s="53">
        <v>4.0516512124368562</v>
      </c>
      <c r="P378" s="54">
        <v>22164.86255505131</v>
      </c>
      <c r="Q378" s="54">
        <v>4.5919356499470565</v>
      </c>
      <c r="R378" s="54">
        <v>39499.735939901693</v>
      </c>
      <c r="S378" s="54">
        <v>0.54028443751020028</v>
      </c>
      <c r="T378" s="54">
        <v>17334.873384850383</v>
      </c>
      <c r="V378" s="69">
        <f t="shared" si="32"/>
        <v>788165.37993231986</v>
      </c>
      <c r="W378" s="69">
        <f t="shared" si="33"/>
        <v>878887.39404950966</v>
      </c>
      <c r="X378" s="69">
        <f t="shared" si="30"/>
        <v>90722.014117189683</v>
      </c>
      <c r="Z378" s="68">
        <f t="shared" si="34"/>
        <v>0</v>
      </c>
      <c r="AA378" s="68">
        <f t="shared" si="35"/>
        <v>1</v>
      </c>
      <c r="AB378" s="68">
        <f t="shared" si="31"/>
        <v>1</v>
      </c>
    </row>
    <row r="379" spans="1:28" x14ac:dyDescent="0.25">
      <c r="A379">
        <v>374</v>
      </c>
      <c r="C379" s="24">
        <v>3.1822412440010077E-14</v>
      </c>
      <c r="D379" s="24">
        <v>8.82300972488349E-4</v>
      </c>
      <c r="E379" s="24">
        <v>3.961262262199697E-17</v>
      </c>
      <c r="F379" s="24">
        <v>3.0442315335221792E-13</v>
      </c>
      <c r="G379" s="24">
        <v>0.51276657404340742</v>
      </c>
      <c r="H379" s="24">
        <v>0.23469368783848155</v>
      </c>
      <c r="I379" s="53">
        <v>2222.2138144947926</v>
      </c>
      <c r="J379" s="53">
        <v>5945.563053217611</v>
      </c>
      <c r="K379" s="24">
        <v>0.6940392896567612</v>
      </c>
      <c r="L379" s="24">
        <v>0.59400182458946926</v>
      </c>
      <c r="M379" s="24">
        <v>0.93892456586788564</v>
      </c>
      <c r="O379" s="53">
        <v>3.0715569667642439</v>
      </c>
      <c r="P379" s="54">
        <v>14287.540771646718</v>
      </c>
      <c r="Q379" s="54">
        <v>3.0025318031768711</v>
      </c>
      <c r="R379" s="54">
        <v>41564.603502217848</v>
      </c>
      <c r="S379" s="54">
        <v>-6.9025163587372873E-2</v>
      </c>
      <c r="T379" s="54">
        <v>27277.062730571131</v>
      </c>
      <c r="V379" s="69">
        <f t="shared" si="32"/>
        <v>600023.85258120205</v>
      </c>
      <c r="W379" s="69">
        <f t="shared" si="33"/>
        <v>558941.75713315641</v>
      </c>
      <c r="X379" s="69">
        <f t="shared" si="30"/>
        <v>-41082.095448045708</v>
      </c>
      <c r="Z379" s="68">
        <f t="shared" si="34"/>
        <v>1</v>
      </c>
      <c r="AA379" s="68">
        <f t="shared" si="35"/>
        <v>0</v>
      </c>
      <c r="AB379" s="68">
        <f t="shared" si="31"/>
        <v>0</v>
      </c>
    </row>
    <row r="380" spans="1:28" x14ac:dyDescent="0.25">
      <c r="A380">
        <v>375</v>
      </c>
      <c r="C380" s="24">
        <v>9.9195639083382581E-4</v>
      </c>
      <c r="D380" s="24">
        <v>3.59670109322896E-3</v>
      </c>
      <c r="E380" s="24">
        <v>1.6427510463046247E-9</v>
      </c>
      <c r="F380" s="24">
        <v>1.5624157523319582E-10</v>
      </c>
      <c r="G380" s="24">
        <v>0.60182764994920146</v>
      </c>
      <c r="H380" s="24">
        <v>0.33248086649223296</v>
      </c>
      <c r="I380" s="53">
        <v>1342.3743817436396</v>
      </c>
      <c r="J380" s="53">
        <v>4701.5664694611623</v>
      </c>
      <c r="K380" s="24">
        <v>0.76293276449849501</v>
      </c>
      <c r="L380" s="24">
        <v>0.92755634769537354</v>
      </c>
      <c r="M380" s="24">
        <v>0.66582108876674628</v>
      </c>
      <c r="O380" s="53">
        <v>4.4062498136743971</v>
      </c>
      <c r="P380" s="54">
        <v>17612.801925366166</v>
      </c>
      <c r="Q380" s="54">
        <v>4.5497666610617928</v>
      </c>
      <c r="R380" s="54">
        <v>52308.306451264158</v>
      </c>
      <c r="S380" s="54">
        <v>0.14351684738739579</v>
      </c>
      <c r="T380" s="54">
        <v>34695.504525897995</v>
      </c>
      <c r="V380" s="69">
        <f t="shared" si="32"/>
        <v>863637.1608095133</v>
      </c>
      <c r="W380" s="69">
        <f t="shared" si="33"/>
        <v>857645.02576109441</v>
      </c>
      <c r="X380" s="69">
        <f t="shared" si="30"/>
        <v>-5992.135048418837</v>
      </c>
      <c r="Z380" s="68">
        <f t="shared" si="34"/>
        <v>1</v>
      </c>
      <c r="AA380" s="68">
        <f t="shared" si="35"/>
        <v>0</v>
      </c>
      <c r="AB380" s="68">
        <f t="shared" si="31"/>
        <v>0</v>
      </c>
    </row>
    <row r="381" spans="1:28" x14ac:dyDescent="0.25">
      <c r="A381">
        <v>376</v>
      </c>
      <c r="C381" s="24">
        <v>3.0919340217719736E-14</v>
      </c>
      <c r="D381" s="24">
        <v>1.1409841245280027E-4</v>
      </c>
      <c r="E381" s="24">
        <v>2.353096326078832E-25</v>
      </c>
      <c r="F381" s="24">
        <v>1.9872992140790302E-14</v>
      </c>
      <c r="G381" s="24">
        <v>0.61643985430060511</v>
      </c>
      <c r="H381" s="24">
        <v>0.33384754699244545</v>
      </c>
      <c r="I381" s="53">
        <v>1252.7591849517123</v>
      </c>
      <c r="J381" s="53">
        <v>5238.3101818845153</v>
      </c>
      <c r="K381" s="24">
        <v>0.81821314455725991</v>
      </c>
      <c r="L381" s="24">
        <v>0.81033194786677776</v>
      </c>
      <c r="M381" s="24">
        <v>0.92605775650467748</v>
      </c>
      <c r="O381" s="53">
        <v>4.0631985638750754</v>
      </c>
      <c r="P381" s="54">
        <v>14087.577961464027</v>
      </c>
      <c r="Q381" s="54">
        <v>4.0556822982738661</v>
      </c>
      <c r="R381" s="54">
        <v>51964.345578476954</v>
      </c>
      <c r="S381" s="54">
        <v>-7.5162656012093265E-3</v>
      </c>
      <c r="T381" s="54">
        <v>37876.767617012927</v>
      </c>
      <c r="V381" s="69">
        <f t="shared" si="32"/>
        <v>798552.13481355098</v>
      </c>
      <c r="W381" s="69">
        <f t="shared" si="33"/>
        <v>759172.11407629633</v>
      </c>
      <c r="X381" s="69">
        <f t="shared" si="30"/>
        <v>-39380.020737254796</v>
      </c>
      <c r="Z381" s="68">
        <f t="shared" si="34"/>
        <v>1</v>
      </c>
      <c r="AA381" s="68">
        <f t="shared" si="35"/>
        <v>0</v>
      </c>
      <c r="AB381" s="68">
        <f t="shared" si="31"/>
        <v>0</v>
      </c>
    </row>
    <row r="382" spans="1:28" x14ac:dyDescent="0.25">
      <c r="A382">
        <v>377</v>
      </c>
      <c r="C382" s="24">
        <v>3.1453193994234663E-8</v>
      </c>
      <c r="D382" s="24">
        <v>1.3836765033915977E-4</v>
      </c>
      <c r="E382" s="24">
        <v>8.8969176575470986E-20</v>
      </c>
      <c r="F382" s="24">
        <v>1.8901516946908873E-45</v>
      </c>
      <c r="G382" s="24">
        <v>0.65093972930028543</v>
      </c>
      <c r="H382" s="24">
        <v>0.27802368048424331</v>
      </c>
      <c r="I382" s="53">
        <v>1867.0087096557932</v>
      </c>
      <c r="J382" s="53">
        <v>5370.5109217773906</v>
      </c>
      <c r="K382" s="24">
        <v>0.72592453603192375</v>
      </c>
      <c r="L382" s="24">
        <v>0.96618741115229656</v>
      </c>
      <c r="M382" s="24">
        <v>0.89913453226285489</v>
      </c>
      <c r="O382" s="53">
        <v>4.4352502441755162</v>
      </c>
      <c r="P382" s="54">
        <v>18549.785167810998</v>
      </c>
      <c r="Q382" s="54">
        <v>4.7385093305204897</v>
      </c>
      <c r="R382" s="54">
        <v>46937.838484693886</v>
      </c>
      <c r="S382" s="54">
        <v>0.30325908634497356</v>
      </c>
      <c r="T382" s="54">
        <v>28388.053316882888</v>
      </c>
      <c r="V382" s="69">
        <f t="shared" si="32"/>
        <v>868500.26366729231</v>
      </c>
      <c r="W382" s="69">
        <f t="shared" si="33"/>
        <v>900764.02761940402</v>
      </c>
      <c r="X382" s="69">
        <f t="shared" si="30"/>
        <v>32263.763952111822</v>
      </c>
      <c r="Z382" s="68">
        <f t="shared" si="34"/>
        <v>0</v>
      </c>
      <c r="AA382" s="68">
        <f t="shared" si="35"/>
        <v>1</v>
      </c>
      <c r="AB382" s="68">
        <f t="shared" si="31"/>
        <v>1</v>
      </c>
    </row>
    <row r="383" spans="1:28" x14ac:dyDescent="0.25">
      <c r="A383">
        <v>378</v>
      </c>
      <c r="C383" s="24">
        <v>3.0663261697779391E-8</v>
      </c>
      <c r="D383" s="24">
        <v>5.8873124417122909E-5</v>
      </c>
      <c r="E383" s="24">
        <v>3.1616945055934487E-5</v>
      </c>
      <c r="F383" s="24">
        <v>8.7397760645849664E-20</v>
      </c>
      <c r="G383" s="24">
        <v>0.63950845762093844</v>
      </c>
      <c r="H383" s="24">
        <v>0.31831133851448146</v>
      </c>
      <c r="I383" s="53">
        <v>2060.7585570802744</v>
      </c>
      <c r="J383" s="53">
        <v>4849.5534036218787</v>
      </c>
      <c r="K383" s="24">
        <v>0.78068618933530531</v>
      </c>
      <c r="L383" s="24">
        <v>0.82493483778874044</v>
      </c>
      <c r="M383" s="24">
        <v>0.93498240807668198</v>
      </c>
      <c r="O383" s="53">
        <v>4.0543266175307968</v>
      </c>
      <c r="P383" s="54">
        <v>17239.901200025495</v>
      </c>
      <c r="Q383" s="54">
        <v>4.1041231053371412</v>
      </c>
      <c r="R383" s="54">
        <v>44637.771824121803</v>
      </c>
      <c r="S383" s="54">
        <v>4.9796487806344381E-2</v>
      </c>
      <c r="T383" s="54">
        <v>27397.870624096307</v>
      </c>
      <c r="V383" s="69">
        <f t="shared" si="32"/>
        <v>793625.4223061339</v>
      </c>
      <c r="W383" s="69">
        <f t="shared" si="33"/>
        <v>776186.84924330644</v>
      </c>
      <c r="X383" s="69">
        <f t="shared" si="30"/>
        <v>-17438.573062827432</v>
      </c>
      <c r="Z383" s="68">
        <f t="shared" si="34"/>
        <v>1</v>
      </c>
      <c r="AA383" s="68">
        <f t="shared" si="35"/>
        <v>0</v>
      </c>
      <c r="AB383" s="68">
        <f t="shared" si="31"/>
        <v>0</v>
      </c>
    </row>
    <row r="384" spans="1:28" x14ac:dyDescent="0.25">
      <c r="A384">
        <v>379</v>
      </c>
      <c r="C384" s="24">
        <v>7.5295369516937281E-14</v>
      </c>
      <c r="D384" s="24">
        <v>6.2633150069976099E-4</v>
      </c>
      <c r="E384" s="24">
        <v>1.1289314075205475E-37</v>
      </c>
      <c r="F384" s="24">
        <v>2.9527470874479711E-5</v>
      </c>
      <c r="G384" s="24">
        <v>0.6685032847519814</v>
      </c>
      <c r="H384" s="24">
        <v>0.39269328168407369</v>
      </c>
      <c r="I384" s="53">
        <v>1924.3992619074088</v>
      </c>
      <c r="J384" s="53">
        <v>4784.7533968057578</v>
      </c>
      <c r="K384" s="24">
        <v>0.54495896569857794</v>
      </c>
      <c r="L384" s="24">
        <v>0.88235168475378289</v>
      </c>
      <c r="M384" s="24">
        <v>0.89966377617658855</v>
      </c>
      <c r="O384" s="53">
        <v>3.8222052637288448</v>
      </c>
      <c r="P384" s="54">
        <v>18010.769489581595</v>
      </c>
      <c r="Q384" s="54">
        <v>4.195523510195601</v>
      </c>
      <c r="R384" s="54">
        <v>51745.009214221936</v>
      </c>
      <c r="S384" s="54">
        <v>0.37331824646675615</v>
      </c>
      <c r="T384" s="54">
        <v>33734.239724640342</v>
      </c>
      <c r="V384" s="69">
        <f t="shared" si="32"/>
        <v>746430.28325618734</v>
      </c>
      <c r="W384" s="69">
        <f t="shared" si="33"/>
        <v>787359.69282489829</v>
      </c>
      <c r="X384" s="69">
        <f t="shared" si="30"/>
        <v>40929.409568710893</v>
      </c>
      <c r="Z384" s="68">
        <f t="shared" si="34"/>
        <v>0</v>
      </c>
      <c r="AA384" s="68">
        <f t="shared" si="35"/>
        <v>1</v>
      </c>
      <c r="AB384" s="68">
        <f t="shared" si="31"/>
        <v>1</v>
      </c>
    </row>
    <row r="385" spans="1:28" x14ac:dyDescent="0.25">
      <c r="A385">
        <v>380</v>
      </c>
      <c r="C385" s="24">
        <v>1.9828862134556702E-2</v>
      </c>
      <c r="D385" s="24">
        <v>7.510317696613481E-4</v>
      </c>
      <c r="E385" s="24">
        <v>7.3239902998620324E-35</v>
      </c>
      <c r="F385" s="24">
        <v>3.9151712003484747E-20</v>
      </c>
      <c r="G385" s="24">
        <v>0.64703217222857967</v>
      </c>
      <c r="H385" s="24">
        <v>0.29123077149625298</v>
      </c>
      <c r="I385" s="53">
        <v>2130.7033314770083</v>
      </c>
      <c r="J385" s="53">
        <v>5420.8969193245175</v>
      </c>
      <c r="K385" s="24">
        <v>0.7979833243384411</v>
      </c>
      <c r="L385" s="24">
        <v>0.9618956421295104</v>
      </c>
      <c r="M385" s="24">
        <v>0.98627776203975315</v>
      </c>
      <c r="O385" s="53">
        <v>4.5477045430443663</v>
      </c>
      <c r="P385" s="54">
        <v>24181.268293390862</v>
      </c>
      <c r="Q385" s="54">
        <v>4.7423869057547972</v>
      </c>
      <c r="R385" s="54">
        <v>45855.026891013549</v>
      </c>
      <c r="S385" s="54">
        <v>0.19468236271043082</v>
      </c>
      <c r="T385" s="54">
        <v>21673.758597622687</v>
      </c>
      <c r="V385" s="69">
        <f t="shared" si="32"/>
        <v>885359.64031548239</v>
      </c>
      <c r="W385" s="69">
        <f t="shared" si="33"/>
        <v>902622.35425994592</v>
      </c>
      <c r="X385" s="69">
        <f t="shared" si="30"/>
        <v>17262.713944463478</v>
      </c>
      <c r="Z385" s="68">
        <f t="shared" si="34"/>
        <v>0</v>
      </c>
      <c r="AA385" s="68">
        <f t="shared" si="35"/>
        <v>1</v>
      </c>
      <c r="AB385" s="68">
        <f t="shared" si="31"/>
        <v>1</v>
      </c>
    </row>
    <row r="386" spans="1:28" x14ac:dyDescent="0.25">
      <c r="A386">
        <v>381</v>
      </c>
      <c r="C386" s="24">
        <v>8.6977138527501996E-3</v>
      </c>
      <c r="D386" s="24">
        <v>1.8722035892065891E-3</v>
      </c>
      <c r="E386" s="24">
        <v>2.4407051514363509E-3</v>
      </c>
      <c r="F386" s="24">
        <v>4.9960036108132044E-15</v>
      </c>
      <c r="G386" s="24">
        <v>0.58106535996234077</v>
      </c>
      <c r="H386" s="24">
        <v>0.23005752823381986</v>
      </c>
      <c r="I386" s="53">
        <v>1915.98505376</v>
      </c>
      <c r="J386" s="53">
        <v>4810.7764856233935</v>
      </c>
      <c r="K386" s="24">
        <v>0.71531786587766388</v>
      </c>
      <c r="L386" s="24">
        <v>0.76819652432013907</v>
      </c>
      <c r="M386" s="24">
        <v>0.97824081790685991</v>
      </c>
      <c r="O386" s="53">
        <v>3.7720730298061724</v>
      </c>
      <c r="P386" s="54">
        <v>17911.356951183156</v>
      </c>
      <c r="Q386" s="54">
        <v>3.8275939709266447</v>
      </c>
      <c r="R386" s="54">
        <v>26723.304000081775</v>
      </c>
      <c r="S386" s="54">
        <v>5.5520941120472234E-2</v>
      </c>
      <c r="T386" s="54">
        <v>8811.947048898619</v>
      </c>
      <c r="V386" s="69">
        <f t="shared" si="32"/>
        <v>736503.24901005137</v>
      </c>
      <c r="W386" s="69">
        <f t="shared" si="33"/>
        <v>738795.49018524715</v>
      </c>
      <c r="X386" s="69">
        <f t="shared" si="30"/>
        <v>2292.241175195828</v>
      </c>
      <c r="Z386" s="68">
        <f t="shared" si="34"/>
        <v>0</v>
      </c>
      <c r="AA386" s="68">
        <f t="shared" si="35"/>
        <v>1</v>
      </c>
      <c r="AB386" s="68">
        <f t="shared" si="31"/>
        <v>1</v>
      </c>
    </row>
    <row r="387" spans="1:28" x14ac:dyDescent="0.25">
      <c r="A387">
        <v>382</v>
      </c>
      <c r="C387" s="24">
        <v>9.1299757273383131E-3</v>
      </c>
      <c r="D387" s="24">
        <v>1.8012876125759969E-2</v>
      </c>
      <c r="E387" s="24">
        <v>8.0124655643976084E-4</v>
      </c>
      <c r="F387" s="24">
        <v>2.4262618921744306E-6</v>
      </c>
      <c r="G387" s="24">
        <v>0.47061894807780835</v>
      </c>
      <c r="H387" s="24">
        <v>0.20675536315041776</v>
      </c>
      <c r="I387" s="53">
        <v>1756.3402213175166</v>
      </c>
      <c r="J387" s="53">
        <v>3475.8046560215571</v>
      </c>
      <c r="K387" s="24">
        <v>0.73622428041424193</v>
      </c>
      <c r="L387" s="24">
        <v>0.84953022887521012</v>
      </c>
      <c r="M387" s="24">
        <v>0.82736559051096392</v>
      </c>
      <c r="O387" s="53">
        <v>4.1423560640522599</v>
      </c>
      <c r="P387" s="54">
        <v>15642.50287214088</v>
      </c>
      <c r="Q387" s="54">
        <v>4.215731922155987</v>
      </c>
      <c r="R387" s="54">
        <v>28291.730562722521</v>
      </c>
      <c r="S387" s="54">
        <v>7.3375858103727154E-2</v>
      </c>
      <c r="T387" s="54">
        <v>12649.227690581642</v>
      </c>
      <c r="V387" s="69">
        <f t="shared" si="32"/>
        <v>812828.70993831113</v>
      </c>
      <c r="W387" s="69">
        <f t="shared" si="33"/>
        <v>814854.65386847488</v>
      </c>
      <c r="X387" s="69">
        <f t="shared" si="30"/>
        <v>2025.9439301637885</v>
      </c>
      <c r="Z387" s="68">
        <f t="shared" si="34"/>
        <v>0</v>
      </c>
      <c r="AA387" s="68">
        <f t="shared" si="35"/>
        <v>1</v>
      </c>
      <c r="AB387" s="68">
        <f t="shared" si="31"/>
        <v>1</v>
      </c>
    </row>
    <row r="388" spans="1:28" x14ac:dyDescent="0.25">
      <c r="A388">
        <v>383</v>
      </c>
      <c r="C388" s="24">
        <v>2.4104735229998802E-5</v>
      </c>
      <c r="D388" s="24">
        <v>1.3755071940745323E-3</v>
      </c>
      <c r="E388" s="24">
        <v>7.8802098180119629E-9</v>
      </c>
      <c r="F388" s="24">
        <v>1.8405665769272161E-8</v>
      </c>
      <c r="G388" s="24">
        <v>0.61748930127955104</v>
      </c>
      <c r="H388" s="24">
        <v>0.21012061306630103</v>
      </c>
      <c r="I388" s="53">
        <v>1773.5198987507849</v>
      </c>
      <c r="J388" s="53">
        <v>3967.0494732757811</v>
      </c>
      <c r="K388" s="24">
        <v>0.66927863784420571</v>
      </c>
      <c r="L388" s="24">
        <v>0.99578647568471002</v>
      </c>
      <c r="M388" s="24">
        <v>0.62487027530496297</v>
      </c>
      <c r="O388" s="53">
        <v>4.4990842612306743</v>
      </c>
      <c r="P388" s="54">
        <v>17883.085313193355</v>
      </c>
      <c r="Q388" s="54">
        <v>4.8890536712377068</v>
      </c>
      <c r="R388" s="54">
        <v>23894.80181736442</v>
      </c>
      <c r="S388" s="54">
        <v>0.38996941000703256</v>
      </c>
      <c r="T388" s="54">
        <v>6011.716504171065</v>
      </c>
      <c r="V388" s="69">
        <f t="shared" si="32"/>
        <v>881933.76693294151</v>
      </c>
      <c r="W388" s="69">
        <f t="shared" si="33"/>
        <v>953915.932430177</v>
      </c>
      <c r="X388" s="69">
        <f t="shared" si="30"/>
        <v>71982.165497235444</v>
      </c>
      <c r="Z388" s="68">
        <f t="shared" si="34"/>
        <v>0</v>
      </c>
      <c r="AA388" s="68">
        <f t="shared" si="35"/>
        <v>1</v>
      </c>
      <c r="AB388" s="68">
        <f t="shared" si="31"/>
        <v>1</v>
      </c>
    </row>
    <row r="389" spans="1:28" x14ac:dyDescent="0.25">
      <c r="A389">
        <v>384</v>
      </c>
      <c r="C389" s="24">
        <v>2.7960351435751818E-3</v>
      </c>
      <c r="D389" s="24">
        <v>2.3876155743042249E-3</v>
      </c>
      <c r="E389" s="24">
        <v>2.05158469990252E-7</v>
      </c>
      <c r="F389" s="24">
        <v>1.5908332236663992E-106</v>
      </c>
      <c r="G389" s="24">
        <v>0.52032212336693617</v>
      </c>
      <c r="H389" s="24">
        <v>0.23520002919209893</v>
      </c>
      <c r="I389" s="53">
        <v>1743.5133809478662</v>
      </c>
      <c r="J389" s="53">
        <v>5176.3523200873369</v>
      </c>
      <c r="K389" s="24">
        <v>0.65804145176832429</v>
      </c>
      <c r="L389" s="24">
        <v>0.94658211649620849</v>
      </c>
      <c r="M389" s="24">
        <v>0.90942185608234172</v>
      </c>
      <c r="O389" s="53">
        <v>4.4309994329021984</v>
      </c>
      <c r="P389" s="54">
        <v>18187.685954109944</v>
      </c>
      <c r="Q389" s="54">
        <v>4.6436947282797165</v>
      </c>
      <c r="R389" s="54">
        <v>28343.358523417239</v>
      </c>
      <c r="S389" s="54">
        <v>0.21269529537751808</v>
      </c>
      <c r="T389" s="54">
        <v>10155.672569307295</v>
      </c>
      <c r="V389" s="69">
        <f t="shared" si="32"/>
        <v>868012.20062632964</v>
      </c>
      <c r="W389" s="69">
        <f t="shared" si="33"/>
        <v>900395.5871325261</v>
      </c>
      <c r="X389" s="69">
        <f t="shared" si="30"/>
        <v>32383.386506196322</v>
      </c>
      <c r="Z389" s="68">
        <f t="shared" si="34"/>
        <v>0</v>
      </c>
      <c r="AA389" s="68">
        <f t="shared" si="35"/>
        <v>1</v>
      </c>
      <c r="AB389" s="68">
        <f t="shared" si="31"/>
        <v>1</v>
      </c>
    </row>
    <row r="390" spans="1:28" x14ac:dyDescent="0.25">
      <c r="A390">
        <v>385</v>
      </c>
      <c r="C390" s="24">
        <v>3.5260957780747226E-4</v>
      </c>
      <c r="D390" s="24">
        <v>1.2379619022074792E-3</v>
      </c>
      <c r="E390" s="24">
        <v>1.1402399050813194E-2</v>
      </c>
      <c r="F390" s="24">
        <v>3.3892029405180324E-8</v>
      </c>
      <c r="G390" s="24">
        <v>0.66107292584667188</v>
      </c>
      <c r="H390" s="24">
        <v>0.29002820862659406</v>
      </c>
      <c r="I390" s="53">
        <v>3228.2091366575455</v>
      </c>
      <c r="J390" s="53">
        <v>3354.5666781000114</v>
      </c>
      <c r="K390" s="24">
        <v>0.59813227581195394</v>
      </c>
      <c r="L390" s="24">
        <v>0.9205167599183397</v>
      </c>
      <c r="M390" s="24">
        <v>0.86169152811986072</v>
      </c>
      <c r="O390" s="53">
        <v>3.9508995470041137</v>
      </c>
      <c r="P390" s="54">
        <v>23642.101335710311</v>
      </c>
      <c r="Q390" s="54">
        <v>4.4706865971179193</v>
      </c>
      <c r="R390" s="54">
        <v>48454.110906426722</v>
      </c>
      <c r="S390" s="54">
        <v>0.51978705011380555</v>
      </c>
      <c r="T390" s="54">
        <v>24812.009570716411</v>
      </c>
      <c r="V390" s="69">
        <f t="shared" si="32"/>
        <v>766537.80806511245</v>
      </c>
      <c r="W390" s="69">
        <f t="shared" si="33"/>
        <v>845683.20851715712</v>
      </c>
      <c r="X390" s="69">
        <f t="shared" si="30"/>
        <v>79145.400452044691</v>
      </c>
      <c r="Z390" s="68">
        <f t="shared" si="34"/>
        <v>0</v>
      </c>
      <c r="AA390" s="68">
        <f t="shared" si="35"/>
        <v>1</v>
      </c>
      <c r="AB390" s="68">
        <f t="shared" si="31"/>
        <v>1</v>
      </c>
    </row>
    <row r="391" spans="1:28" x14ac:dyDescent="0.25">
      <c r="A391">
        <v>386</v>
      </c>
      <c r="C391" s="24">
        <v>2.2246738827204071E-3</v>
      </c>
      <c r="D391" s="24">
        <v>1.7913225408745514E-3</v>
      </c>
      <c r="E391" s="24">
        <v>1.2954885307363702E-36</v>
      </c>
      <c r="F391" s="24">
        <v>2.2447697878291706E-6</v>
      </c>
      <c r="G391" s="24">
        <v>0.53412834764146222</v>
      </c>
      <c r="H391" s="24">
        <v>0.19782769636350372</v>
      </c>
      <c r="I391" s="53">
        <v>2374.2514347619299</v>
      </c>
      <c r="J391" s="53">
        <v>5329.3941987378112</v>
      </c>
      <c r="K391" s="24">
        <v>0.66076543932105891</v>
      </c>
      <c r="L391" s="24">
        <v>0.74134893560094239</v>
      </c>
      <c r="M391" s="24">
        <v>0.89422109662231564</v>
      </c>
      <c r="O391" s="53">
        <v>3.6212205966256681</v>
      </c>
      <c r="P391" s="54">
        <v>14227.965418224861</v>
      </c>
      <c r="Q391" s="54">
        <v>3.6884904646630714</v>
      </c>
      <c r="R391" s="54">
        <v>31782.792558756759</v>
      </c>
      <c r="S391" s="54">
        <v>6.7269868037403313E-2</v>
      </c>
      <c r="T391" s="54">
        <v>17554.827140531896</v>
      </c>
      <c r="V391" s="69">
        <f t="shared" si="32"/>
        <v>710016.15390690882</v>
      </c>
      <c r="W391" s="69">
        <f t="shared" si="33"/>
        <v>705915.30037385749</v>
      </c>
      <c r="X391" s="69">
        <f t="shared" ref="X391:X454" si="36">S391*cRatio-T391</f>
        <v>-4100.8535330512332</v>
      </c>
      <c r="Z391" s="68">
        <f t="shared" si="34"/>
        <v>1</v>
      </c>
      <c r="AA391" s="68">
        <f t="shared" si="35"/>
        <v>0</v>
      </c>
      <c r="AB391" s="68">
        <f t="shared" ref="AB391:AB454" si="37">IF(X391&gt;0,1,0)</f>
        <v>0</v>
      </c>
    </row>
    <row r="392" spans="1:28" x14ac:dyDescent="0.25">
      <c r="A392">
        <v>387</v>
      </c>
      <c r="C392" s="24">
        <v>3.2250819011234027E-6</v>
      </c>
      <c r="D392" s="24">
        <v>3.5349499984985711E-3</v>
      </c>
      <c r="E392" s="24">
        <v>3.5814566271366047E-18</v>
      </c>
      <c r="F392" s="24">
        <v>4.8785445468935151E-6</v>
      </c>
      <c r="G392" s="24">
        <v>0.56549231617399442</v>
      </c>
      <c r="H392" s="24">
        <v>0.27147320733223235</v>
      </c>
      <c r="I392" s="53">
        <v>2083.8929389510213</v>
      </c>
      <c r="J392" s="53">
        <v>6795.1966242234384</v>
      </c>
      <c r="K392" s="24">
        <v>0.50286916506876922</v>
      </c>
      <c r="L392" s="24">
        <v>0.76487733615508446</v>
      </c>
      <c r="M392" s="24">
        <v>0.75734251077162962</v>
      </c>
      <c r="O392" s="53">
        <v>3.5031132241677732</v>
      </c>
      <c r="P392" s="54">
        <v>12500.303895237905</v>
      </c>
      <c r="Q392" s="54">
        <v>3.7267048140725394</v>
      </c>
      <c r="R392" s="54">
        <v>34290.17107760319</v>
      </c>
      <c r="S392" s="54">
        <v>0.22359158990476624</v>
      </c>
      <c r="T392" s="54">
        <v>21789.867182365284</v>
      </c>
      <c r="V392" s="69">
        <f t="shared" si="32"/>
        <v>688122.34093831677</v>
      </c>
      <c r="W392" s="69">
        <f t="shared" si="33"/>
        <v>711050.79173690465</v>
      </c>
      <c r="X392" s="69">
        <f t="shared" si="36"/>
        <v>22928.450798587961</v>
      </c>
      <c r="Z392" s="68">
        <f t="shared" si="34"/>
        <v>0</v>
      </c>
      <c r="AA392" s="68">
        <f t="shared" si="35"/>
        <v>1</v>
      </c>
      <c r="AB392" s="68">
        <f t="shared" si="37"/>
        <v>1</v>
      </c>
    </row>
    <row r="393" spans="1:28" x14ac:dyDescent="0.25">
      <c r="A393">
        <v>388</v>
      </c>
      <c r="C393" s="24">
        <v>1.5373532733176098E-4</v>
      </c>
      <c r="D393" s="24">
        <v>3.0612806277973494E-4</v>
      </c>
      <c r="E393" s="24">
        <v>2.223925943248592E-21</v>
      </c>
      <c r="F393" s="24">
        <v>4.4983688939977544E-22</v>
      </c>
      <c r="G393" s="24">
        <v>0.62059943772604154</v>
      </c>
      <c r="H393" s="24">
        <v>0.29060590893342775</v>
      </c>
      <c r="I393" s="53">
        <v>2413.0995385408446</v>
      </c>
      <c r="J393" s="53">
        <v>5822.0094507554231</v>
      </c>
      <c r="K393" s="24">
        <v>0.57663329703619415</v>
      </c>
      <c r="L393" s="24">
        <v>0.8782783699213621</v>
      </c>
      <c r="M393" s="24">
        <v>0.90475741318885139</v>
      </c>
      <c r="O393" s="53">
        <v>3.9434396639836313</v>
      </c>
      <c r="P393" s="54">
        <v>20167.016935938438</v>
      </c>
      <c r="Q393" s="54">
        <v>4.2681304086670426</v>
      </c>
      <c r="R393" s="54">
        <v>42481.37805734983</v>
      </c>
      <c r="S393" s="54">
        <v>0.3246907446834113</v>
      </c>
      <c r="T393" s="54">
        <v>22314.361121411392</v>
      </c>
      <c r="V393" s="69">
        <f t="shared" si="32"/>
        <v>768520.91586078785</v>
      </c>
      <c r="W393" s="69">
        <f t="shared" si="33"/>
        <v>811144.70367605868</v>
      </c>
      <c r="X393" s="69">
        <f t="shared" si="36"/>
        <v>42623.787815270865</v>
      </c>
      <c r="Z393" s="68">
        <f t="shared" si="34"/>
        <v>0</v>
      </c>
      <c r="AA393" s="68">
        <f t="shared" si="35"/>
        <v>1</v>
      </c>
      <c r="AB393" s="68">
        <f t="shared" si="37"/>
        <v>1</v>
      </c>
    </row>
    <row r="394" spans="1:28" x14ac:dyDescent="0.25">
      <c r="A394">
        <v>389</v>
      </c>
      <c r="C394" s="24">
        <v>8.2380617809498281E-12</v>
      </c>
      <c r="D394" s="24">
        <v>1.883959699462312E-3</v>
      </c>
      <c r="E394" s="24">
        <v>5.218354626190802E-8</v>
      </c>
      <c r="F394" s="24">
        <v>7.5074257815865628E-17</v>
      </c>
      <c r="G394" s="24">
        <v>0.58913232881075139</v>
      </c>
      <c r="H394" s="24">
        <v>0.22263279951480863</v>
      </c>
      <c r="I394" s="53">
        <v>1683.3157305301513</v>
      </c>
      <c r="J394" s="53">
        <v>4954.0495858611084</v>
      </c>
      <c r="K394" s="24">
        <v>0.68449183011809822</v>
      </c>
      <c r="L394" s="24">
        <v>0.95044854690900926</v>
      </c>
      <c r="M394" s="24">
        <v>0.98972833167682184</v>
      </c>
      <c r="O394" s="53">
        <v>4.3979575974337228</v>
      </c>
      <c r="P394" s="54">
        <v>17265.6520090921</v>
      </c>
      <c r="Q394" s="54">
        <v>4.6765648856152504</v>
      </c>
      <c r="R394" s="54">
        <v>22598.418745654617</v>
      </c>
      <c r="S394" s="54">
        <v>0.27860728818152758</v>
      </c>
      <c r="T394" s="54">
        <v>5332.7667365625166</v>
      </c>
      <c r="V394" s="69">
        <f t="shared" ref="V394:V457" si="38">O394*cRatio-P394</f>
        <v>862325.86747765238</v>
      </c>
      <c r="W394" s="69">
        <f t="shared" ref="W394:W457" si="39">Q394*cRatio-R394</f>
        <v>912714.5583773955</v>
      </c>
      <c r="X394" s="69">
        <f t="shared" si="36"/>
        <v>50388.690899743</v>
      </c>
      <c r="Z394" s="68">
        <f t="shared" ref="Z394:Z457" si="40">IF(MAX(V394:W394)=V394,1,0)</f>
        <v>0</v>
      </c>
      <c r="AA394" s="68">
        <f t="shared" ref="AA394:AA457" si="41">IF(MAX(V394:W394)=W394,1,0)</f>
        <v>1</v>
      </c>
      <c r="AB394" s="68">
        <f t="shared" si="37"/>
        <v>1</v>
      </c>
    </row>
    <row r="395" spans="1:28" x14ac:dyDescent="0.25">
      <c r="A395">
        <v>390</v>
      </c>
      <c r="C395" s="24">
        <v>7.0359083579996096E-5</v>
      </c>
      <c r="D395" s="24">
        <v>1.2946937822183584E-3</v>
      </c>
      <c r="E395" s="24">
        <v>4.2313572800600774E-5</v>
      </c>
      <c r="F395" s="24">
        <v>4.0234642284531219E-9</v>
      </c>
      <c r="G395" s="24">
        <v>0.58969905132696221</v>
      </c>
      <c r="H395" s="24">
        <v>0.28754319036687481</v>
      </c>
      <c r="I395" s="53">
        <v>1939.4604385973898</v>
      </c>
      <c r="J395" s="53">
        <v>5980.0233270858225</v>
      </c>
      <c r="K395" s="24">
        <v>0.54366130838819582</v>
      </c>
      <c r="L395" s="24">
        <v>0.90752605199066827</v>
      </c>
      <c r="M395" s="24">
        <v>0.52725484986308468</v>
      </c>
      <c r="O395" s="53">
        <v>4.0513812946599659</v>
      </c>
      <c r="P395" s="54">
        <v>18323.345935728074</v>
      </c>
      <c r="Q395" s="54">
        <v>4.3878884909273808</v>
      </c>
      <c r="R395" s="54">
        <v>38163.4542022729</v>
      </c>
      <c r="S395" s="54">
        <v>0.33650719626741488</v>
      </c>
      <c r="T395" s="54">
        <v>19840.108266544827</v>
      </c>
      <c r="V395" s="69">
        <f t="shared" si="38"/>
        <v>791952.91299626511</v>
      </c>
      <c r="W395" s="69">
        <f t="shared" si="39"/>
        <v>839414.2439832032</v>
      </c>
      <c r="X395" s="69">
        <f t="shared" si="36"/>
        <v>47461.330986938156</v>
      </c>
      <c r="Z395" s="68">
        <f t="shared" si="40"/>
        <v>0</v>
      </c>
      <c r="AA395" s="68">
        <f t="shared" si="41"/>
        <v>1</v>
      </c>
      <c r="AB395" s="68">
        <f t="shared" si="37"/>
        <v>1</v>
      </c>
    </row>
    <row r="396" spans="1:28" x14ac:dyDescent="0.25">
      <c r="A396">
        <v>391</v>
      </c>
      <c r="C396" s="24">
        <v>3.3665678648739863E-8</v>
      </c>
      <c r="D396" s="24">
        <v>7.219510005012314E-6</v>
      </c>
      <c r="E396" s="24">
        <v>8.1032457243312004E-25</v>
      </c>
      <c r="F396" s="24">
        <v>6.036983180912614E-6</v>
      </c>
      <c r="G396" s="24">
        <v>0.65535607111485583</v>
      </c>
      <c r="H396" s="24">
        <v>0.20930007897357861</v>
      </c>
      <c r="I396" s="53">
        <v>3166.8143251724209</v>
      </c>
      <c r="J396" s="53">
        <v>5049.8741139622798</v>
      </c>
      <c r="K396" s="24">
        <v>0.54352393753269868</v>
      </c>
      <c r="L396" s="24">
        <v>0.97279714230300018</v>
      </c>
      <c r="M396" s="24">
        <v>0.69840890653207255</v>
      </c>
      <c r="O396" s="53">
        <v>4.1463826811384443</v>
      </c>
      <c r="P396" s="54">
        <v>20286.831032157501</v>
      </c>
      <c r="Q396" s="54">
        <v>4.7503547159787578</v>
      </c>
      <c r="R396" s="54">
        <v>26553.700864540493</v>
      </c>
      <c r="S396" s="54">
        <v>0.60397203484031348</v>
      </c>
      <c r="T396" s="54">
        <v>6266.8698323829922</v>
      </c>
      <c r="V396" s="69">
        <f t="shared" si="38"/>
        <v>808989.70519553137</v>
      </c>
      <c r="W396" s="69">
        <f t="shared" si="39"/>
        <v>923517.24233121099</v>
      </c>
      <c r="X396" s="69">
        <f t="shared" si="36"/>
        <v>114527.53713567971</v>
      </c>
      <c r="Z396" s="68">
        <f t="shared" si="40"/>
        <v>0</v>
      </c>
      <c r="AA396" s="68">
        <f t="shared" si="41"/>
        <v>1</v>
      </c>
      <c r="AB396" s="68">
        <f t="shared" si="37"/>
        <v>1</v>
      </c>
    </row>
    <row r="397" spans="1:28" x14ac:dyDescent="0.25">
      <c r="A397">
        <v>392</v>
      </c>
      <c r="C397" s="24">
        <v>1.9694421036272614E-3</v>
      </c>
      <c r="D397" s="24">
        <v>3.1161524543759089E-3</v>
      </c>
      <c r="E397" s="24">
        <v>6.5099369245480432E-5</v>
      </c>
      <c r="F397" s="24">
        <v>1.4754427314999536E-32</v>
      </c>
      <c r="G397" s="24">
        <v>0.6463153004440052</v>
      </c>
      <c r="H397" s="24">
        <v>0.26571081871382396</v>
      </c>
      <c r="I397" s="53">
        <v>1727.7031141611762</v>
      </c>
      <c r="J397" s="53">
        <v>5078.520324150003</v>
      </c>
      <c r="K397" s="24">
        <v>0.55498525970001011</v>
      </c>
      <c r="L397" s="24">
        <v>0.9754234501312854</v>
      </c>
      <c r="M397" s="24">
        <v>0.83833631796679053</v>
      </c>
      <c r="O397" s="53">
        <v>4.1922792088558527</v>
      </c>
      <c r="P397" s="54">
        <v>15580.861781790911</v>
      </c>
      <c r="Q397" s="54">
        <v>4.7224798687655545</v>
      </c>
      <c r="R397" s="54">
        <v>55913.889869238723</v>
      </c>
      <c r="S397" s="54">
        <v>0.53020065990970178</v>
      </c>
      <c r="T397" s="54">
        <v>40333.028087447812</v>
      </c>
      <c r="V397" s="69">
        <f t="shared" si="38"/>
        <v>822874.97998937964</v>
      </c>
      <c r="W397" s="69">
        <f t="shared" si="39"/>
        <v>888582.08388387214</v>
      </c>
      <c r="X397" s="69">
        <f t="shared" si="36"/>
        <v>65707.103894492553</v>
      </c>
      <c r="Z397" s="68">
        <f t="shared" si="40"/>
        <v>0</v>
      </c>
      <c r="AA397" s="68">
        <f t="shared" si="41"/>
        <v>1</v>
      </c>
      <c r="AB397" s="68">
        <f t="shared" si="37"/>
        <v>1</v>
      </c>
    </row>
    <row r="398" spans="1:28" x14ac:dyDescent="0.25">
      <c r="A398">
        <v>393</v>
      </c>
      <c r="C398" s="24">
        <v>9.1742047714218993E-6</v>
      </c>
      <c r="D398" s="24">
        <v>4.6535439253170274E-3</v>
      </c>
      <c r="E398" s="24">
        <v>3.4951135376722345E-32</v>
      </c>
      <c r="F398" s="24">
        <v>5.5511151231257827E-15</v>
      </c>
      <c r="G398" s="24">
        <v>0.5154731640896506</v>
      </c>
      <c r="H398" s="24">
        <v>0.28990583822401716</v>
      </c>
      <c r="I398" s="53">
        <v>1708.6938426318256</v>
      </c>
      <c r="J398" s="53">
        <v>4216.3154514672297</v>
      </c>
      <c r="K398" s="24">
        <v>0.56145949669261752</v>
      </c>
      <c r="L398" s="24">
        <v>0.89946721841924226</v>
      </c>
      <c r="M398" s="24">
        <v>0.9327336076206878</v>
      </c>
      <c r="O398" s="53">
        <v>4.1508297525496323</v>
      </c>
      <c r="P398" s="54">
        <v>18204.934435754443</v>
      </c>
      <c r="Q398" s="54">
        <v>4.360623536032473</v>
      </c>
      <c r="R398" s="54">
        <v>39750.089078611163</v>
      </c>
      <c r="S398" s="54">
        <v>0.20979378348284072</v>
      </c>
      <c r="T398" s="54">
        <v>21545.15464285672</v>
      </c>
      <c r="V398" s="69">
        <f t="shared" si="38"/>
        <v>811961.01607417199</v>
      </c>
      <c r="W398" s="69">
        <f t="shared" si="39"/>
        <v>832374.61812788353</v>
      </c>
      <c r="X398" s="69">
        <f t="shared" si="36"/>
        <v>20413.602053711427</v>
      </c>
      <c r="Z398" s="68">
        <f t="shared" si="40"/>
        <v>0</v>
      </c>
      <c r="AA398" s="68">
        <f t="shared" si="41"/>
        <v>1</v>
      </c>
      <c r="AB398" s="68">
        <f t="shared" si="37"/>
        <v>1</v>
      </c>
    </row>
    <row r="399" spans="1:28" x14ac:dyDescent="0.25">
      <c r="A399">
        <v>394</v>
      </c>
      <c r="C399" s="24">
        <v>7.3499438545704936E-7</v>
      </c>
      <c r="D399" s="24">
        <v>1.9605225497123513E-3</v>
      </c>
      <c r="E399" s="24">
        <v>1.0777704207530769E-3</v>
      </c>
      <c r="F399" s="24">
        <v>6.590256534170458E-19</v>
      </c>
      <c r="G399" s="24">
        <v>0.56846984376717169</v>
      </c>
      <c r="H399" s="24">
        <v>0.25595236203070293</v>
      </c>
      <c r="I399" s="53">
        <v>2273.3728968691416</v>
      </c>
      <c r="J399" s="53">
        <v>4210.0577124243864</v>
      </c>
      <c r="K399" s="24">
        <v>0.76345398272781084</v>
      </c>
      <c r="L399" s="24">
        <v>0.98276028874442822</v>
      </c>
      <c r="M399" s="24">
        <v>0.93910019270076583</v>
      </c>
      <c r="O399" s="53">
        <v>4.6328210174253091</v>
      </c>
      <c r="P399" s="54">
        <v>14730.564681545582</v>
      </c>
      <c r="Q399" s="54">
        <v>4.8379072752111352</v>
      </c>
      <c r="R399" s="54">
        <v>41541.41773708594</v>
      </c>
      <c r="S399" s="54">
        <v>0.20508625778582612</v>
      </c>
      <c r="T399" s="54">
        <v>26810.853055540356</v>
      </c>
      <c r="V399" s="69">
        <f t="shared" si="38"/>
        <v>911833.63880351617</v>
      </c>
      <c r="W399" s="69">
        <f t="shared" si="39"/>
        <v>926040.0373051411</v>
      </c>
      <c r="X399" s="69">
        <f t="shared" si="36"/>
        <v>14206.39850162487</v>
      </c>
      <c r="Z399" s="68">
        <f t="shared" si="40"/>
        <v>0</v>
      </c>
      <c r="AA399" s="68">
        <f t="shared" si="41"/>
        <v>1</v>
      </c>
      <c r="AB399" s="68">
        <f t="shared" si="37"/>
        <v>1</v>
      </c>
    </row>
    <row r="400" spans="1:28" x14ac:dyDescent="0.25">
      <c r="A400">
        <v>395</v>
      </c>
      <c r="C400" s="24">
        <v>4.7676718009356245E-3</v>
      </c>
      <c r="D400" s="24">
        <v>2.4272701320069423E-3</v>
      </c>
      <c r="E400" s="24">
        <v>2.6799673591426654E-12</v>
      </c>
      <c r="F400" s="24">
        <v>1.7682522113204868E-12</v>
      </c>
      <c r="G400" s="24">
        <v>0.53540528059199299</v>
      </c>
      <c r="H400" s="24">
        <v>0.21903534252944989</v>
      </c>
      <c r="I400" s="53">
        <v>1878.7442258765432</v>
      </c>
      <c r="J400" s="53">
        <v>5051.4564844556271</v>
      </c>
      <c r="K400" s="24">
        <v>0.58217648772424502</v>
      </c>
      <c r="L400" s="24">
        <v>0.78020223057251326</v>
      </c>
      <c r="M400" s="24">
        <v>0.80903558365029005</v>
      </c>
      <c r="O400" s="53">
        <v>3.683997268023588</v>
      </c>
      <c r="P400" s="54">
        <v>16212.616003318595</v>
      </c>
      <c r="Q400" s="54">
        <v>3.8459222887924716</v>
      </c>
      <c r="R400" s="54">
        <v>23718.156082365509</v>
      </c>
      <c r="S400" s="54">
        <v>0.1619250207688836</v>
      </c>
      <c r="T400" s="54">
        <v>7505.5400790469139</v>
      </c>
      <c r="V400" s="69">
        <f t="shared" si="38"/>
        <v>720586.83760139905</v>
      </c>
      <c r="W400" s="69">
        <f t="shared" si="39"/>
        <v>745466.30167612876</v>
      </c>
      <c r="X400" s="69">
        <f t="shared" si="36"/>
        <v>24879.464074729807</v>
      </c>
      <c r="Z400" s="68">
        <f t="shared" si="40"/>
        <v>0</v>
      </c>
      <c r="AA400" s="68">
        <f t="shared" si="41"/>
        <v>1</v>
      </c>
      <c r="AB400" s="68">
        <f t="shared" si="37"/>
        <v>1</v>
      </c>
    </row>
    <row r="401" spans="1:28" x14ac:dyDescent="0.25">
      <c r="A401">
        <v>396</v>
      </c>
      <c r="C401" s="24">
        <v>4.860296451707935E-3</v>
      </c>
      <c r="D401" s="24">
        <v>9.1376291770265941E-6</v>
      </c>
      <c r="E401" s="24">
        <v>3.4059410988551697E-5</v>
      </c>
      <c r="F401" s="24">
        <v>1.3156061944673357E-30</v>
      </c>
      <c r="G401" s="24">
        <v>0.49020422014749587</v>
      </c>
      <c r="H401" s="24">
        <v>0.2349379700407157</v>
      </c>
      <c r="I401" s="53">
        <v>1712.6367565034211</v>
      </c>
      <c r="J401" s="53">
        <v>5868.2022411901007</v>
      </c>
      <c r="K401" s="24">
        <v>0.60939933986056649</v>
      </c>
      <c r="L401" s="24">
        <v>0.72349451001871035</v>
      </c>
      <c r="M401" s="24">
        <v>0.87655479654493518</v>
      </c>
      <c r="O401" s="53">
        <v>3.5166038635205332</v>
      </c>
      <c r="P401" s="54">
        <v>12999.373768968224</v>
      </c>
      <c r="Q401" s="54">
        <v>3.5824694566595925</v>
      </c>
      <c r="R401" s="54">
        <v>31027.89830138976</v>
      </c>
      <c r="S401" s="54">
        <v>6.5865593139059264E-2</v>
      </c>
      <c r="T401" s="54">
        <v>18028.524532421536</v>
      </c>
      <c r="V401" s="69">
        <f t="shared" si="38"/>
        <v>690321.39893513836</v>
      </c>
      <c r="W401" s="69">
        <f t="shared" si="39"/>
        <v>685465.99303052877</v>
      </c>
      <c r="X401" s="69">
        <f t="shared" si="36"/>
        <v>-4855.4059046096827</v>
      </c>
      <c r="Z401" s="68">
        <f t="shared" si="40"/>
        <v>1</v>
      </c>
      <c r="AA401" s="68">
        <f t="shared" si="41"/>
        <v>0</v>
      </c>
      <c r="AB401" s="68">
        <f t="shared" si="37"/>
        <v>0</v>
      </c>
    </row>
    <row r="402" spans="1:28" x14ac:dyDescent="0.25">
      <c r="A402">
        <v>397</v>
      </c>
      <c r="C402" s="24">
        <v>1.4343587382085902E-5</v>
      </c>
      <c r="D402" s="24">
        <v>1.4244199530315542E-4</v>
      </c>
      <c r="E402" s="24">
        <v>1.7675860775057117E-11</v>
      </c>
      <c r="F402" s="24">
        <v>5.1897375286102942E-11</v>
      </c>
      <c r="G402" s="24">
        <v>0.60824832249382865</v>
      </c>
      <c r="H402" s="24">
        <v>0.24313102134259423</v>
      </c>
      <c r="I402" s="53">
        <v>1647.2121096423582</v>
      </c>
      <c r="J402" s="53">
        <v>6751.3211841406219</v>
      </c>
      <c r="K402" s="24">
        <v>0.6174463717422457</v>
      </c>
      <c r="L402" s="24">
        <v>0.95382950841146119</v>
      </c>
      <c r="M402" s="24">
        <v>0.67736230905556749</v>
      </c>
      <c r="O402" s="53">
        <v>4.290312220176042</v>
      </c>
      <c r="P402" s="54">
        <v>15622.139212719201</v>
      </c>
      <c r="Q402" s="54">
        <v>4.6609386464784679</v>
      </c>
      <c r="R402" s="54">
        <v>24581.130906908136</v>
      </c>
      <c r="S402" s="54">
        <v>0.37062642630242593</v>
      </c>
      <c r="T402" s="54">
        <v>8958.9916941889351</v>
      </c>
      <c r="V402" s="69">
        <f t="shared" si="38"/>
        <v>842440.30482248927</v>
      </c>
      <c r="W402" s="69">
        <f t="shared" si="39"/>
        <v>907606.59838878538</v>
      </c>
      <c r="X402" s="69">
        <f t="shared" si="36"/>
        <v>65166.293566296241</v>
      </c>
      <c r="Z402" s="68">
        <f t="shared" si="40"/>
        <v>0</v>
      </c>
      <c r="AA402" s="68">
        <f t="shared" si="41"/>
        <v>1</v>
      </c>
      <c r="AB402" s="68">
        <f t="shared" si="37"/>
        <v>1</v>
      </c>
    </row>
    <row r="403" spans="1:28" x14ac:dyDescent="0.25">
      <c r="A403">
        <v>398</v>
      </c>
      <c r="C403" s="24">
        <v>1.1108689431444857E-5</v>
      </c>
      <c r="D403" s="24">
        <v>5.1424791721018086E-4</v>
      </c>
      <c r="E403" s="24">
        <v>1.9207044680549266E-13</v>
      </c>
      <c r="F403" s="24">
        <v>9.6177443200673451E-6</v>
      </c>
      <c r="G403" s="24">
        <v>0.57460194319903646</v>
      </c>
      <c r="H403" s="24">
        <v>0.23144752484899134</v>
      </c>
      <c r="I403" s="53">
        <v>2089.6622082122958</v>
      </c>
      <c r="J403" s="53">
        <v>5631.7929990996481</v>
      </c>
      <c r="K403" s="24">
        <v>0.71542585942808157</v>
      </c>
      <c r="L403" s="24">
        <v>0.98202023672065453</v>
      </c>
      <c r="M403" s="24">
        <v>0.77196650458289651</v>
      </c>
      <c r="O403" s="53">
        <v>4.5725369452116045</v>
      </c>
      <c r="P403" s="54">
        <v>16212.950898139441</v>
      </c>
      <c r="Q403" s="54">
        <v>4.8291521225401732</v>
      </c>
      <c r="R403" s="54">
        <v>39905.075633379049</v>
      </c>
      <c r="S403" s="54">
        <v>0.25661517732856876</v>
      </c>
      <c r="T403" s="54">
        <v>23692.124735239609</v>
      </c>
      <c r="V403" s="69">
        <f t="shared" si="38"/>
        <v>898294.43814418151</v>
      </c>
      <c r="W403" s="69">
        <f t="shared" si="39"/>
        <v>925925.34887465555</v>
      </c>
      <c r="X403" s="69">
        <f t="shared" si="36"/>
        <v>27630.910730474141</v>
      </c>
      <c r="Z403" s="68">
        <f t="shared" si="40"/>
        <v>0</v>
      </c>
      <c r="AA403" s="68">
        <f t="shared" si="41"/>
        <v>1</v>
      </c>
      <c r="AB403" s="68">
        <f t="shared" si="37"/>
        <v>1</v>
      </c>
    </row>
    <row r="404" spans="1:28" x14ac:dyDescent="0.25">
      <c r="A404">
        <v>399</v>
      </c>
      <c r="C404" s="24">
        <v>2.3460330184314754E-5</v>
      </c>
      <c r="D404" s="24">
        <v>1.2387110242109451E-4</v>
      </c>
      <c r="E404" s="24">
        <v>6.0808987110446239E-63</v>
      </c>
      <c r="F404" s="24">
        <v>1.5982294628288272E-41</v>
      </c>
      <c r="G404" s="24">
        <v>0.51288439906372874</v>
      </c>
      <c r="H404" s="24">
        <v>0.18129288852414249</v>
      </c>
      <c r="I404" s="53">
        <v>2602.6293545160402</v>
      </c>
      <c r="J404" s="53">
        <v>4610.3918169058334</v>
      </c>
      <c r="K404" s="24">
        <v>0.66241354397533114</v>
      </c>
      <c r="L404" s="24">
        <v>0.8389804701325595</v>
      </c>
      <c r="M404" s="24">
        <v>0.79700733557288717</v>
      </c>
      <c r="O404" s="53">
        <v>4.0155845663727403</v>
      </c>
      <c r="P404" s="54">
        <v>12848.532180722661</v>
      </c>
      <c r="Q404" s="54">
        <v>4.1557810289126849</v>
      </c>
      <c r="R404" s="54">
        <v>20288.263210356337</v>
      </c>
      <c r="S404" s="54">
        <v>0.14019646253994456</v>
      </c>
      <c r="T404" s="54">
        <v>7439.7310296336764</v>
      </c>
      <c r="V404" s="69">
        <f t="shared" si="38"/>
        <v>790268.38109382533</v>
      </c>
      <c r="W404" s="69">
        <f t="shared" si="39"/>
        <v>810867.94257218065</v>
      </c>
      <c r="X404" s="69">
        <f t="shared" si="36"/>
        <v>20599.561478355234</v>
      </c>
      <c r="Z404" s="68">
        <f t="shared" si="40"/>
        <v>0</v>
      </c>
      <c r="AA404" s="68">
        <f t="shared" si="41"/>
        <v>1</v>
      </c>
      <c r="AB404" s="68">
        <f t="shared" si="37"/>
        <v>1</v>
      </c>
    </row>
    <row r="405" spans="1:28" x14ac:dyDescent="0.25">
      <c r="A405">
        <v>400</v>
      </c>
      <c r="C405" s="24">
        <v>1.4772627529715839E-9</v>
      </c>
      <c r="D405" s="24">
        <v>1.4592291489290088E-2</v>
      </c>
      <c r="E405" s="24">
        <v>9.163005631906973E-5</v>
      </c>
      <c r="F405" s="24">
        <v>1.0087390778824518E-20</v>
      </c>
      <c r="G405" s="24">
        <v>0.5614890573354131</v>
      </c>
      <c r="H405" s="24">
        <v>0.25606423365923459</v>
      </c>
      <c r="I405" s="53">
        <v>1911.3512180284176</v>
      </c>
      <c r="J405" s="53">
        <v>5145.7456091887007</v>
      </c>
      <c r="K405" s="24">
        <v>0.6203320247413241</v>
      </c>
      <c r="L405" s="24">
        <v>0.52437770239868242</v>
      </c>
      <c r="M405" s="24">
        <v>0.81885687366113591</v>
      </c>
      <c r="O405" s="53">
        <v>2.7374803735157216</v>
      </c>
      <c r="P405" s="54">
        <v>15788.584054869416</v>
      </c>
      <c r="Q405" s="54">
        <v>2.6817748634589669</v>
      </c>
      <c r="R405" s="54">
        <v>40624.976617592532</v>
      </c>
      <c r="S405" s="54">
        <v>-5.5705510056754726E-2</v>
      </c>
      <c r="T405" s="54">
        <v>24836.392562723115</v>
      </c>
      <c r="V405" s="69">
        <f t="shared" si="38"/>
        <v>531707.49064827501</v>
      </c>
      <c r="W405" s="69">
        <f t="shared" si="39"/>
        <v>495729.99607420084</v>
      </c>
      <c r="X405" s="69">
        <f t="shared" si="36"/>
        <v>-35977.494574074059</v>
      </c>
      <c r="Z405" s="68">
        <f t="shared" si="40"/>
        <v>1</v>
      </c>
      <c r="AA405" s="68">
        <f t="shared" si="41"/>
        <v>0</v>
      </c>
      <c r="AB405" s="68">
        <f t="shared" si="37"/>
        <v>0</v>
      </c>
    </row>
    <row r="406" spans="1:28" x14ac:dyDescent="0.25">
      <c r="A406">
        <v>401</v>
      </c>
      <c r="C406" s="24">
        <v>3.3597763512241078E-7</v>
      </c>
      <c r="D406" s="24">
        <v>1.0274726172322473E-3</v>
      </c>
      <c r="E406" s="24">
        <v>5.7394667985409582E-63</v>
      </c>
      <c r="F406" s="24">
        <v>7.215765106683408E-62</v>
      </c>
      <c r="G406" s="24">
        <v>0.49528113989792266</v>
      </c>
      <c r="H406" s="24">
        <v>0.28155740289343056</v>
      </c>
      <c r="I406" s="53">
        <v>1425.4579565596919</v>
      </c>
      <c r="J406" s="53">
        <v>5509.2360321710394</v>
      </c>
      <c r="K406" s="24">
        <v>0.72194145489743478</v>
      </c>
      <c r="L406" s="24">
        <v>0.90305941923719535</v>
      </c>
      <c r="M406" s="24">
        <v>0.96326758334819873</v>
      </c>
      <c r="O406" s="53">
        <v>4.3428629242831951</v>
      </c>
      <c r="P406" s="54">
        <v>15434.0785934341</v>
      </c>
      <c r="Q406" s="54">
        <v>4.4448394688081914</v>
      </c>
      <c r="R406" s="54">
        <v>37373.959128409639</v>
      </c>
      <c r="S406" s="54">
        <v>0.10197654452499627</v>
      </c>
      <c r="T406" s="54">
        <v>21939.880534975538</v>
      </c>
      <c r="V406" s="69">
        <f t="shared" si="38"/>
        <v>853138.50626320497</v>
      </c>
      <c r="W406" s="69">
        <f t="shared" si="39"/>
        <v>851593.9346332287</v>
      </c>
      <c r="X406" s="69">
        <f t="shared" si="36"/>
        <v>-1544.5716299762826</v>
      </c>
      <c r="Z406" s="68">
        <f t="shared" si="40"/>
        <v>1</v>
      </c>
      <c r="AA406" s="68">
        <f t="shared" si="41"/>
        <v>0</v>
      </c>
      <c r="AB406" s="68">
        <f t="shared" si="37"/>
        <v>0</v>
      </c>
    </row>
    <row r="407" spans="1:28" x14ac:dyDescent="0.25">
      <c r="A407">
        <v>402</v>
      </c>
      <c r="C407" s="24">
        <v>7.0796772804383996E-14</v>
      </c>
      <c r="D407" s="24">
        <v>2.4694219017474817E-3</v>
      </c>
      <c r="E407" s="24">
        <v>7.1822547909050627E-12</v>
      </c>
      <c r="F407" s="24">
        <v>1.3700586414810978E-5</v>
      </c>
      <c r="G407" s="24">
        <v>0.64477396427281919</v>
      </c>
      <c r="H407" s="24">
        <v>0.21468481460583388</v>
      </c>
      <c r="I407" s="53">
        <v>1609.7949634110396</v>
      </c>
      <c r="J407" s="53">
        <v>4509.074748947326</v>
      </c>
      <c r="K407" s="24">
        <v>0.68927899546727422</v>
      </c>
      <c r="L407" s="24">
        <v>0.94420867132130537</v>
      </c>
      <c r="M407" s="24">
        <v>0.83201255890568815</v>
      </c>
      <c r="O407" s="53">
        <v>4.3098838723480046</v>
      </c>
      <c r="P407" s="54">
        <v>22507.406679838157</v>
      </c>
      <c r="Q407" s="54">
        <v>4.64963851208541</v>
      </c>
      <c r="R407" s="54">
        <v>32765.456983986092</v>
      </c>
      <c r="S407" s="54">
        <v>0.33975463973740538</v>
      </c>
      <c r="T407" s="54">
        <v>10258.050304147935</v>
      </c>
      <c r="V407" s="69">
        <f t="shared" si="38"/>
        <v>839469.36778976268</v>
      </c>
      <c r="W407" s="69">
        <f t="shared" si="39"/>
        <v>897162.24543309596</v>
      </c>
      <c r="X407" s="69">
        <f t="shared" si="36"/>
        <v>57692.877643333137</v>
      </c>
      <c r="Z407" s="68">
        <f t="shared" si="40"/>
        <v>0</v>
      </c>
      <c r="AA407" s="68">
        <f t="shared" si="41"/>
        <v>1</v>
      </c>
      <c r="AB407" s="68">
        <f t="shared" si="37"/>
        <v>1</v>
      </c>
    </row>
    <row r="408" spans="1:28" x14ac:dyDescent="0.25">
      <c r="A408">
        <v>403</v>
      </c>
      <c r="C408" s="24">
        <v>3.9048913717487643E-4</v>
      </c>
      <c r="D408" s="24">
        <v>2.1296115310827219E-4</v>
      </c>
      <c r="E408" s="24">
        <v>3.0353260034310381E-6</v>
      </c>
      <c r="F408" s="24">
        <v>4.9995107618044384E-46</v>
      </c>
      <c r="G408" s="24">
        <v>0.56554709000948022</v>
      </c>
      <c r="H408" s="24">
        <v>0.2836193421671237</v>
      </c>
      <c r="I408" s="53">
        <v>2423.2695709554619</v>
      </c>
      <c r="J408" s="53">
        <v>4970.5049049043018</v>
      </c>
      <c r="K408" s="24">
        <v>0.69378772362829877</v>
      </c>
      <c r="L408" s="24">
        <v>0.9676052753502179</v>
      </c>
      <c r="M408" s="24">
        <v>0.8908291741370874</v>
      </c>
      <c r="O408" s="53">
        <v>4.5019217380641781</v>
      </c>
      <c r="P408" s="54">
        <v>15957.453875373843</v>
      </c>
      <c r="Q408" s="54">
        <v>4.7297142340507881</v>
      </c>
      <c r="R408" s="54">
        <v>36654.875903548316</v>
      </c>
      <c r="S408" s="54">
        <v>0.22779249598661</v>
      </c>
      <c r="T408" s="54">
        <v>20697.422028174471</v>
      </c>
      <c r="V408" s="69">
        <f t="shared" si="38"/>
        <v>884426.89373746177</v>
      </c>
      <c r="W408" s="69">
        <f t="shared" si="39"/>
        <v>909287.97090660932</v>
      </c>
      <c r="X408" s="69">
        <f t="shared" si="36"/>
        <v>24861.077169147531</v>
      </c>
      <c r="Z408" s="68">
        <f t="shared" si="40"/>
        <v>0</v>
      </c>
      <c r="AA408" s="68">
        <f t="shared" si="41"/>
        <v>1</v>
      </c>
      <c r="AB408" s="68">
        <f t="shared" si="37"/>
        <v>1</v>
      </c>
    </row>
    <row r="409" spans="1:28" x14ac:dyDescent="0.25">
      <c r="A409">
        <v>404</v>
      </c>
      <c r="C409" s="24">
        <v>5.4377262487329552E-7</v>
      </c>
      <c r="D409" s="24">
        <v>1.755713014102153E-5</v>
      </c>
      <c r="E409" s="24">
        <v>1.8527502155171382E-22</v>
      </c>
      <c r="F409" s="24">
        <v>7.9203122942150272E-25</v>
      </c>
      <c r="G409" s="24">
        <v>0.50560537691927965</v>
      </c>
      <c r="H409" s="24">
        <v>0.25236149846747624</v>
      </c>
      <c r="I409" s="53">
        <v>2004.862228069605</v>
      </c>
      <c r="J409" s="53">
        <v>4999.474230199512</v>
      </c>
      <c r="K409" s="24">
        <v>0.8363442708991784</v>
      </c>
      <c r="L409" s="24">
        <v>0.55359645030496718</v>
      </c>
      <c r="M409" s="24">
        <v>0.8772154794295508</v>
      </c>
      <c r="O409" s="53">
        <v>3.0475887814847873</v>
      </c>
      <c r="P409" s="54">
        <v>12478.657237841808</v>
      </c>
      <c r="Q409" s="54">
        <v>2.8633600585822303</v>
      </c>
      <c r="R409" s="54">
        <v>37276.260986306872</v>
      </c>
      <c r="S409" s="54">
        <v>-0.18422872290255699</v>
      </c>
      <c r="T409" s="54">
        <v>24797.603748465066</v>
      </c>
      <c r="V409" s="69">
        <f t="shared" si="38"/>
        <v>597039.09905911563</v>
      </c>
      <c r="W409" s="69">
        <f t="shared" si="39"/>
        <v>535395.7507301392</v>
      </c>
      <c r="X409" s="69">
        <f t="shared" si="36"/>
        <v>-61643.348328976463</v>
      </c>
      <c r="Z409" s="68">
        <f t="shared" si="40"/>
        <v>1</v>
      </c>
      <c r="AA409" s="68">
        <f t="shared" si="41"/>
        <v>0</v>
      </c>
      <c r="AB409" s="68">
        <f t="shared" si="37"/>
        <v>0</v>
      </c>
    </row>
    <row r="410" spans="1:28" x14ac:dyDescent="0.25">
      <c r="A410">
        <v>405</v>
      </c>
      <c r="C410" s="24">
        <v>4.6060232938591739E-3</v>
      </c>
      <c r="D410" s="24">
        <v>3.1702014284068492E-3</v>
      </c>
      <c r="E410" s="24">
        <v>9.9814935789908633E-14</v>
      </c>
      <c r="F410" s="24">
        <v>1.3822230012357606E-18</v>
      </c>
      <c r="G410" s="24">
        <v>0.56061303488637371</v>
      </c>
      <c r="H410" s="24">
        <v>0.18975123782932468</v>
      </c>
      <c r="I410" s="53">
        <v>1815.8880621209207</v>
      </c>
      <c r="J410" s="53">
        <v>4303.5061744745772</v>
      </c>
      <c r="K410" s="24">
        <v>0.71880174310983747</v>
      </c>
      <c r="L410" s="24">
        <v>0.97839127526620673</v>
      </c>
      <c r="M410" s="24">
        <v>0.95117263445009304</v>
      </c>
      <c r="O410" s="53">
        <v>4.5780046460865886</v>
      </c>
      <c r="P410" s="54">
        <v>18905.276107164125</v>
      </c>
      <c r="Q410" s="54">
        <v>4.8306708052858465</v>
      </c>
      <c r="R410" s="54">
        <v>30732.64065024786</v>
      </c>
      <c r="S410" s="54">
        <v>0.25266615919925783</v>
      </c>
      <c r="T410" s="54">
        <v>11827.364543083735</v>
      </c>
      <c r="V410" s="69">
        <f t="shared" si="38"/>
        <v>896695.65311015362</v>
      </c>
      <c r="W410" s="69">
        <f t="shared" si="39"/>
        <v>935401.52040692151</v>
      </c>
      <c r="X410" s="69">
        <f t="shared" si="36"/>
        <v>38705.867296767829</v>
      </c>
      <c r="Z410" s="68">
        <f t="shared" si="40"/>
        <v>0</v>
      </c>
      <c r="AA410" s="68">
        <f t="shared" si="41"/>
        <v>1</v>
      </c>
      <c r="AB410" s="68">
        <f t="shared" si="37"/>
        <v>1</v>
      </c>
    </row>
    <row r="411" spans="1:28" x14ac:dyDescent="0.25">
      <c r="A411">
        <v>406</v>
      </c>
      <c r="C411" s="24">
        <v>8.2955158880677938E-8</v>
      </c>
      <c r="D411" s="24">
        <v>4.6766886691115699E-5</v>
      </c>
      <c r="E411" s="24">
        <v>8.4407580369649793E-8</v>
      </c>
      <c r="F411" s="24">
        <v>2.3007550097653429E-4</v>
      </c>
      <c r="G411" s="24">
        <v>0.52852504401047784</v>
      </c>
      <c r="H411" s="24">
        <v>0.13174156891220479</v>
      </c>
      <c r="I411" s="53">
        <v>1914.2305604415849</v>
      </c>
      <c r="J411" s="53">
        <v>5774.807570797243</v>
      </c>
      <c r="K411" s="24">
        <v>0.72557188936444583</v>
      </c>
      <c r="L411" s="24">
        <v>0.65810641628681033</v>
      </c>
      <c r="M411" s="24">
        <v>0.92778296572389174</v>
      </c>
      <c r="O411" s="53">
        <v>3.3630418249775773</v>
      </c>
      <c r="P411" s="54">
        <v>15092.242363688172</v>
      </c>
      <c r="Q411" s="54">
        <v>3.299993208275195</v>
      </c>
      <c r="R411" s="54">
        <v>14395.429364837142</v>
      </c>
      <c r="S411" s="54">
        <v>-6.3048616702382265E-2</v>
      </c>
      <c r="T411" s="54">
        <v>-696.81299885102999</v>
      </c>
      <c r="V411" s="69">
        <f t="shared" si="38"/>
        <v>657516.12263182725</v>
      </c>
      <c r="W411" s="69">
        <f t="shared" si="39"/>
        <v>645603.21229020192</v>
      </c>
      <c r="X411" s="69">
        <f t="shared" si="36"/>
        <v>-11912.910341625424</v>
      </c>
      <c r="Z411" s="68">
        <f t="shared" si="40"/>
        <v>1</v>
      </c>
      <c r="AA411" s="68">
        <f t="shared" si="41"/>
        <v>0</v>
      </c>
      <c r="AB411" s="68">
        <f t="shared" si="37"/>
        <v>0</v>
      </c>
    </row>
    <row r="412" spans="1:28" x14ac:dyDescent="0.25">
      <c r="A412">
        <v>407</v>
      </c>
      <c r="C412" s="24">
        <v>2.1528646021344855E-3</v>
      </c>
      <c r="D412" s="24">
        <v>6.0199803137456827E-4</v>
      </c>
      <c r="E412" s="24">
        <v>2.0768390213732335E-4</v>
      </c>
      <c r="F412" s="24">
        <v>1.8718383769061382E-31</v>
      </c>
      <c r="G412" s="24">
        <v>0.57801819350597938</v>
      </c>
      <c r="H412" s="24">
        <v>0.17741028831147077</v>
      </c>
      <c r="I412" s="53">
        <v>1706.5998516618808</v>
      </c>
      <c r="J412" s="53">
        <v>3845.4754403588927</v>
      </c>
      <c r="K412" s="24">
        <v>0.70607581183820312</v>
      </c>
      <c r="L412" s="24">
        <v>0.91710294645912194</v>
      </c>
      <c r="M412" s="24">
        <v>0.77004217771228178</v>
      </c>
      <c r="O412" s="53">
        <v>4.3106382184635423</v>
      </c>
      <c r="P412" s="54">
        <v>17469.260495629216</v>
      </c>
      <c r="Q412" s="54">
        <v>4.539494990351522</v>
      </c>
      <c r="R412" s="54">
        <v>28281.604069559835</v>
      </c>
      <c r="S412" s="54">
        <v>0.2288567718879797</v>
      </c>
      <c r="T412" s="54">
        <v>10812.343573930619</v>
      </c>
      <c r="V412" s="69">
        <f t="shared" si="38"/>
        <v>844658.3831970793</v>
      </c>
      <c r="W412" s="69">
        <f t="shared" si="39"/>
        <v>879617.39400074456</v>
      </c>
      <c r="X412" s="69">
        <f t="shared" si="36"/>
        <v>34959.010803665326</v>
      </c>
      <c r="Z412" s="68">
        <f t="shared" si="40"/>
        <v>0</v>
      </c>
      <c r="AA412" s="68">
        <f t="shared" si="41"/>
        <v>1</v>
      </c>
      <c r="AB412" s="68">
        <f t="shared" si="37"/>
        <v>1</v>
      </c>
    </row>
    <row r="413" spans="1:28" x14ac:dyDescent="0.25">
      <c r="A413">
        <v>408</v>
      </c>
      <c r="C413" s="24">
        <v>1.308710870721698E-11</v>
      </c>
      <c r="D413" s="24">
        <v>2.2817356316614916E-4</v>
      </c>
      <c r="E413" s="24">
        <v>2.8906329452293988E-7</v>
      </c>
      <c r="F413" s="24">
        <v>5.7822425207284656E-19</v>
      </c>
      <c r="G413" s="24">
        <v>0.57072523865062852</v>
      </c>
      <c r="H413" s="24">
        <v>0.24819122993709364</v>
      </c>
      <c r="I413" s="53">
        <v>1754.7923830289064</v>
      </c>
      <c r="J413" s="53">
        <v>5296.8065119169423</v>
      </c>
      <c r="K413" s="24">
        <v>0.74824145472084025</v>
      </c>
      <c r="L413" s="24">
        <v>0.8498657161582337</v>
      </c>
      <c r="M413" s="24">
        <v>0.85595698145613452</v>
      </c>
      <c r="O413" s="53">
        <v>4.1223972681045007</v>
      </c>
      <c r="P413" s="54">
        <v>16045.225304867832</v>
      </c>
      <c r="Q413" s="54">
        <v>4.215820050901959</v>
      </c>
      <c r="R413" s="54">
        <v>35068.759996332505</v>
      </c>
      <c r="S413" s="54">
        <v>9.3422782797458304E-2</v>
      </c>
      <c r="T413" s="54">
        <v>19023.534691464673</v>
      </c>
      <c r="V413" s="69">
        <f t="shared" si="38"/>
        <v>808434.22831603233</v>
      </c>
      <c r="W413" s="69">
        <f t="shared" si="39"/>
        <v>808095.25018405938</v>
      </c>
      <c r="X413" s="69">
        <f t="shared" si="36"/>
        <v>-338.97813197301002</v>
      </c>
      <c r="Z413" s="68">
        <f t="shared" si="40"/>
        <v>1</v>
      </c>
      <c r="AA413" s="68">
        <f t="shared" si="41"/>
        <v>0</v>
      </c>
      <c r="AB413" s="68">
        <f t="shared" si="37"/>
        <v>0</v>
      </c>
    </row>
    <row r="414" spans="1:28" x14ac:dyDescent="0.25">
      <c r="A414">
        <v>409</v>
      </c>
      <c r="C414" s="24">
        <v>9.7230089853771206E-20</v>
      </c>
      <c r="D414" s="24">
        <v>8.5872172123214281E-4</v>
      </c>
      <c r="E414" s="24">
        <v>2.582823510621779E-9</v>
      </c>
      <c r="F414" s="24">
        <v>1.0724222621050217E-9</v>
      </c>
      <c r="G414" s="24">
        <v>0.61751069318185259</v>
      </c>
      <c r="H414" s="24">
        <v>0.34916810591437175</v>
      </c>
      <c r="I414" s="53">
        <v>2164.2427599332441</v>
      </c>
      <c r="J414" s="53">
        <v>4592.2605542603078</v>
      </c>
      <c r="K414" s="24">
        <v>0.5877488190767719</v>
      </c>
      <c r="L414" s="24">
        <v>0.7623756987794994</v>
      </c>
      <c r="M414" s="24">
        <v>0.85888866638357497</v>
      </c>
      <c r="O414" s="53">
        <v>3.55526560849985</v>
      </c>
      <c r="P414" s="54">
        <v>16223.993352086081</v>
      </c>
      <c r="Q414" s="54">
        <v>3.7192470093153713</v>
      </c>
      <c r="R414" s="54">
        <v>51128.173251013621</v>
      </c>
      <c r="S414" s="54">
        <v>0.16398140081552137</v>
      </c>
      <c r="T414" s="54">
        <v>34904.179898927541</v>
      </c>
      <c r="V414" s="69">
        <f t="shared" si="38"/>
        <v>694829.12834788393</v>
      </c>
      <c r="W414" s="69">
        <f t="shared" si="39"/>
        <v>692721.22861206066</v>
      </c>
      <c r="X414" s="69">
        <f t="shared" si="36"/>
        <v>-2107.8997358232664</v>
      </c>
      <c r="Z414" s="68">
        <f t="shared" si="40"/>
        <v>1</v>
      </c>
      <c r="AA414" s="68">
        <f t="shared" si="41"/>
        <v>0</v>
      </c>
      <c r="AB414" s="68">
        <f t="shared" si="37"/>
        <v>0</v>
      </c>
    </row>
    <row r="415" spans="1:28" x14ac:dyDescent="0.25">
      <c r="A415">
        <v>410</v>
      </c>
      <c r="C415" s="24">
        <v>1.4286475916605605E-7</v>
      </c>
      <c r="D415" s="24">
        <v>4.9250306344659212E-3</v>
      </c>
      <c r="E415" s="24">
        <v>1.367193025458846E-9</v>
      </c>
      <c r="F415" s="24">
        <v>5.1551358968664117E-17</v>
      </c>
      <c r="G415" s="24">
        <v>0.5884783063939043</v>
      </c>
      <c r="H415" s="24">
        <v>0.28635628356945186</v>
      </c>
      <c r="I415" s="53">
        <v>2310.8743312347706</v>
      </c>
      <c r="J415" s="53">
        <v>5098.9110972662465</v>
      </c>
      <c r="K415" s="24">
        <v>0.59609769272564184</v>
      </c>
      <c r="L415" s="24">
        <v>0.99337231114609004</v>
      </c>
      <c r="M415" s="24">
        <v>0.83656317801237134</v>
      </c>
      <c r="O415" s="53">
        <v>4.4388505673954359</v>
      </c>
      <c r="P415" s="54">
        <v>20431.43332384872</v>
      </c>
      <c r="Q415" s="54">
        <v>4.8027808054370293</v>
      </c>
      <c r="R415" s="54">
        <v>37904.458482658229</v>
      </c>
      <c r="S415" s="54">
        <v>0.36393023804159341</v>
      </c>
      <c r="T415" s="54">
        <v>17473.025158809509</v>
      </c>
      <c r="V415" s="69">
        <f t="shared" si="38"/>
        <v>867338.68015523837</v>
      </c>
      <c r="W415" s="69">
        <f t="shared" si="39"/>
        <v>922651.70260474761</v>
      </c>
      <c r="X415" s="69">
        <f t="shared" si="36"/>
        <v>55313.022449509168</v>
      </c>
      <c r="Z415" s="68">
        <f t="shared" si="40"/>
        <v>0</v>
      </c>
      <c r="AA415" s="68">
        <f t="shared" si="41"/>
        <v>1</v>
      </c>
      <c r="AB415" s="68">
        <f t="shared" si="37"/>
        <v>1</v>
      </c>
    </row>
    <row r="416" spans="1:28" x14ac:dyDescent="0.25">
      <c r="A416">
        <v>411</v>
      </c>
      <c r="C416" s="24">
        <v>8.8895483694755122E-6</v>
      </c>
      <c r="D416" s="24">
        <v>2.5579142140846128E-5</v>
      </c>
      <c r="E416" s="24">
        <v>2.2009360451465926E-24</v>
      </c>
      <c r="F416" s="24">
        <v>1.1594293864991556E-6</v>
      </c>
      <c r="G416" s="24">
        <v>0.59836701927573555</v>
      </c>
      <c r="H416" s="24">
        <v>0.29707003863158121</v>
      </c>
      <c r="I416" s="53">
        <v>2043.726355249288</v>
      </c>
      <c r="J416" s="53">
        <v>5210.8904949545231</v>
      </c>
      <c r="K416" s="24">
        <v>0.56245462011196534</v>
      </c>
      <c r="L416" s="24">
        <v>0.8868563407189417</v>
      </c>
      <c r="M416" s="24">
        <v>0.93932173282480802</v>
      </c>
      <c r="O416" s="53">
        <v>3.9880539214036945</v>
      </c>
      <c r="P416" s="54">
        <v>20845.753502980166</v>
      </c>
      <c r="Q416" s="54">
        <v>4.2975033108471683</v>
      </c>
      <c r="R416" s="54">
        <v>41862.290416162366</v>
      </c>
      <c r="S416" s="54">
        <v>0.30944938944347378</v>
      </c>
      <c r="T416" s="54">
        <v>21016.536913182201</v>
      </c>
      <c r="V416" s="69">
        <f t="shared" si="38"/>
        <v>776765.03077775869</v>
      </c>
      <c r="W416" s="69">
        <f t="shared" si="39"/>
        <v>817638.37175327132</v>
      </c>
      <c r="X416" s="69">
        <f t="shared" si="36"/>
        <v>40873.340975512554</v>
      </c>
      <c r="Z416" s="68">
        <f t="shared" si="40"/>
        <v>0</v>
      </c>
      <c r="AA416" s="68">
        <f t="shared" si="41"/>
        <v>1</v>
      </c>
      <c r="AB416" s="68">
        <f t="shared" si="37"/>
        <v>1</v>
      </c>
    </row>
    <row r="417" spans="1:28" x14ac:dyDescent="0.25">
      <c r="A417">
        <v>412</v>
      </c>
      <c r="C417" s="24">
        <v>5.4376062397420988E-4</v>
      </c>
      <c r="D417" s="24">
        <v>1.249114837323109E-3</v>
      </c>
      <c r="E417" s="24">
        <v>1.5377865369980981E-6</v>
      </c>
      <c r="F417" s="24">
        <v>2.0651999140805268E-34</v>
      </c>
      <c r="G417" s="24">
        <v>0.44830872373995834</v>
      </c>
      <c r="H417" s="24">
        <v>0.35755215647550576</v>
      </c>
      <c r="I417" s="53">
        <v>2060.8320921920008</v>
      </c>
      <c r="J417" s="53">
        <v>7098.3474744472624</v>
      </c>
      <c r="K417" s="24">
        <v>0.76004125915252829</v>
      </c>
      <c r="L417" s="24">
        <v>0.86762763028097967</v>
      </c>
      <c r="M417" s="24">
        <v>0.9157784013979845</v>
      </c>
      <c r="O417" s="53">
        <v>4.2524850313019913</v>
      </c>
      <c r="P417" s="54">
        <v>12579.40480299945</v>
      </c>
      <c r="Q417" s="54">
        <v>4.2790275327189855</v>
      </c>
      <c r="R417" s="54">
        <v>49978.431931962645</v>
      </c>
      <c r="S417" s="54">
        <v>2.6542501416994213E-2</v>
      </c>
      <c r="T417" s="54">
        <v>37399.027128963193</v>
      </c>
      <c r="V417" s="69">
        <f t="shared" si="38"/>
        <v>837917.60145739885</v>
      </c>
      <c r="W417" s="69">
        <f t="shared" si="39"/>
        <v>805827.07461183448</v>
      </c>
      <c r="X417" s="69">
        <f t="shared" si="36"/>
        <v>-32090.526845564349</v>
      </c>
      <c r="Z417" s="68">
        <f t="shared" si="40"/>
        <v>1</v>
      </c>
      <c r="AA417" s="68">
        <f t="shared" si="41"/>
        <v>0</v>
      </c>
      <c r="AB417" s="68">
        <f t="shared" si="37"/>
        <v>0</v>
      </c>
    </row>
    <row r="418" spans="1:28" x14ac:dyDescent="0.25">
      <c r="A418">
        <v>413</v>
      </c>
      <c r="C418" s="24">
        <v>7.3316032190664515E-3</v>
      </c>
      <c r="D418" s="24">
        <v>5.9634777020412194E-4</v>
      </c>
      <c r="E418" s="24">
        <v>2.3678165938634255E-4</v>
      </c>
      <c r="F418" s="24">
        <v>1.1744605288299681E-11</v>
      </c>
      <c r="G418" s="24">
        <v>0.6167057475048956</v>
      </c>
      <c r="H418" s="24">
        <v>0.28975727139654794</v>
      </c>
      <c r="I418" s="53">
        <v>2141.9221084673923</v>
      </c>
      <c r="J418" s="53">
        <v>5997.4749610689387</v>
      </c>
      <c r="K418" s="24">
        <v>0.63525983973232003</v>
      </c>
      <c r="L418" s="24">
        <v>0.92739948787391402</v>
      </c>
      <c r="M418" s="24">
        <v>0.86855431023837371</v>
      </c>
      <c r="O418" s="53">
        <v>4.2028826615172248</v>
      </c>
      <c r="P418" s="54">
        <v>17684.25853329993</v>
      </c>
      <c r="Q418" s="54">
        <v>4.5178299252433076</v>
      </c>
      <c r="R418" s="54">
        <v>37418.688044620845</v>
      </c>
      <c r="S418" s="54">
        <v>0.31494726372608284</v>
      </c>
      <c r="T418" s="54">
        <v>19734.429511320915</v>
      </c>
      <c r="V418" s="69">
        <f t="shared" si="38"/>
        <v>822892.27377014502</v>
      </c>
      <c r="W418" s="69">
        <f t="shared" si="39"/>
        <v>866147.29700404068</v>
      </c>
      <c r="X418" s="69">
        <f t="shared" si="36"/>
        <v>43255.023233895648</v>
      </c>
      <c r="Z418" s="68">
        <f t="shared" si="40"/>
        <v>0</v>
      </c>
      <c r="AA418" s="68">
        <f t="shared" si="41"/>
        <v>1</v>
      </c>
      <c r="AB418" s="68">
        <f t="shared" si="37"/>
        <v>1</v>
      </c>
    </row>
    <row r="419" spans="1:28" x14ac:dyDescent="0.25">
      <c r="A419">
        <v>414</v>
      </c>
      <c r="C419" s="24">
        <v>9.2700735986999064E-6</v>
      </c>
      <c r="D419" s="24">
        <v>5.4784603710595291E-4</v>
      </c>
      <c r="E419" s="24">
        <v>1.0522891197657056E-30</v>
      </c>
      <c r="F419" s="24">
        <v>2.1482815526496779E-13</v>
      </c>
      <c r="G419" s="24">
        <v>0.5759833728700785</v>
      </c>
      <c r="H419" s="24">
        <v>0.23855033502387768</v>
      </c>
      <c r="I419" s="53">
        <v>2166.3331768326598</v>
      </c>
      <c r="J419" s="53">
        <v>4476.5555144642112</v>
      </c>
      <c r="K419" s="24">
        <v>0.66846112755283627</v>
      </c>
      <c r="L419" s="24">
        <v>0.78788382569688353</v>
      </c>
      <c r="M419" s="24">
        <v>0.75127028776318727</v>
      </c>
      <c r="O419" s="53">
        <v>3.7874766185009525</v>
      </c>
      <c r="P419" s="54">
        <v>13341.217020601762</v>
      </c>
      <c r="Q419" s="54">
        <v>3.9019112899862129</v>
      </c>
      <c r="R419" s="54">
        <v>31467.113088301885</v>
      </c>
      <c r="S419" s="54">
        <v>0.11443467148526043</v>
      </c>
      <c r="T419" s="54">
        <v>18125.896067700123</v>
      </c>
      <c r="V419" s="69">
        <f t="shared" si="38"/>
        <v>744154.10667958879</v>
      </c>
      <c r="W419" s="69">
        <f t="shared" si="39"/>
        <v>748915.14490894077</v>
      </c>
      <c r="X419" s="69">
        <f t="shared" si="36"/>
        <v>4761.0382293519615</v>
      </c>
      <c r="Z419" s="68">
        <f t="shared" si="40"/>
        <v>0</v>
      </c>
      <c r="AA419" s="68">
        <f t="shared" si="41"/>
        <v>1</v>
      </c>
      <c r="AB419" s="68">
        <f t="shared" si="37"/>
        <v>1</v>
      </c>
    </row>
    <row r="420" spans="1:28" x14ac:dyDescent="0.25">
      <c r="A420">
        <v>415</v>
      </c>
      <c r="C420" s="24">
        <v>9.2370255884932639E-5</v>
      </c>
      <c r="D420" s="24">
        <v>1.9617743193200775E-4</v>
      </c>
      <c r="E420" s="24">
        <v>7.5313122405162858E-10</v>
      </c>
      <c r="F420" s="24">
        <v>9.5095770147324288E-9</v>
      </c>
      <c r="G420" s="24">
        <v>0.66200344160355407</v>
      </c>
      <c r="H420" s="24">
        <v>0.28584944347460284</v>
      </c>
      <c r="I420" s="53">
        <v>2266.3515193986104</v>
      </c>
      <c r="J420" s="53">
        <v>5595.1589023164979</v>
      </c>
      <c r="K420" s="24">
        <v>0.57432294870783862</v>
      </c>
      <c r="L420" s="24">
        <v>0.95146996335140299</v>
      </c>
      <c r="M420" s="24">
        <v>0.91493121604045369</v>
      </c>
      <c r="O420" s="53">
        <v>4.1125534243853687</v>
      </c>
      <c r="P420" s="54">
        <v>19355.35681333534</v>
      </c>
      <c r="Q420" s="54">
        <v>4.6066329489783415</v>
      </c>
      <c r="R420" s="54">
        <v>47922.167841414957</v>
      </c>
      <c r="S420" s="54">
        <v>0.49407952459297277</v>
      </c>
      <c r="T420" s="54">
        <v>28566.811028079617</v>
      </c>
      <c r="V420" s="69">
        <f t="shared" si="38"/>
        <v>803155.32806373842</v>
      </c>
      <c r="W420" s="69">
        <f t="shared" si="39"/>
        <v>873404.42195425334</v>
      </c>
      <c r="X420" s="69">
        <f t="shared" si="36"/>
        <v>70249.093890514923</v>
      </c>
      <c r="Z420" s="68">
        <f t="shared" si="40"/>
        <v>0</v>
      </c>
      <c r="AA420" s="68">
        <f t="shared" si="41"/>
        <v>1</v>
      </c>
      <c r="AB420" s="68">
        <f t="shared" si="37"/>
        <v>1</v>
      </c>
    </row>
    <row r="421" spans="1:28" x14ac:dyDescent="0.25">
      <c r="A421">
        <v>416</v>
      </c>
      <c r="C421" s="24">
        <v>2.040394072776238E-6</v>
      </c>
      <c r="D421" s="24">
        <v>1.199731366117357E-3</v>
      </c>
      <c r="E421" s="24">
        <v>1.6874386578935585E-5</v>
      </c>
      <c r="F421" s="24">
        <v>2.3248062031022698E-8</v>
      </c>
      <c r="G421" s="24">
        <v>0.73459447655206578</v>
      </c>
      <c r="H421" s="24">
        <v>0.25767765667512144</v>
      </c>
      <c r="I421" s="53">
        <v>1771.7487151230046</v>
      </c>
      <c r="J421" s="53">
        <v>5336.8238717820013</v>
      </c>
      <c r="K421" s="24">
        <v>0.68527562028261046</v>
      </c>
      <c r="L421" s="24">
        <v>0.9081466815228334</v>
      </c>
      <c r="M421" s="24">
        <v>0.80436418031939627</v>
      </c>
      <c r="O421" s="53">
        <v>4.0556574650727901</v>
      </c>
      <c r="P421" s="54">
        <v>28880.210294369906</v>
      </c>
      <c r="Q421" s="54">
        <v>4.4626768389671989</v>
      </c>
      <c r="R421" s="54">
        <v>35200.796796002818</v>
      </c>
      <c r="S421" s="54">
        <v>0.40701937389440879</v>
      </c>
      <c r="T421" s="54">
        <v>6320.5865016329117</v>
      </c>
      <c r="V421" s="69">
        <f t="shared" si="38"/>
        <v>782251.28272018803</v>
      </c>
      <c r="W421" s="69">
        <f t="shared" si="39"/>
        <v>857334.570997437</v>
      </c>
      <c r="X421" s="69">
        <f t="shared" si="36"/>
        <v>75083.288277248852</v>
      </c>
      <c r="Z421" s="68">
        <f t="shared" si="40"/>
        <v>0</v>
      </c>
      <c r="AA421" s="68">
        <f t="shared" si="41"/>
        <v>1</v>
      </c>
      <c r="AB421" s="68">
        <f t="shared" si="37"/>
        <v>1</v>
      </c>
    </row>
    <row r="422" spans="1:28" x14ac:dyDescent="0.25">
      <c r="A422">
        <v>417</v>
      </c>
      <c r="C422" s="24">
        <v>8.4051513857990034E-3</v>
      </c>
      <c r="D422" s="24">
        <v>2.5567595966121681E-3</v>
      </c>
      <c r="E422" s="24">
        <v>6.336179859900426E-6</v>
      </c>
      <c r="F422" s="24">
        <v>2.0826084335671363E-19</v>
      </c>
      <c r="G422" s="24">
        <v>0.5685647320452708</v>
      </c>
      <c r="H422" s="24">
        <v>0.16385829582822986</v>
      </c>
      <c r="I422" s="53">
        <v>1836.3347290740519</v>
      </c>
      <c r="J422" s="53">
        <v>5074.0904809983331</v>
      </c>
      <c r="K422" s="24">
        <v>0.46605614913121146</v>
      </c>
      <c r="L422" s="24">
        <v>0.93324621712776401</v>
      </c>
      <c r="M422" s="24">
        <v>0.69662187006873999</v>
      </c>
      <c r="O422" s="53">
        <v>4.0697414569589032</v>
      </c>
      <c r="P422" s="54">
        <v>18678.284777780565</v>
      </c>
      <c r="Q422" s="54">
        <v>4.5712109029480397</v>
      </c>
      <c r="R422" s="54">
        <v>28950.01575525209</v>
      </c>
      <c r="S422" s="54">
        <v>0.50146944598913645</v>
      </c>
      <c r="T422" s="54">
        <v>10271.730977471525</v>
      </c>
      <c r="V422" s="69">
        <f t="shared" si="38"/>
        <v>795270.00661400007</v>
      </c>
      <c r="W422" s="69">
        <f t="shared" si="39"/>
        <v>885292.16483435582</v>
      </c>
      <c r="X422" s="69">
        <f t="shared" si="36"/>
        <v>90022.158220355763</v>
      </c>
      <c r="Z422" s="68">
        <f t="shared" si="40"/>
        <v>0</v>
      </c>
      <c r="AA422" s="68">
        <f t="shared" si="41"/>
        <v>1</v>
      </c>
      <c r="AB422" s="68">
        <f t="shared" si="37"/>
        <v>1</v>
      </c>
    </row>
    <row r="423" spans="1:28" x14ac:dyDescent="0.25">
      <c r="A423">
        <v>418</v>
      </c>
      <c r="C423" s="24">
        <v>9.9236674733715891E-3</v>
      </c>
      <c r="D423" s="24">
        <v>4.6105433061963685E-3</v>
      </c>
      <c r="E423" s="24">
        <v>1.055659570869949E-8</v>
      </c>
      <c r="F423" s="24">
        <v>1.1910554875704804E-8</v>
      </c>
      <c r="G423" s="24">
        <v>0.57038126928082589</v>
      </c>
      <c r="H423" s="24">
        <v>0.23212431215428664</v>
      </c>
      <c r="I423" s="53">
        <v>1651.6748718961501</v>
      </c>
      <c r="J423" s="53">
        <v>3931.3883295275418</v>
      </c>
      <c r="K423" s="24">
        <v>0.56466697346300943</v>
      </c>
      <c r="L423" s="24">
        <v>0.86554312220621665</v>
      </c>
      <c r="M423" s="24">
        <v>0.88156352190134935</v>
      </c>
      <c r="O423" s="53">
        <v>3.9537628506197944</v>
      </c>
      <c r="P423" s="54">
        <v>15377.852066056275</v>
      </c>
      <c r="Q423" s="54">
        <v>4.2372756457672018</v>
      </c>
      <c r="R423" s="54">
        <v>22398.118411306856</v>
      </c>
      <c r="S423" s="54">
        <v>0.28351279514740746</v>
      </c>
      <c r="T423" s="54">
        <v>7020.2663452505803</v>
      </c>
      <c r="V423" s="69">
        <f t="shared" si="38"/>
        <v>775374.71805790265</v>
      </c>
      <c r="W423" s="69">
        <f t="shared" si="39"/>
        <v>825057.01074213348</v>
      </c>
      <c r="X423" s="69">
        <f t="shared" si="36"/>
        <v>49682.29268423091</v>
      </c>
      <c r="Z423" s="68">
        <f t="shared" si="40"/>
        <v>0</v>
      </c>
      <c r="AA423" s="68">
        <f t="shared" si="41"/>
        <v>1</v>
      </c>
      <c r="AB423" s="68">
        <f t="shared" si="37"/>
        <v>1</v>
      </c>
    </row>
    <row r="424" spans="1:28" x14ac:dyDescent="0.25">
      <c r="A424">
        <v>419</v>
      </c>
      <c r="C424" s="24">
        <v>3.5374539256626369E-2</v>
      </c>
      <c r="D424" s="24">
        <v>2.5952255701372932E-5</v>
      </c>
      <c r="E424" s="24">
        <v>6.6757710470710663E-13</v>
      </c>
      <c r="F424" s="24">
        <v>2.876867928563888E-16</v>
      </c>
      <c r="G424" s="24">
        <v>0.64170822950946049</v>
      </c>
      <c r="H424" s="24">
        <v>0.14463066102569133</v>
      </c>
      <c r="I424" s="53">
        <v>2118.4858160535578</v>
      </c>
      <c r="J424" s="53">
        <v>5635.8908731475676</v>
      </c>
      <c r="K424" s="24">
        <v>0.54538630260986809</v>
      </c>
      <c r="L424" s="24">
        <v>0.75888816847854446</v>
      </c>
      <c r="M424" s="24">
        <v>0.81205527035466352</v>
      </c>
      <c r="O424" s="53">
        <v>3.4715314819275584</v>
      </c>
      <c r="P424" s="54">
        <v>23660.915154396134</v>
      </c>
      <c r="Q424" s="54">
        <v>3.7583508229511482</v>
      </c>
      <c r="R424" s="54">
        <v>17667.577423724091</v>
      </c>
      <c r="S424" s="54">
        <v>0.28681934102358975</v>
      </c>
      <c r="T424" s="54">
        <v>-5993.3377306720431</v>
      </c>
      <c r="V424" s="69">
        <f t="shared" si="38"/>
        <v>670645.38123111555</v>
      </c>
      <c r="W424" s="69">
        <f t="shared" si="39"/>
        <v>734002.58716650552</v>
      </c>
      <c r="X424" s="69">
        <f t="shared" si="36"/>
        <v>63357.205935389989</v>
      </c>
      <c r="Z424" s="68">
        <f t="shared" si="40"/>
        <v>0</v>
      </c>
      <c r="AA424" s="68">
        <f t="shared" si="41"/>
        <v>1</v>
      </c>
      <c r="AB424" s="68">
        <f t="shared" si="37"/>
        <v>1</v>
      </c>
    </row>
    <row r="425" spans="1:28" x14ac:dyDescent="0.25">
      <c r="A425">
        <v>420</v>
      </c>
      <c r="C425" s="24">
        <v>1.2935371612253777E-3</v>
      </c>
      <c r="D425" s="24">
        <v>1.629605607385029E-5</v>
      </c>
      <c r="E425" s="24">
        <v>1.7633078846921678E-14</v>
      </c>
      <c r="F425" s="24">
        <v>5.5653907629565595E-16</v>
      </c>
      <c r="G425" s="24">
        <v>0.52481642271762974</v>
      </c>
      <c r="H425" s="24">
        <v>0.34549786802666982</v>
      </c>
      <c r="I425" s="53">
        <v>1408.0332242064931</v>
      </c>
      <c r="J425" s="53">
        <v>4955.5190807761501</v>
      </c>
      <c r="K425" s="24">
        <v>0.53808170569928937</v>
      </c>
      <c r="L425" s="24">
        <v>0.62929018739801146</v>
      </c>
      <c r="M425" s="24">
        <v>0.80607038337283632</v>
      </c>
      <c r="O425" s="53">
        <v>3.0516222368938499</v>
      </c>
      <c r="P425" s="54">
        <v>17331.519125931438</v>
      </c>
      <c r="Q425" s="54">
        <v>3.0985606255415989</v>
      </c>
      <c r="R425" s="54">
        <v>52897.167302653412</v>
      </c>
      <c r="S425" s="54">
        <v>4.6938388647749019E-2</v>
      </c>
      <c r="T425" s="54">
        <v>35565.648176721974</v>
      </c>
      <c r="V425" s="69">
        <f t="shared" si="38"/>
        <v>592992.92825283855</v>
      </c>
      <c r="W425" s="69">
        <f t="shared" si="39"/>
        <v>566814.95780566637</v>
      </c>
      <c r="X425" s="69">
        <f t="shared" si="36"/>
        <v>-26177.970447172171</v>
      </c>
      <c r="Z425" s="68">
        <f t="shared" si="40"/>
        <v>1</v>
      </c>
      <c r="AA425" s="68">
        <f t="shared" si="41"/>
        <v>0</v>
      </c>
      <c r="AB425" s="68">
        <f t="shared" si="37"/>
        <v>0</v>
      </c>
    </row>
    <row r="426" spans="1:28" x14ac:dyDescent="0.25">
      <c r="A426">
        <v>421</v>
      </c>
      <c r="C426" s="24">
        <v>2.918427628878506E-4</v>
      </c>
      <c r="D426" s="24">
        <v>8.0949573908905192E-4</v>
      </c>
      <c r="E426" s="24">
        <v>3.0006039245707747E-25</v>
      </c>
      <c r="F426" s="24">
        <v>3.420363992034936E-11</v>
      </c>
      <c r="G426" s="24">
        <v>0.59229922552906711</v>
      </c>
      <c r="H426" s="24">
        <v>0.39786224888056032</v>
      </c>
      <c r="I426" s="53">
        <v>1477.3540020794701</v>
      </c>
      <c r="J426" s="53">
        <v>6058.6860703008269</v>
      </c>
      <c r="K426" s="24">
        <v>0.78911106509968088</v>
      </c>
      <c r="L426" s="24">
        <v>0.98093072585815344</v>
      </c>
      <c r="M426" s="24">
        <v>0.94520156760399976</v>
      </c>
      <c r="O426" s="53">
        <v>4.6462027206324983</v>
      </c>
      <c r="P426" s="54">
        <v>16112.315332897808</v>
      </c>
      <c r="Q426" s="54">
        <v>4.7789636833683469</v>
      </c>
      <c r="R426" s="54">
        <v>60743.504502365438</v>
      </c>
      <c r="S426" s="54">
        <v>0.13276096273584859</v>
      </c>
      <c r="T426" s="54">
        <v>44631.189169467631</v>
      </c>
      <c r="V426" s="69">
        <f t="shared" si="38"/>
        <v>913128.22879360185</v>
      </c>
      <c r="W426" s="69">
        <f t="shared" si="39"/>
        <v>895049.23217130394</v>
      </c>
      <c r="X426" s="69">
        <f t="shared" si="36"/>
        <v>-18078.996622297913</v>
      </c>
      <c r="Z426" s="68">
        <f t="shared" si="40"/>
        <v>1</v>
      </c>
      <c r="AA426" s="68">
        <f t="shared" si="41"/>
        <v>0</v>
      </c>
      <c r="AB426" s="68">
        <f t="shared" si="37"/>
        <v>0</v>
      </c>
    </row>
    <row r="427" spans="1:28" x14ac:dyDescent="0.25">
      <c r="A427">
        <v>422</v>
      </c>
      <c r="C427" s="24">
        <v>2.5233929527146426E-4</v>
      </c>
      <c r="D427" s="24">
        <v>4.1969725282968028E-4</v>
      </c>
      <c r="E427" s="24">
        <v>2.7440272276635369E-12</v>
      </c>
      <c r="F427" s="24">
        <v>4.3776093860969922E-13</v>
      </c>
      <c r="G427" s="24">
        <v>0.44535241077908494</v>
      </c>
      <c r="H427" s="24">
        <v>0.20485467807486668</v>
      </c>
      <c r="I427" s="53">
        <v>1386.0917891631395</v>
      </c>
      <c r="J427" s="53">
        <v>5848.3142059147322</v>
      </c>
      <c r="K427" s="24">
        <v>0.57041041535779435</v>
      </c>
      <c r="L427" s="24">
        <v>0.83128516272997688</v>
      </c>
      <c r="M427" s="24">
        <v>0.91394562232654319</v>
      </c>
      <c r="O427" s="53">
        <v>3.9507854425079385</v>
      </c>
      <c r="P427" s="54">
        <v>9032.4044552240612</v>
      </c>
      <c r="Q427" s="54">
        <v>4.0894473586414612</v>
      </c>
      <c r="R427" s="54">
        <v>29640.749911208433</v>
      </c>
      <c r="S427" s="54">
        <v>0.13866191613352274</v>
      </c>
      <c r="T427" s="54">
        <v>20608.345455984374</v>
      </c>
      <c r="V427" s="69">
        <f t="shared" si="38"/>
        <v>781124.68404636369</v>
      </c>
      <c r="W427" s="69">
        <f t="shared" si="39"/>
        <v>788248.72181708389</v>
      </c>
      <c r="X427" s="69">
        <f t="shared" si="36"/>
        <v>7124.0377707201733</v>
      </c>
      <c r="Z427" s="68">
        <f t="shared" si="40"/>
        <v>0</v>
      </c>
      <c r="AA427" s="68">
        <f t="shared" si="41"/>
        <v>1</v>
      </c>
      <c r="AB427" s="68">
        <f t="shared" si="37"/>
        <v>1</v>
      </c>
    </row>
    <row r="428" spans="1:28" x14ac:dyDescent="0.25">
      <c r="A428">
        <v>423</v>
      </c>
      <c r="C428" s="24">
        <v>1.2781368004970287E-6</v>
      </c>
      <c r="D428" s="24">
        <v>1.9616345338604457E-3</v>
      </c>
      <c r="E428" s="24">
        <v>1.9900896735314255E-5</v>
      </c>
      <c r="F428" s="24">
        <v>2.4853449319128806E-5</v>
      </c>
      <c r="G428" s="24">
        <v>0.64881654061431493</v>
      </c>
      <c r="H428" s="24">
        <v>0.21835918859485792</v>
      </c>
      <c r="I428" s="53">
        <v>1595.9765047631611</v>
      </c>
      <c r="J428" s="53">
        <v>5348.3773622873705</v>
      </c>
      <c r="K428" s="24">
        <v>0.78759671258997566</v>
      </c>
      <c r="L428" s="24">
        <v>0.7282655372118485</v>
      </c>
      <c r="M428" s="24">
        <v>0.8808040516176614</v>
      </c>
      <c r="O428" s="53">
        <v>3.7382027075162947</v>
      </c>
      <c r="P428" s="54">
        <v>20873.863871149457</v>
      </c>
      <c r="Q428" s="54">
        <v>3.6595920909838098</v>
      </c>
      <c r="R428" s="54">
        <v>32450.435740962897</v>
      </c>
      <c r="S428" s="54">
        <v>-7.8610616532484912E-2</v>
      </c>
      <c r="T428" s="54">
        <v>11576.571869813441</v>
      </c>
      <c r="V428" s="69">
        <f t="shared" si="38"/>
        <v>726766.67763210949</v>
      </c>
      <c r="W428" s="69">
        <f t="shared" si="39"/>
        <v>699467.98245579912</v>
      </c>
      <c r="X428" s="69">
        <f t="shared" si="36"/>
        <v>-27298.695176310423</v>
      </c>
      <c r="Z428" s="68">
        <f t="shared" si="40"/>
        <v>1</v>
      </c>
      <c r="AA428" s="68">
        <f t="shared" si="41"/>
        <v>0</v>
      </c>
      <c r="AB428" s="68">
        <f t="shared" si="37"/>
        <v>0</v>
      </c>
    </row>
    <row r="429" spans="1:28" x14ac:dyDescent="0.25">
      <c r="A429">
        <v>424</v>
      </c>
      <c r="C429" s="24">
        <v>9.2229413444402878E-8</v>
      </c>
      <c r="D429" s="24">
        <v>9.8059725093918582E-3</v>
      </c>
      <c r="E429" s="24">
        <v>1.5567214184386557E-11</v>
      </c>
      <c r="F429" s="24">
        <v>5.0794507904771378E-35</v>
      </c>
      <c r="G429" s="24">
        <v>0.68565485480255162</v>
      </c>
      <c r="H429" s="24">
        <v>0.20093261271313978</v>
      </c>
      <c r="I429" s="53">
        <v>1583.887140401059</v>
      </c>
      <c r="J429" s="53">
        <v>6168.3755516799365</v>
      </c>
      <c r="K429" s="24">
        <v>0.71489422396868818</v>
      </c>
      <c r="L429" s="24">
        <v>0.96178351955331409</v>
      </c>
      <c r="M429" s="24">
        <v>0.91485756129843143</v>
      </c>
      <c r="O429" s="53">
        <v>4.3520057870129287</v>
      </c>
      <c r="P429" s="54">
        <v>17714.403392715478</v>
      </c>
      <c r="Q429" s="54">
        <v>4.7441208546558826</v>
      </c>
      <c r="R429" s="54">
        <v>32885.454280065234</v>
      </c>
      <c r="S429" s="54">
        <v>0.3921150676429539</v>
      </c>
      <c r="T429" s="54">
        <v>15171.050887349757</v>
      </c>
      <c r="V429" s="69">
        <f t="shared" si="38"/>
        <v>852686.75400987023</v>
      </c>
      <c r="W429" s="69">
        <f t="shared" si="39"/>
        <v>915938.71665111126</v>
      </c>
      <c r="X429" s="69">
        <f t="shared" si="36"/>
        <v>63251.962641241014</v>
      </c>
      <c r="Z429" s="68">
        <f t="shared" si="40"/>
        <v>0</v>
      </c>
      <c r="AA429" s="68">
        <f t="shared" si="41"/>
        <v>1</v>
      </c>
      <c r="AB429" s="68">
        <f t="shared" si="37"/>
        <v>1</v>
      </c>
    </row>
    <row r="430" spans="1:28" x14ac:dyDescent="0.25">
      <c r="A430">
        <v>425</v>
      </c>
      <c r="C430" s="24">
        <v>1.546371194108739E-5</v>
      </c>
      <c r="D430" s="24">
        <v>1.15284680248106E-3</v>
      </c>
      <c r="E430" s="24">
        <v>1.4410592916453764E-31</v>
      </c>
      <c r="F430" s="24">
        <v>2.7884162927121467E-26</v>
      </c>
      <c r="G430" s="24">
        <v>0.48699364127808464</v>
      </c>
      <c r="H430" s="24">
        <v>0.21660391594722772</v>
      </c>
      <c r="I430" s="53">
        <v>1688.7107890536229</v>
      </c>
      <c r="J430" s="53">
        <v>7043.2802128833646</v>
      </c>
      <c r="K430" s="24">
        <v>0.73357074280576451</v>
      </c>
      <c r="L430" s="24">
        <v>0.98002558157119479</v>
      </c>
      <c r="M430" s="24">
        <v>0.79234602844700708</v>
      </c>
      <c r="O430" s="53">
        <v>4.6725553191446139</v>
      </c>
      <c r="P430" s="54">
        <v>13819.805306182307</v>
      </c>
      <c r="Q430" s="54">
        <v>4.8307126207864188</v>
      </c>
      <c r="R430" s="54">
        <v>33522.200203675369</v>
      </c>
      <c r="S430" s="54">
        <v>0.15815730164180497</v>
      </c>
      <c r="T430" s="54">
        <v>19702.394897493061</v>
      </c>
      <c r="V430" s="69">
        <f t="shared" si="38"/>
        <v>920691.25852274045</v>
      </c>
      <c r="W430" s="69">
        <f t="shared" si="39"/>
        <v>932620.32395360828</v>
      </c>
      <c r="X430" s="69">
        <f t="shared" si="36"/>
        <v>11929.065430867933</v>
      </c>
      <c r="Z430" s="68">
        <f t="shared" si="40"/>
        <v>0</v>
      </c>
      <c r="AA430" s="68">
        <f t="shared" si="41"/>
        <v>1</v>
      </c>
      <c r="AB430" s="68">
        <f t="shared" si="37"/>
        <v>1</v>
      </c>
    </row>
    <row r="431" spans="1:28" x14ac:dyDescent="0.25">
      <c r="A431">
        <v>426</v>
      </c>
      <c r="C431" s="24">
        <v>1.0983163319320238E-7</v>
      </c>
      <c r="D431" s="24">
        <v>2.4011668391953345E-3</v>
      </c>
      <c r="E431" s="24">
        <v>2.7907356634671032E-4</v>
      </c>
      <c r="F431" s="24">
        <v>4.3606110612375537E-17</v>
      </c>
      <c r="G431" s="24">
        <v>0.51385106554045379</v>
      </c>
      <c r="H431" s="24">
        <v>0.31922903854759088</v>
      </c>
      <c r="I431" s="53">
        <v>1909.9152427984484</v>
      </c>
      <c r="J431" s="53">
        <v>5028.7013824097003</v>
      </c>
      <c r="K431" s="24">
        <v>0.8890713640267881</v>
      </c>
      <c r="L431" s="24">
        <v>0.78870633079479691</v>
      </c>
      <c r="M431" s="24">
        <v>0.9763663099126334</v>
      </c>
      <c r="O431" s="53">
        <v>4.0440131020664758</v>
      </c>
      <c r="P431" s="54">
        <v>14086.517389826249</v>
      </c>
      <c r="Q431" s="54">
        <v>3.9934392358449915</v>
      </c>
      <c r="R431" s="54">
        <v>47667.148692105722</v>
      </c>
      <c r="S431" s="54">
        <v>-5.0573866221484298E-2</v>
      </c>
      <c r="T431" s="54">
        <v>33580.631302279471</v>
      </c>
      <c r="V431" s="69">
        <f t="shared" si="38"/>
        <v>794716.10302346887</v>
      </c>
      <c r="W431" s="69">
        <f t="shared" si="39"/>
        <v>751020.69847689266</v>
      </c>
      <c r="X431" s="69">
        <f t="shared" si="36"/>
        <v>-43695.404546576334</v>
      </c>
      <c r="Z431" s="68">
        <f t="shared" si="40"/>
        <v>1</v>
      </c>
      <c r="AA431" s="68">
        <f t="shared" si="41"/>
        <v>0</v>
      </c>
      <c r="AB431" s="68">
        <f t="shared" si="37"/>
        <v>0</v>
      </c>
    </row>
    <row r="432" spans="1:28" x14ac:dyDescent="0.25">
      <c r="A432">
        <v>427</v>
      </c>
      <c r="C432" s="24">
        <v>1.9013716579497908E-3</v>
      </c>
      <c r="D432" s="24">
        <v>6.7810681383618165E-4</v>
      </c>
      <c r="E432" s="24">
        <v>7.5776015959075717E-23</v>
      </c>
      <c r="F432" s="24">
        <v>2.5133228831464294E-12</v>
      </c>
      <c r="G432" s="24">
        <v>0.58878838487157914</v>
      </c>
      <c r="H432" s="24">
        <v>0.33074786387584021</v>
      </c>
      <c r="I432" s="53">
        <v>1950.7931021192865</v>
      </c>
      <c r="J432" s="53">
        <v>5030.4527938562824</v>
      </c>
      <c r="K432" s="24">
        <v>0.73022666410145454</v>
      </c>
      <c r="L432" s="24">
        <v>0.50277213889642436</v>
      </c>
      <c r="M432" s="24">
        <v>0.92264426480510453</v>
      </c>
      <c r="O432" s="53">
        <v>2.8236172804401192</v>
      </c>
      <c r="P432" s="54">
        <v>16970.669615160066</v>
      </c>
      <c r="Q432" s="54">
        <v>2.6277426912937045</v>
      </c>
      <c r="R432" s="54">
        <v>51478.301482336552</v>
      </c>
      <c r="S432" s="54">
        <v>-0.19587458914641465</v>
      </c>
      <c r="T432" s="54">
        <v>34507.631867176489</v>
      </c>
      <c r="V432" s="69">
        <f t="shared" si="38"/>
        <v>547752.78647286375</v>
      </c>
      <c r="W432" s="69">
        <f t="shared" si="39"/>
        <v>474070.23677640437</v>
      </c>
      <c r="X432" s="69">
        <f t="shared" si="36"/>
        <v>-73682.54969645942</v>
      </c>
      <c r="Z432" s="68">
        <f t="shared" si="40"/>
        <v>1</v>
      </c>
      <c r="AA432" s="68">
        <f t="shared" si="41"/>
        <v>0</v>
      </c>
      <c r="AB432" s="68">
        <f t="shared" si="37"/>
        <v>0</v>
      </c>
    </row>
    <row r="433" spans="1:28" x14ac:dyDescent="0.25">
      <c r="A433">
        <v>428</v>
      </c>
      <c r="C433" s="24">
        <v>6.2252421323627516E-5</v>
      </c>
      <c r="D433" s="24">
        <v>5.2313968164019453E-3</v>
      </c>
      <c r="E433" s="24">
        <v>1.2444281563458559E-2</v>
      </c>
      <c r="F433" s="24">
        <v>3.9496601991760103E-16</v>
      </c>
      <c r="G433" s="24">
        <v>0.62572334973422994</v>
      </c>
      <c r="H433" s="24">
        <v>0.24358324432297151</v>
      </c>
      <c r="I433" s="53">
        <v>2024.1636444059372</v>
      </c>
      <c r="J433" s="53">
        <v>4771.7467627089854</v>
      </c>
      <c r="K433" s="24">
        <v>0.56974343114834358</v>
      </c>
      <c r="L433" s="24">
        <v>0.97549679865671801</v>
      </c>
      <c r="M433" s="24">
        <v>0.73287600873981407</v>
      </c>
      <c r="O433" s="53">
        <v>4.1509158733332061</v>
      </c>
      <c r="P433" s="54">
        <v>19442.689221406854</v>
      </c>
      <c r="Q433" s="54">
        <v>4.7390843313948059</v>
      </c>
      <c r="R433" s="54">
        <v>40424.028373656991</v>
      </c>
      <c r="S433" s="54">
        <v>0.58816845806159979</v>
      </c>
      <c r="T433" s="54">
        <v>20981.339152250137</v>
      </c>
      <c r="V433" s="69">
        <f t="shared" si="38"/>
        <v>810740.48544523434</v>
      </c>
      <c r="W433" s="69">
        <f t="shared" si="39"/>
        <v>907392.83790530416</v>
      </c>
      <c r="X433" s="69">
        <f t="shared" si="36"/>
        <v>96652.352460069829</v>
      </c>
      <c r="Z433" s="68">
        <f t="shared" si="40"/>
        <v>0</v>
      </c>
      <c r="AA433" s="68">
        <f t="shared" si="41"/>
        <v>1</v>
      </c>
      <c r="AB433" s="68">
        <f t="shared" si="37"/>
        <v>1</v>
      </c>
    </row>
    <row r="434" spans="1:28" x14ac:dyDescent="0.25">
      <c r="A434">
        <v>429</v>
      </c>
      <c r="C434" s="24">
        <v>5.1295815949690175E-5</v>
      </c>
      <c r="D434" s="24">
        <v>1.5955845787195999E-2</v>
      </c>
      <c r="E434" s="24">
        <v>9.0050912704304944E-25</v>
      </c>
      <c r="F434" s="24">
        <v>1.7455384915265881E-8</v>
      </c>
      <c r="G434" s="24">
        <v>0.62011907730406679</v>
      </c>
      <c r="H434" s="24">
        <v>0.2080195871551892</v>
      </c>
      <c r="I434" s="53">
        <v>2213.7271052266351</v>
      </c>
      <c r="J434" s="53">
        <v>4382.9268368662752</v>
      </c>
      <c r="K434" s="24">
        <v>0.60345018673765805</v>
      </c>
      <c r="L434" s="24">
        <v>0.82726937999089056</v>
      </c>
      <c r="M434" s="24">
        <v>0.93513704410317544</v>
      </c>
      <c r="O434" s="53">
        <v>3.8045391084610274</v>
      </c>
      <c r="P434" s="54">
        <v>15635.056086137072</v>
      </c>
      <c r="Q434" s="54">
        <v>4.0878772678706374</v>
      </c>
      <c r="R434" s="54">
        <v>26694.460933175771</v>
      </c>
      <c r="S434" s="54">
        <v>0.28333815940961005</v>
      </c>
      <c r="T434" s="54">
        <v>11059.404847038699</v>
      </c>
      <c r="V434" s="69">
        <f t="shared" si="38"/>
        <v>745272.76560606842</v>
      </c>
      <c r="W434" s="69">
        <f t="shared" si="39"/>
        <v>790880.99264095176</v>
      </c>
      <c r="X434" s="69">
        <f t="shared" si="36"/>
        <v>45608.227034883312</v>
      </c>
      <c r="Z434" s="68">
        <f t="shared" si="40"/>
        <v>0</v>
      </c>
      <c r="AA434" s="68">
        <f t="shared" si="41"/>
        <v>1</v>
      </c>
      <c r="AB434" s="68">
        <f t="shared" si="37"/>
        <v>1</v>
      </c>
    </row>
    <row r="435" spans="1:28" x14ac:dyDescent="0.25">
      <c r="A435">
        <v>430</v>
      </c>
      <c r="C435" s="24">
        <v>1.1988604755013842E-8</v>
      </c>
      <c r="D435" s="24">
        <v>9.8244809521330872E-5</v>
      </c>
      <c r="E435" s="24">
        <v>8.4821569383019071E-18</v>
      </c>
      <c r="F435" s="24">
        <v>4.8382662040612385E-20</v>
      </c>
      <c r="G435" s="24">
        <v>0.67581956074425698</v>
      </c>
      <c r="H435" s="24">
        <v>0.21553175746407771</v>
      </c>
      <c r="I435" s="53">
        <v>1566.5306691021015</v>
      </c>
      <c r="J435" s="53">
        <v>5314.6589701805124</v>
      </c>
      <c r="K435" s="24">
        <v>0.69918793778263777</v>
      </c>
      <c r="L435" s="24">
        <v>0.70047459619522601</v>
      </c>
      <c r="M435" s="24">
        <v>0.79212182417423971</v>
      </c>
      <c r="O435" s="53">
        <v>3.500068839982633</v>
      </c>
      <c r="P435" s="54">
        <v>18421.354328292065</v>
      </c>
      <c r="Q435" s="54">
        <v>3.5020738737818324</v>
      </c>
      <c r="R435" s="54">
        <v>34262.023094283904</v>
      </c>
      <c r="S435" s="54">
        <v>2.0050337991994738E-3</v>
      </c>
      <c r="T435" s="54">
        <v>15840.668765991839</v>
      </c>
      <c r="V435" s="69">
        <f t="shared" si="38"/>
        <v>681592.41366823448</v>
      </c>
      <c r="W435" s="69">
        <f t="shared" si="39"/>
        <v>666152.75166208262</v>
      </c>
      <c r="X435" s="69">
        <f t="shared" si="36"/>
        <v>-15439.662006151944</v>
      </c>
      <c r="Z435" s="68">
        <f t="shared" si="40"/>
        <v>1</v>
      </c>
      <c r="AA435" s="68">
        <f t="shared" si="41"/>
        <v>0</v>
      </c>
      <c r="AB435" s="68">
        <f t="shared" si="37"/>
        <v>0</v>
      </c>
    </row>
    <row r="436" spans="1:28" x14ac:dyDescent="0.25">
      <c r="A436">
        <v>431</v>
      </c>
      <c r="C436" s="24">
        <v>1.7579689824878634E-9</v>
      </c>
      <c r="D436" s="24">
        <v>2.6740081617073197E-2</v>
      </c>
      <c r="E436" s="24">
        <v>1.6524460706237049E-32</v>
      </c>
      <c r="F436" s="24">
        <v>2.6866053206217044E-3</v>
      </c>
      <c r="G436" s="24">
        <v>0.50634254965348979</v>
      </c>
      <c r="H436" s="24">
        <v>0.30464976089219997</v>
      </c>
      <c r="I436" s="53">
        <v>2006.1891893853101</v>
      </c>
      <c r="J436" s="53">
        <v>3748.7379910900763</v>
      </c>
      <c r="K436" s="24">
        <v>0.7370085558519579</v>
      </c>
      <c r="L436" s="24">
        <v>0.73456575329263607</v>
      </c>
      <c r="M436" s="24">
        <v>0.9437436642959145</v>
      </c>
      <c r="O436" s="53">
        <v>3.6752509497196879</v>
      </c>
      <c r="P436" s="54">
        <v>13875.031732495698</v>
      </c>
      <c r="Q436" s="54">
        <v>3.6976510101007829</v>
      </c>
      <c r="R436" s="54">
        <v>46315.989238345413</v>
      </c>
      <c r="S436" s="54">
        <v>2.2400060381094988E-2</v>
      </c>
      <c r="T436" s="54">
        <v>32440.957505849714</v>
      </c>
      <c r="V436" s="69">
        <f t="shared" si="38"/>
        <v>721175.15821144194</v>
      </c>
      <c r="W436" s="69">
        <f t="shared" si="39"/>
        <v>693214.21278181113</v>
      </c>
      <c r="X436" s="69">
        <f t="shared" si="36"/>
        <v>-27960.945429630716</v>
      </c>
      <c r="Z436" s="68">
        <f t="shared" si="40"/>
        <v>1</v>
      </c>
      <c r="AA436" s="68">
        <f t="shared" si="41"/>
        <v>0</v>
      </c>
      <c r="AB436" s="68">
        <f t="shared" si="37"/>
        <v>0</v>
      </c>
    </row>
    <row r="437" spans="1:28" x14ac:dyDescent="0.25">
      <c r="A437">
        <v>432</v>
      </c>
      <c r="C437" s="24">
        <v>1.1097043556178295E-9</v>
      </c>
      <c r="D437" s="24">
        <v>1.3106812959317525E-4</v>
      </c>
      <c r="E437" s="24">
        <v>2.2287800400531694E-34</v>
      </c>
      <c r="F437" s="24">
        <v>2.0211019529694507E-3</v>
      </c>
      <c r="G437" s="24">
        <v>0.64565139069623978</v>
      </c>
      <c r="H437" s="24">
        <v>0.39706371992016842</v>
      </c>
      <c r="I437" s="53">
        <v>2435.9617975079668</v>
      </c>
      <c r="J437" s="53">
        <v>4621.5057212951288</v>
      </c>
      <c r="K437" s="24">
        <v>0.79678359698976087</v>
      </c>
      <c r="L437" s="24">
        <v>0.88839788585442947</v>
      </c>
      <c r="M437" s="24">
        <v>0.90699050596115538</v>
      </c>
      <c r="O437" s="53">
        <v>4.2937901755196712</v>
      </c>
      <c r="P437" s="54">
        <v>18633.746194154304</v>
      </c>
      <c r="Q437" s="54">
        <v>4.3693216854003429</v>
      </c>
      <c r="R437" s="54">
        <v>50963.073360828981</v>
      </c>
      <c r="S437" s="54">
        <v>7.5531509880671699E-2</v>
      </c>
      <c r="T437" s="54">
        <v>32329.327166674677</v>
      </c>
      <c r="V437" s="69">
        <f t="shared" si="38"/>
        <v>840124.28890977998</v>
      </c>
      <c r="W437" s="69">
        <f t="shared" si="39"/>
        <v>822901.26371923951</v>
      </c>
      <c r="X437" s="69">
        <f t="shared" si="36"/>
        <v>-17223.025190540335</v>
      </c>
      <c r="Z437" s="68">
        <f t="shared" si="40"/>
        <v>1</v>
      </c>
      <c r="AA437" s="68">
        <f t="shared" si="41"/>
        <v>0</v>
      </c>
      <c r="AB437" s="68">
        <f t="shared" si="37"/>
        <v>0</v>
      </c>
    </row>
    <row r="438" spans="1:28" x14ac:dyDescent="0.25">
      <c r="A438">
        <v>433</v>
      </c>
      <c r="C438" s="24">
        <v>4.0057785940361033E-10</v>
      </c>
      <c r="D438" s="24">
        <v>2.074775327748668E-2</v>
      </c>
      <c r="E438" s="24">
        <v>6.8616984881345771E-22</v>
      </c>
      <c r="F438" s="24">
        <v>4.0755219285344541E-27</v>
      </c>
      <c r="G438" s="24">
        <v>0.57977831748329223</v>
      </c>
      <c r="H438" s="24">
        <v>0.19419101250238202</v>
      </c>
      <c r="I438" s="53">
        <v>2425.9274569236841</v>
      </c>
      <c r="J438" s="53">
        <v>4486.1269042694912</v>
      </c>
      <c r="K438" s="24">
        <v>0.50150589292926373</v>
      </c>
      <c r="L438" s="24">
        <v>0.80866028260487777</v>
      </c>
      <c r="M438" s="24">
        <v>0.89661407621129907</v>
      </c>
      <c r="O438" s="53">
        <v>3.6472835835999997</v>
      </c>
      <c r="P438" s="54">
        <v>18095.354478313457</v>
      </c>
      <c r="Q438" s="54">
        <v>3.9800785167506691</v>
      </c>
      <c r="R438" s="54">
        <v>23377.167151430262</v>
      </c>
      <c r="S438" s="54">
        <v>0.33279493315066944</v>
      </c>
      <c r="T438" s="54">
        <v>5281.8126731168049</v>
      </c>
      <c r="V438" s="69">
        <f t="shared" si="38"/>
        <v>711361.36224168644</v>
      </c>
      <c r="W438" s="69">
        <f t="shared" si="39"/>
        <v>772638.53619870357</v>
      </c>
      <c r="X438" s="69">
        <f t="shared" si="36"/>
        <v>61277.17395701709</v>
      </c>
      <c r="Z438" s="68">
        <f t="shared" si="40"/>
        <v>0</v>
      </c>
      <c r="AA438" s="68">
        <f t="shared" si="41"/>
        <v>1</v>
      </c>
      <c r="AB438" s="68">
        <f t="shared" si="37"/>
        <v>1</v>
      </c>
    </row>
    <row r="439" spans="1:28" x14ac:dyDescent="0.25">
      <c r="A439">
        <v>434</v>
      </c>
      <c r="C439" s="24">
        <v>1.9290824026796383E-4</v>
      </c>
      <c r="D439" s="24">
        <v>9.5759905730615769E-3</v>
      </c>
      <c r="E439" s="24">
        <v>9.6338458416006716E-19</v>
      </c>
      <c r="F439" s="24">
        <v>1.0272337743755244E-6</v>
      </c>
      <c r="G439" s="24">
        <v>0.57537890295354244</v>
      </c>
      <c r="H439" s="24">
        <v>0.22470612004718338</v>
      </c>
      <c r="I439" s="53">
        <v>2209.9560202332354</v>
      </c>
      <c r="J439" s="53">
        <v>6615.2168006755828</v>
      </c>
      <c r="K439" s="24">
        <v>0.55337984028487752</v>
      </c>
      <c r="L439" s="24">
        <v>0.62259416529041822</v>
      </c>
      <c r="M439" s="24">
        <v>0.66720131377838754</v>
      </c>
      <c r="O439" s="53">
        <v>3.02517269127646</v>
      </c>
      <c r="P439" s="54">
        <v>17283.481257657033</v>
      </c>
      <c r="Q439" s="54">
        <v>3.095513020327763</v>
      </c>
      <c r="R439" s="54">
        <v>28605.665617561153</v>
      </c>
      <c r="S439" s="54">
        <v>7.0340329051302941E-2</v>
      </c>
      <c r="T439" s="54">
        <v>11322.18435990412</v>
      </c>
      <c r="V439" s="69">
        <f t="shared" si="38"/>
        <v>587751.05699763494</v>
      </c>
      <c r="W439" s="69">
        <f t="shared" si="39"/>
        <v>590496.93844799139</v>
      </c>
      <c r="X439" s="69">
        <f t="shared" si="36"/>
        <v>2745.8814503564681</v>
      </c>
      <c r="Z439" s="68">
        <f t="shared" si="40"/>
        <v>0</v>
      </c>
      <c r="AA439" s="68">
        <f t="shared" si="41"/>
        <v>1</v>
      </c>
      <c r="AB439" s="68">
        <f t="shared" si="37"/>
        <v>1</v>
      </c>
    </row>
    <row r="440" spans="1:28" x14ac:dyDescent="0.25">
      <c r="A440">
        <v>435</v>
      </c>
      <c r="C440" s="24">
        <v>2.0789804526089029E-4</v>
      </c>
      <c r="D440" s="24">
        <v>4.1812898203615122E-4</v>
      </c>
      <c r="E440" s="24">
        <v>2.1881271265915255E-40</v>
      </c>
      <c r="F440" s="24">
        <v>8.4455606138617381E-25</v>
      </c>
      <c r="G440" s="24">
        <v>0.64309822477745726</v>
      </c>
      <c r="H440" s="24">
        <v>0.27633511758129969</v>
      </c>
      <c r="I440" s="53">
        <v>2021.9374859565453</v>
      </c>
      <c r="J440" s="53">
        <v>6047.7303855011005</v>
      </c>
      <c r="K440" s="24">
        <v>0.4833121825270083</v>
      </c>
      <c r="L440" s="24">
        <v>0.85790613110989511</v>
      </c>
      <c r="M440" s="24">
        <v>0.93933460527367485</v>
      </c>
      <c r="O440" s="53">
        <v>3.6889606405364894</v>
      </c>
      <c r="P440" s="54">
        <v>18062.308882951154</v>
      </c>
      <c r="Q440" s="54">
        <v>4.1469378410648003</v>
      </c>
      <c r="R440" s="54">
        <v>31105.083591512652</v>
      </c>
      <c r="S440" s="54">
        <v>0.45797720052831092</v>
      </c>
      <c r="T440" s="54">
        <v>13042.774708561497</v>
      </c>
      <c r="V440" s="69">
        <f t="shared" si="38"/>
        <v>719729.81922434678</v>
      </c>
      <c r="W440" s="69">
        <f t="shared" si="39"/>
        <v>798282.48462144739</v>
      </c>
      <c r="X440" s="69">
        <f t="shared" si="36"/>
        <v>78552.665397100689</v>
      </c>
      <c r="Z440" s="68">
        <f t="shared" si="40"/>
        <v>0</v>
      </c>
      <c r="AA440" s="68">
        <f t="shared" si="41"/>
        <v>1</v>
      </c>
      <c r="AB440" s="68">
        <f t="shared" si="37"/>
        <v>1</v>
      </c>
    </row>
    <row r="441" spans="1:28" x14ac:dyDescent="0.25">
      <c r="A441">
        <v>436</v>
      </c>
      <c r="C441" s="24">
        <v>1.9350520578404224E-11</v>
      </c>
      <c r="D441" s="24">
        <v>5.5340662727583288E-6</v>
      </c>
      <c r="E441" s="24">
        <v>3.9293365456332646E-21</v>
      </c>
      <c r="F441" s="24">
        <v>2.4610527660229309E-7</v>
      </c>
      <c r="G441" s="24">
        <v>0.54641996465576881</v>
      </c>
      <c r="H441" s="24">
        <v>0.45032982936149346</v>
      </c>
      <c r="I441" s="53">
        <v>2091.9609067931251</v>
      </c>
      <c r="J441" s="53">
        <v>5419.9570467809863</v>
      </c>
      <c r="K441" s="24">
        <v>0.54250904683962864</v>
      </c>
      <c r="L441" s="24">
        <v>0.95804102003918123</v>
      </c>
      <c r="M441" s="24">
        <v>0.93211942705865147</v>
      </c>
      <c r="O441" s="53">
        <v>4.3140052491925784</v>
      </c>
      <c r="P441" s="54">
        <v>15965.323192637834</v>
      </c>
      <c r="Q441" s="54">
        <v>4.4560731763606416</v>
      </c>
      <c r="R441" s="54">
        <v>72614.711303125092</v>
      </c>
      <c r="S441" s="54">
        <v>0.14206792716806316</v>
      </c>
      <c r="T441" s="54">
        <v>56649.388110487256</v>
      </c>
      <c r="V441" s="69">
        <f t="shared" si="38"/>
        <v>846835.72664587782</v>
      </c>
      <c r="W441" s="69">
        <f t="shared" si="39"/>
        <v>818599.92396900314</v>
      </c>
      <c r="X441" s="69">
        <f t="shared" si="36"/>
        <v>-28235.802676874624</v>
      </c>
      <c r="Z441" s="68">
        <f t="shared" si="40"/>
        <v>1</v>
      </c>
      <c r="AA441" s="68">
        <f t="shared" si="41"/>
        <v>0</v>
      </c>
      <c r="AB441" s="68">
        <f t="shared" si="37"/>
        <v>0</v>
      </c>
    </row>
    <row r="442" spans="1:28" x14ac:dyDescent="0.25">
      <c r="A442">
        <v>437</v>
      </c>
      <c r="C442" s="24">
        <v>2.3576118687800644E-6</v>
      </c>
      <c r="D442" s="24">
        <v>2.0098763974786271E-3</v>
      </c>
      <c r="E442" s="24">
        <v>3.735581732628723E-35</v>
      </c>
      <c r="F442" s="24">
        <v>8.4706668120695724E-18</v>
      </c>
      <c r="G442" s="24">
        <v>0.46787230689769677</v>
      </c>
      <c r="H442" s="24">
        <v>0.28865093108952289</v>
      </c>
      <c r="I442" s="53">
        <v>1913.9106389956637</v>
      </c>
      <c r="J442" s="53">
        <v>4670.7264311225381</v>
      </c>
      <c r="K442" s="24">
        <v>0.85572957399756144</v>
      </c>
      <c r="L442" s="24">
        <v>0.73793679008176316</v>
      </c>
      <c r="M442" s="24">
        <v>0.81892525758288515</v>
      </c>
      <c r="O442" s="53">
        <v>3.7909325023747753</v>
      </c>
      <c r="P442" s="54">
        <v>14630.286460835812</v>
      </c>
      <c r="Q442" s="54">
        <v>3.7384375516021282</v>
      </c>
      <c r="R442" s="54">
        <v>41679.176191912586</v>
      </c>
      <c r="S442" s="54">
        <v>-5.2494950772647098E-2</v>
      </c>
      <c r="T442" s="54">
        <v>27048.889731076772</v>
      </c>
      <c r="V442" s="69">
        <f t="shared" si="38"/>
        <v>743556.21401411924</v>
      </c>
      <c r="W442" s="69">
        <f t="shared" si="39"/>
        <v>706008.334128513</v>
      </c>
      <c r="X442" s="69">
        <f t="shared" si="36"/>
        <v>-37547.879885606191</v>
      </c>
      <c r="Z442" s="68">
        <f t="shared" si="40"/>
        <v>1</v>
      </c>
      <c r="AA442" s="68">
        <f t="shared" si="41"/>
        <v>0</v>
      </c>
      <c r="AB442" s="68">
        <f t="shared" si="37"/>
        <v>0</v>
      </c>
    </row>
    <row r="443" spans="1:28" x14ac:dyDescent="0.25">
      <c r="A443">
        <v>438</v>
      </c>
      <c r="C443" s="24">
        <v>5.6191781952519282E-4</v>
      </c>
      <c r="D443" s="24">
        <v>1.5989164162616616E-11</v>
      </c>
      <c r="E443" s="24">
        <v>2.0365906686304891E-3</v>
      </c>
      <c r="F443" s="24">
        <v>5.8798643434584664E-22</v>
      </c>
      <c r="G443" s="24">
        <v>0.65259162704708551</v>
      </c>
      <c r="H443" s="24">
        <v>0.24813163889578149</v>
      </c>
      <c r="I443" s="53">
        <v>1745.7646145417102</v>
      </c>
      <c r="J443" s="53">
        <v>4421.4635291194309</v>
      </c>
      <c r="K443" s="24">
        <v>0.54526692380577202</v>
      </c>
      <c r="L443" s="24">
        <v>0.96348394844720353</v>
      </c>
      <c r="M443" s="24">
        <v>0.87233304605127571</v>
      </c>
      <c r="O443" s="53">
        <v>4.1054217886539996</v>
      </c>
      <c r="P443" s="54">
        <v>20615.75444444489</v>
      </c>
      <c r="Q443" s="54">
        <v>4.6795295595255402</v>
      </c>
      <c r="R443" s="54">
        <v>31840.172484850733</v>
      </c>
      <c r="S443" s="54">
        <v>0.57410777087154052</v>
      </c>
      <c r="T443" s="54">
        <v>11224.418040405842</v>
      </c>
      <c r="V443" s="69">
        <f t="shared" si="38"/>
        <v>800468.60328635504</v>
      </c>
      <c r="W443" s="69">
        <f t="shared" si="39"/>
        <v>904065.73942025728</v>
      </c>
      <c r="X443" s="69">
        <f t="shared" si="36"/>
        <v>103597.13613390226</v>
      </c>
      <c r="Z443" s="68">
        <f t="shared" si="40"/>
        <v>0</v>
      </c>
      <c r="AA443" s="68">
        <f t="shared" si="41"/>
        <v>1</v>
      </c>
      <c r="AB443" s="68">
        <f t="shared" si="37"/>
        <v>1</v>
      </c>
    </row>
    <row r="444" spans="1:28" x14ac:dyDescent="0.25">
      <c r="A444">
        <v>439</v>
      </c>
      <c r="C444" s="24">
        <v>1.7402233339475651E-7</v>
      </c>
      <c r="D444" s="24">
        <v>1.1146558549541129E-3</v>
      </c>
      <c r="E444" s="24">
        <v>1.6001474524385722E-32</v>
      </c>
      <c r="F444" s="24">
        <v>2.0337947443423513E-15</v>
      </c>
      <c r="G444" s="24">
        <v>0.56789134795878482</v>
      </c>
      <c r="H444" s="24">
        <v>0.23696645226961233</v>
      </c>
      <c r="I444" s="53">
        <v>2249.4302151783281</v>
      </c>
      <c r="J444" s="53">
        <v>5123.5796601725751</v>
      </c>
      <c r="K444" s="24">
        <v>0.72884903583684735</v>
      </c>
      <c r="L444" s="24">
        <v>0.85819690383764535</v>
      </c>
      <c r="M444" s="24">
        <v>0.71973608624395891</v>
      </c>
      <c r="O444" s="53">
        <v>4.1310316607446893</v>
      </c>
      <c r="P444" s="54">
        <v>17616.203104843098</v>
      </c>
      <c r="Q444" s="54">
        <v>4.2498959073678133</v>
      </c>
      <c r="R444" s="54">
        <v>36028.875328943664</v>
      </c>
      <c r="S444" s="54">
        <v>0.118864246623124</v>
      </c>
      <c r="T444" s="54">
        <v>18412.672224100566</v>
      </c>
      <c r="V444" s="69">
        <f t="shared" si="38"/>
        <v>808590.12904409471</v>
      </c>
      <c r="W444" s="69">
        <f t="shared" si="39"/>
        <v>813950.30614461889</v>
      </c>
      <c r="X444" s="69">
        <f t="shared" si="36"/>
        <v>5360.1771005242335</v>
      </c>
      <c r="Z444" s="68">
        <f t="shared" si="40"/>
        <v>0</v>
      </c>
      <c r="AA444" s="68">
        <f t="shared" si="41"/>
        <v>1</v>
      </c>
      <c r="AB444" s="68">
        <f t="shared" si="37"/>
        <v>1</v>
      </c>
    </row>
    <row r="445" spans="1:28" x14ac:dyDescent="0.25">
      <c r="A445">
        <v>440</v>
      </c>
      <c r="C445" s="24">
        <v>9.6414310080309552E-6</v>
      </c>
      <c r="D445" s="24">
        <v>6.5436736665710482E-3</v>
      </c>
      <c r="E445" s="24">
        <v>8.4560361623964297E-7</v>
      </c>
      <c r="F445" s="24">
        <v>4.9281689840086074E-11</v>
      </c>
      <c r="G445" s="24">
        <v>0.72242021743048279</v>
      </c>
      <c r="H445" s="24">
        <v>0.18897358566585998</v>
      </c>
      <c r="I445" s="53">
        <v>2077.3842930180376</v>
      </c>
      <c r="J445" s="53">
        <v>4853.0908541130711</v>
      </c>
      <c r="K445" s="24">
        <v>0.57890541202338097</v>
      </c>
      <c r="L445" s="24">
        <v>0.88217776692814354</v>
      </c>
      <c r="M445" s="24">
        <v>0.91376834665421447</v>
      </c>
      <c r="O445" s="53">
        <v>3.7769019357813951</v>
      </c>
      <c r="P445" s="54">
        <v>23263.105536995303</v>
      </c>
      <c r="Q445" s="54">
        <v>4.3414567979127341</v>
      </c>
      <c r="R445" s="54">
        <v>27755.384251533007</v>
      </c>
      <c r="S445" s="54">
        <v>0.56455486213133899</v>
      </c>
      <c r="T445" s="54">
        <v>4492.2787145377042</v>
      </c>
      <c r="V445" s="69">
        <f t="shared" si="38"/>
        <v>732117.28161928372</v>
      </c>
      <c r="W445" s="69">
        <f t="shared" si="39"/>
        <v>840535.97533101391</v>
      </c>
      <c r="X445" s="69">
        <f t="shared" si="36"/>
        <v>108418.69371173008</v>
      </c>
      <c r="Z445" s="68">
        <f t="shared" si="40"/>
        <v>0</v>
      </c>
      <c r="AA445" s="68">
        <f t="shared" si="41"/>
        <v>1</v>
      </c>
      <c r="AB445" s="68">
        <f t="shared" si="37"/>
        <v>1</v>
      </c>
    </row>
    <row r="446" spans="1:28" x14ac:dyDescent="0.25">
      <c r="A446">
        <v>441</v>
      </c>
      <c r="C446" s="24">
        <v>3.4084550699853623E-12</v>
      </c>
      <c r="D446" s="24">
        <v>2.383269217810291E-3</v>
      </c>
      <c r="E446" s="24">
        <v>3.7935124123748491E-14</v>
      </c>
      <c r="F446" s="24">
        <v>6.8910753497546715E-29</v>
      </c>
      <c r="G446" s="24">
        <v>0.63748451481136659</v>
      </c>
      <c r="H446" s="24">
        <v>0.25568794538646822</v>
      </c>
      <c r="I446" s="53">
        <v>1603.4018807238488</v>
      </c>
      <c r="J446" s="53">
        <v>6378.7654205867975</v>
      </c>
      <c r="K446" s="24">
        <v>0.5376050212236847</v>
      </c>
      <c r="L446" s="24">
        <v>0.88251035536921951</v>
      </c>
      <c r="M446" s="24">
        <v>0.66883356817400696</v>
      </c>
      <c r="O446" s="53">
        <v>3.869889215576797</v>
      </c>
      <c r="P446" s="54">
        <v>23054.863392242853</v>
      </c>
      <c r="Q446" s="54">
        <v>4.2910123493163645</v>
      </c>
      <c r="R446" s="54">
        <v>33242.43387169559</v>
      </c>
      <c r="S446" s="54">
        <v>0.42112313373956756</v>
      </c>
      <c r="T446" s="54">
        <v>10187.570479452737</v>
      </c>
      <c r="V446" s="69">
        <f t="shared" si="38"/>
        <v>750922.97972311662</v>
      </c>
      <c r="W446" s="69">
        <f t="shared" si="39"/>
        <v>824960.03599157732</v>
      </c>
      <c r="X446" s="69">
        <f t="shared" si="36"/>
        <v>74037.056268460772</v>
      </c>
      <c r="Z446" s="68">
        <f t="shared" si="40"/>
        <v>0</v>
      </c>
      <c r="AA446" s="68">
        <f t="shared" si="41"/>
        <v>1</v>
      </c>
      <c r="AB446" s="68">
        <f t="shared" si="37"/>
        <v>1</v>
      </c>
    </row>
    <row r="447" spans="1:28" x14ac:dyDescent="0.25">
      <c r="A447">
        <v>442</v>
      </c>
      <c r="C447" s="24">
        <v>9.9938334604519859E-7</v>
      </c>
      <c r="D447" s="24">
        <v>6.6954703778699049E-4</v>
      </c>
      <c r="E447" s="24">
        <v>3.724009611527274E-20</v>
      </c>
      <c r="F447" s="24">
        <v>2.3144856701073913E-5</v>
      </c>
      <c r="G447" s="24">
        <v>0.52424184452633726</v>
      </c>
      <c r="H447" s="24">
        <v>0.15862273942877392</v>
      </c>
      <c r="I447" s="53">
        <v>1570.9442929819995</v>
      </c>
      <c r="J447" s="53">
        <v>5122.6395956481438</v>
      </c>
      <c r="K447" s="24">
        <v>0.52494531535664291</v>
      </c>
      <c r="L447" s="24">
        <v>0.78460791396568375</v>
      </c>
      <c r="M447" s="24">
        <v>0.8002885137089264</v>
      </c>
      <c r="O447" s="53">
        <v>3.6482449011912816</v>
      </c>
      <c r="P447" s="54">
        <v>13467.334904744843</v>
      </c>
      <c r="Q447" s="54">
        <v>3.8740471403637011</v>
      </c>
      <c r="R447" s="54">
        <v>19503.589364124371</v>
      </c>
      <c r="S447" s="54">
        <v>0.22580223917241948</v>
      </c>
      <c r="T447" s="54">
        <v>6036.2544593795283</v>
      </c>
      <c r="V447" s="69">
        <f t="shared" si="38"/>
        <v>716181.64533351141</v>
      </c>
      <c r="W447" s="69">
        <f t="shared" si="39"/>
        <v>755305.83870861586</v>
      </c>
      <c r="X447" s="69">
        <f t="shared" si="36"/>
        <v>39124.193375104369</v>
      </c>
      <c r="Z447" s="68">
        <f t="shared" si="40"/>
        <v>0</v>
      </c>
      <c r="AA447" s="68">
        <f t="shared" si="41"/>
        <v>1</v>
      </c>
      <c r="AB447" s="68">
        <f t="shared" si="37"/>
        <v>1</v>
      </c>
    </row>
    <row r="448" spans="1:28" x14ac:dyDescent="0.25">
      <c r="A448">
        <v>443</v>
      </c>
      <c r="C448" s="24">
        <v>3.2863089719689394E-6</v>
      </c>
      <c r="D448" s="24">
        <v>7.1425254604414734E-3</v>
      </c>
      <c r="E448" s="24">
        <v>6.304052904464132E-28</v>
      </c>
      <c r="F448" s="24">
        <v>4.5123207441659184E-32</v>
      </c>
      <c r="G448" s="24">
        <v>0.6324722982816694</v>
      </c>
      <c r="H448" s="24">
        <v>0.23416720880883857</v>
      </c>
      <c r="I448" s="53">
        <v>1873.7371257430559</v>
      </c>
      <c r="J448" s="53">
        <v>4697.4871377804002</v>
      </c>
      <c r="K448" s="24">
        <v>0.57781416903416438</v>
      </c>
      <c r="L448" s="24">
        <v>0.6640026810295252</v>
      </c>
      <c r="M448" s="24">
        <v>0.87247017153046247</v>
      </c>
      <c r="O448" s="53">
        <v>3.1867104240894828</v>
      </c>
      <c r="P448" s="54">
        <v>15062.509368849405</v>
      </c>
      <c r="Q448" s="54">
        <v>3.3028055308458018</v>
      </c>
      <c r="R448" s="54">
        <v>35004.861161074637</v>
      </c>
      <c r="S448" s="54">
        <v>0.11609510675631896</v>
      </c>
      <c r="T448" s="54">
        <v>19942.351792225232</v>
      </c>
      <c r="V448" s="69">
        <f t="shared" si="38"/>
        <v>622279.57544904714</v>
      </c>
      <c r="W448" s="69">
        <f t="shared" si="39"/>
        <v>625556.24500808574</v>
      </c>
      <c r="X448" s="69">
        <f t="shared" si="36"/>
        <v>3276.6695590385607</v>
      </c>
      <c r="Z448" s="68">
        <f t="shared" si="40"/>
        <v>0</v>
      </c>
      <c r="AA448" s="68">
        <f t="shared" si="41"/>
        <v>1</v>
      </c>
      <c r="AB448" s="68">
        <f t="shared" si="37"/>
        <v>1</v>
      </c>
    </row>
    <row r="449" spans="1:28" x14ac:dyDescent="0.25">
      <c r="A449">
        <v>444</v>
      </c>
      <c r="C449" s="24">
        <v>1.899448110062818E-3</v>
      </c>
      <c r="D449" s="24">
        <v>3.4987914604495129E-3</v>
      </c>
      <c r="E449" s="24">
        <v>1.1660605217954709E-31</v>
      </c>
      <c r="F449" s="24">
        <v>1.3501328505305388E-5</v>
      </c>
      <c r="G449" s="24">
        <v>0.57968564459046734</v>
      </c>
      <c r="H449" s="24">
        <v>0.29204012470691498</v>
      </c>
      <c r="I449" s="53">
        <v>1551.0050975105059</v>
      </c>
      <c r="J449" s="53">
        <v>5177.7679320475072</v>
      </c>
      <c r="K449" s="24">
        <v>0.54604467541114166</v>
      </c>
      <c r="L449" s="24">
        <v>0.8809068584581059</v>
      </c>
      <c r="M449" s="24">
        <v>0.60246334736051455</v>
      </c>
      <c r="O449" s="53">
        <v>3.9682627379017634</v>
      </c>
      <c r="P449" s="54">
        <v>16330.986916930007</v>
      </c>
      <c r="Q449" s="54">
        <v>4.2603028358855086</v>
      </c>
      <c r="R449" s="54">
        <v>53713.039319200303</v>
      </c>
      <c r="S449" s="54">
        <v>0.29204009798374519</v>
      </c>
      <c r="T449" s="54">
        <v>37382.052402270296</v>
      </c>
      <c r="V449" s="69">
        <f t="shared" si="38"/>
        <v>777321.56066342257</v>
      </c>
      <c r="W449" s="69">
        <f t="shared" si="39"/>
        <v>798347.52785790141</v>
      </c>
      <c r="X449" s="69">
        <f t="shared" si="36"/>
        <v>21025.967194478741</v>
      </c>
      <c r="Z449" s="68">
        <f t="shared" si="40"/>
        <v>0</v>
      </c>
      <c r="AA449" s="68">
        <f t="shared" si="41"/>
        <v>1</v>
      </c>
      <c r="AB449" s="68">
        <f t="shared" si="37"/>
        <v>1</v>
      </c>
    </row>
    <row r="450" spans="1:28" x14ac:dyDescent="0.25">
      <c r="A450">
        <v>445</v>
      </c>
      <c r="C450" s="24">
        <v>1.4610940290988622E-6</v>
      </c>
      <c r="D450" s="24">
        <v>1.4550041720339246E-3</v>
      </c>
      <c r="E450" s="24">
        <v>5.3694382273761221E-11</v>
      </c>
      <c r="F450" s="24">
        <v>1.3965515472874948E-27</v>
      </c>
      <c r="G450" s="24">
        <v>0.60446732644283818</v>
      </c>
      <c r="H450" s="24">
        <v>0.1920689590508492</v>
      </c>
      <c r="I450" s="53">
        <v>1695.9989172231401</v>
      </c>
      <c r="J450" s="53">
        <v>4451.7285429453004</v>
      </c>
      <c r="K450" s="24">
        <v>0.7547237822981292</v>
      </c>
      <c r="L450" s="24">
        <v>0.84581945454267005</v>
      </c>
      <c r="M450" s="24">
        <v>0.8245257486111176</v>
      </c>
      <c r="O450" s="53">
        <v>4.1011157551519064</v>
      </c>
      <c r="P450" s="54">
        <v>16346.193068948442</v>
      </c>
      <c r="Q450" s="54">
        <v>4.2072641888534159</v>
      </c>
      <c r="R450" s="54">
        <v>28285.436284780822</v>
      </c>
      <c r="S450" s="54">
        <v>0.1061484337015095</v>
      </c>
      <c r="T450" s="54">
        <v>11939.243215832381</v>
      </c>
      <c r="V450" s="69">
        <f t="shared" si="38"/>
        <v>803876.95796143287</v>
      </c>
      <c r="W450" s="69">
        <f t="shared" si="39"/>
        <v>813167.40148590237</v>
      </c>
      <c r="X450" s="69">
        <f t="shared" si="36"/>
        <v>9290.4435244695214</v>
      </c>
      <c r="Z450" s="68">
        <f t="shared" si="40"/>
        <v>0</v>
      </c>
      <c r="AA450" s="68">
        <f t="shared" si="41"/>
        <v>1</v>
      </c>
      <c r="AB450" s="68">
        <f t="shared" si="37"/>
        <v>1</v>
      </c>
    </row>
    <row r="451" spans="1:28" x14ac:dyDescent="0.25">
      <c r="A451">
        <v>446</v>
      </c>
      <c r="C451" s="24">
        <v>6.8193530434697385E-8</v>
      </c>
      <c r="D451" s="24">
        <v>2.1762873824451301E-3</v>
      </c>
      <c r="E451" s="24">
        <v>2.9679937574837254E-54</v>
      </c>
      <c r="F451" s="24">
        <v>4.1975202440456117E-35</v>
      </c>
      <c r="G451" s="24">
        <v>0.66206331719402778</v>
      </c>
      <c r="H451" s="24">
        <v>0.25693189493660262</v>
      </c>
      <c r="I451" s="53">
        <v>2027.5388137508698</v>
      </c>
      <c r="J451" s="53">
        <v>5379.5779546577915</v>
      </c>
      <c r="K451" s="24">
        <v>0.54200354836640496</v>
      </c>
      <c r="L451" s="24">
        <v>0.92760994563128918</v>
      </c>
      <c r="M451" s="24">
        <v>0.93372663649834464</v>
      </c>
      <c r="O451" s="53">
        <v>3.9786912096026361</v>
      </c>
      <c r="P451" s="54">
        <v>18140.079928371037</v>
      </c>
      <c r="Q451" s="54">
        <v>4.5049506352415047</v>
      </c>
      <c r="R451" s="54">
        <v>35606.173257315451</v>
      </c>
      <c r="S451" s="54">
        <v>0.52625942563886863</v>
      </c>
      <c r="T451" s="54">
        <v>17466.093328944415</v>
      </c>
      <c r="V451" s="69">
        <f t="shared" si="38"/>
        <v>777598.16199215618</v>
      </c>
      <c r="W451" s="69">
        <f t="shared" si="39"/>
        <v>865383.95379098551</v>
      </c>
      <c r="X451" s="69">
        <f t="shared" si="36"/>
        <v>87785.791798829305</v>
      </c>
      <c r="Z451" s="68">
        <f t="shared" si="40"/>
        <v>0</v>
      </c>
      <c r="AA451" s="68">
        <f t="shared" si="41"/>
        <v>1</v>
      </c>
      <c r="AB451" s="68">
        <f t="shared" si="37"/>
        <v>1</v>
      </c>
    </row>
    <row r="452" spans="1:28" x14ac:dyDescent="0.25">
      <c r="A452">
        <v>447</v>
      </c>
      <c r="C452" s="24">
        <v>5.8590947409800784E-6</v>
      </c>
      <c r="D452" s="24">
        <v>2.5837060486083585E-3</v>
      </c>
      <c r="E452" s="24">
        <v>1.4121313106890687E-3</v>
      </c>
      <c r="F452" s="24">
        <v>1.7208456881689926E-14</v>
      </c>
      <c r="G452" s="24">
        <v>0.55884017164455235</v>
      </c>
      <c r="H452" s="24">
        <v>0.29816185781543203</v>
      </c>
      <c r="I452" s="53">
        <v>1728.5618666173548</v>
      </c>
      <c r="J452" s="53">
        <v>5747.6674453441274</v>
      </c>
      <c r="K452" s="24">
        <v>0.63124029377792112</v>
      </c>
      <c r="L452" s="24">
        <v>0.95328147035864119</v>
      </c>
      <c r="M452" s="24">
        <v>0.95441548277939336</v>
      </c>
      <c r="O452" s="53">
        <v>4.3690939087358389</v>
      </c>
      <c r="P452" s="54">
        <v>16366.394081920158</v>
      </c>
      <c r="Q452" s="54">
        <v>4.6299361152445275</v>
      </c>
      <c r="R452" s="54">
        <v>54576.311631153709</v>
      </c>
      <c r="S452" s="54">
        <v>0.26084220650868861</v>
      </c>
      <c r="T452" s="54">
        <v>38209.917549233549</v>
      </c>
      <c r="V452" s="69">
        <f t="shared" si="38"/>
        <v>857452.38766524766</v>
      </c>
      <c r="W452" s="69">
        <f t="shared" si="39"/>
        <v>871410.91141775181</v>
      </c>
      <c r="X452" s="69">
        <f t="shared" si="36"/>
        <v>13958.523752504174</v>
      </c>
      <c r="Z452" s="68">
        <f t="shared" si="40"/>
        <v>0</v>
      </c>
      <c r="AA452" s="68">
        <f t="shared" si="41"/>
        <v>1</v>
      </c>
      <c r="AB452" s="68">
        <f t="shared" si="37"/>
        <v>1</v>
      </c>
    </row>
    <row r="453" spans="1:28" x14ac:dyDescent="0.25">
      <c r="A453">
        <v>448</v>
      </c>
      <c r="C453" s="24">
        <v>9.0268278305416505E-4</v>
      </c>
      <c r="D453" s="24">
        <v>8.2961783687714717E-4</v>
      </c>
      <c r="E453" s="24">
        <v>1.7775069527381504E-8</v>
      </c>
      <c r="F453" s="24">
        <v>2.2073066610945002E-32</v>
      </c>
      <c r="G453" s="24">
        <v>0.54739728990832293</v>
      </c>
      <c r="H453" s="24">
        <v>0.28066500947480955</v>
      </c>
      <c r="I453" s="53">
        <v>1909.3973804226944</v>
      </c>
      <c r="J453" s="53">
        <v>6537.7446015331743</v>
      </c>
      <c r="K453" s="24">
        <v>0.73303084627227211</v>
      </c>
      <c r="L453" s="24">
        <v>0.98223700647058454</v>
      </c>
      <c r="M453" s="24">
        <v>0.92319306778776444</v>
      </c>
      <c r="O453" s="53">
        <v>4.6241442989178889</v>
      </c>
      <c r="P453" s="54">
        <v>15781.778523754761</v>
      </c>
      <c r="Q453" s="54">
        <v>4.8138069271304547</v>
      </c>
      <c r="R453" s="54">
        <v>35191.941699788207</v>
      </c>
      <c r="S453" s="54">
        <v>0.18966262821256574</v>
      </c>
      <c r="T453" s="54">
        <v>19410.163176033446</v>
      </c>
      <c r="V453" s="69">
        <f t="shared" si="38"/>
        <v>909047.08125982294</v>
      </c>
      <c r="W453" s="69">
        <f t="shared" si="39"/>
        <v>927569.44372630271</v>
      </c>
      <c r="X453" s="69">
        <f t="shared" si="36"/>
        <v>18522.362466479706</v>
      </c>
      <c r="Z453" s="68">
        <f t="shared" si="40"/>
        <v>0</v>
      </c>
      <c r="AA453" s="68">
        <f t="shared" si="41"/>
        <v>1</v>
      </c>
      <c r="AB453" s="68">
        <f t="shared" si="37"/>
        <v>1</v>
      </c>
    </row>
    <row r="454" spans="1:28" x14ac:dyDescent="0.25">
      <c r="A454">
        <v>449</v>
      </c>
      <c r="C454" s="24">
        <v>2.3639327178204272E-4</v>
      </c>
      <c r="D454" s="24">
        <v>6.0749179170881194E-4</v>
      </c>
      <c r="E454" s="24">
        <v>1.1395127474944644E-7</v>
      </c>
      <c r="F454" s="24">
        <v>1.1898535789978126E-7</v>
      </c>
      <c r="G454" s="24">
        <v>0.43260058956545633</v>
      </c>
      <c r="H454" s="24">
        <v>0.27491131055160734</v>
      </c>
      <c r="I454" s="53">
        <v>1802.6296272566067</v>
      </c>
      <c r="J454" s="53">
        <v>4710.9749597896725</v>
      </c>
      <c r="K454" s="24">
        <v>0.73884777389535916</v>
      </c>
      <c r="L454" s="24">
        <v>0.87659073095161322</v>
      </c>
      <c r="M454" s="24">
        <v>0.67367610503101982</v>
      </c>
      <c r="O454" s="53">
        <v>4.2791658691429149</v>
      </c>
      <c r="P454" s="54">
        <v>15819.919775308779</v>
      </c>
      <c r="Q454" s="54">
        <v>4.3300252320106303</v>
      </c>
      <c r="R454" s="54">
        <v>38749.1074015165</v>
      </c>
      <c r="S454" s="54">
        <v>5.0859362867715419E-2</v>
      </c>
      <c r="T454" s="54">
        <v>22929.18762620772</v>
      </c>
      <c r="V454" s="69">
        <f t="shared" si="38"/>
        <v>840013.25405327417</v>
      </c>
      <c r="W454" s="69">
        <f t="shared" si="39"/>
        <v>827255.93900060956</v>
      </c>
      <c r="X454" s="69">
        <f t="shared" si="36"/>
        <v>-12757.315052664637</v>
      </c>
      <c r="Z454" s="68">
        <f t="shared" si="40"/>
        <v>1</v>
      </c>
      <c r="AA454" s="68">
        <f t="shared" si="41"/>
        <v>0</v>
      </c>
      <c r="AB454" s="68">
        <f t="shared" si="37"/>
        <v>0</v>
      </c>
    </row>
    <row r="455" spans="1:28" x14ac:dyDescent="0.25">
      <c r="A455">
        <v>450</v>
      </c>
      <c r="C455" s="24">
        <v>1.7002246036201818E-3</v>
      </c>
      <c r="D455" s="24">
        <v>8.8726402379668264E-4</v>
      </c>
      <c r="E455" s="24">
        <v>2.5758885610014834E-36</v>
      </c>
      <c r="F455" s="24">
        <v>7.6594515285854925E-8</v>
      </c>
      <c r="G455" s="24">
        <v>0.51369398603314997</v>
      </c>
      <c r="H455" s="24">
        <v>0.36476251228222811</v>
      </c>
      <c r="I455" s="53">
        <v>1968.1033988577192</v>
      </c>
      <c r="J455" s="53">
        <v>5265.7620935946088</v>
      </c>
      <c r="K455" s="24">
        <v>0.68796158371382421</v>
      </c>
      <c r="L455" s="24">
        <v>0.85526969246860751</v>
      </c>
      <c r="M455" s="24">
        <v>0.90167012927466761</v>
      </c>
      <c r="O455" s="53">
        <v>4.106585430126044</v>
      </c>
      <c r="P455" s="54">
        <v>14494.005343501032</v>
      </c>
      <c r="Q455" s="54">
        <v>4.1811847113107907</v>
      </c>
      <c r="R455" s="54">
        <v>57651.991437817363</v>
      </c>
      <c r="S455" s="54">
        <v>7.459928118474668E-2</v>
      </c>
      <c r="T455" s="54">
        <v>43157.986094316329</v>
      </c>
      <c r="V455" s="69">
        <f t="shared" si="38"/>
        <v>806823.08068170783</v>
      </c>
      <c r="W455" s="69">
        <f t="shared" si="39"/>
        <v>778584.95082434081</v>
      </c>
      <c r="X455" s="69">
        <f t="shared" ref="X455:X518" si="42">S455*cRatio-T455</f>
        <v>-28238.129857366992</v>
      </c>
      <c r="Z455" s="68">
        <f t="shared" si="40"/>
        <v>1</v>
      </c>
      <c r="AA455" s="68">
        <f t="shared" si="41"/>
        <v>0</v>
      </c>
      <c r="AB455" s="68">
        <f t="shared" ref="AB455:AB518" si="43">IF(X455&gt;0,1,0)</f>
        <v>0</v>
      </c>
    </row>
    <row r="456" spans="1:28" x14ac:dyDescent="0.25">
      <c r="A456">
        <v>451</v>
      </c>
      <c r="C456" s="24">
        <v>1.284403050439296E-6</v>
      </c>
      <c r="D456" s="24">
        <v>8.8037303563763825E-3</v>
      </c>
      <c r="E456" s="24">
        <v>2.0019943845309696E-3</v>
      </c>
      <c r="F456" s="24">
        <v>7.9203681050811115E-30</v>
      </c>
      <c r="G456" s="24">
        <v>0.62955360235750968</v>
      </c>
      <c r="H456" s="24">
        <v>0.29014332109254204</v>
      </c>
      <c r="I456" s="53">
        <v>1965.4947766718815</v>
      </c>
      <c r="J456" s="53">
        <v>4875.2538133229455</v>
      </c>
      <c r="K456" s="24">
        <v>0.7816840833305716</v>
      </c>
      <c r="L456" s="24">
        <v>0.83584038928395055</v>
      </c>
      <c r="M456" s="24">
        <v>0.86057506714614929</v>
      </c>
      <c r="O456" s="53">
        <v>4.0806000501053585</v>
      </c>
      <c r="P456" s="54">
        <v>17917.01886432743</v>
      </c>
      <c r="Q456" s="54">
        <v>4.1585205655887272</v>
      </c>
      <c r="R456" s="54">
        <v>36616.720243854725</v>
      </c>
      <c r="S456" s="54">
        <v>7.7920515483368646E-2</v>
      </c>
      <c r="T456" s="54">
        <v>18699.701379527294</v>
      </c>
      <c r="V456" s="69">
        <f t="shared" si="38"/>
        <v>798202.99115674431</v>
      </c>
      <c r="W456" s="69">
        <f t="shared" si="39"/>
        <v>795087.3928738907</v>
      </c>
      <c r="X456" s="69">
        <f t="shared" si="42"/>
        <v>-3115.5982828535653</v>
      </c>
      <c r="Z456" s="68">
        <f t="shared" si="40"/>
        <v>1</v>
      </c>
      <c r="AA456" s="68">
        <f t="shared" si="41"/>
        <v>0</v>
      </c>
      <c r="AB456" s="68">
        <f t="shared" si="43"/>
        <v>0</v>
      </c>
    </row>
    <row r="457" spans="1:28" x14ac:dyDescent="0.25">
      <c r="A457">
        <v>452</v>
      </c>
      <c r="C457" s="24">
        <v>7.0114349866980356E-6</v>
      </c>
      <c r="D457" s="24">
        <v>5.1948203047175179E-3</v>
      </c>
      <c r="E457" s="24">
        <v>4.9282595896003288E-27</v>
      </c>
      <c r="F457" s="24">
        <v>6.4754403228395319E-7</v>
      </c>
      <c r="G457" s="24">
        <v>0.56892341272215063</v>
      </c>
      <c r="H457" s="24">
        <v>0.25548177014252693</v>
      </c>
      <c r="I457" s="53">
        <v>1955.5697543757103</v>
      </c>
      <c r="J457" s="53">
        <v>4572.7780830607689</v>
      </c>
      <c r="K457" s="24">
        <v>0.78492011893612268</v>
      </c>
      <c r="L457" s="24">
        <v>0.79201505425299146</v>
      </c>
      <c r="M457" s="24">
        <v>0.72804158374108041</v>
      </c>
      <c r="O457" s="53">
        <v>3.9512657593461307</v>
      </c>
      <c r="P457" s="54">
        <v>12970.100892003378</v>
      </c>
      <c r="Q457" s="54">
        <v>3.9555612375894205</v>
      </c>
      <c r="R457" s="54">
        <v>40711.4552652645</v>
      </c>
      <c r="S457" s="54">
        <v>4.2954782432897964E-3</v>
      </c>
      <c r="T457" s="54">
        <v>27741.354373261122</v>
      </c>
      <c r="V457" s="69">
        <f t="shared" si="38"/>
        <v>777283.05097722274</v>
      </c>
      <c r="W457" s="69">
        <f t="shared" si="39"/>
        <v>750400.79225261963</v>
      </c>
      <c r="X457" s="69">
        <f t="shared" si="42"/>
        <v>-26882.258724603162</v>
      </c>
      <c r="Z457" s="68">
        <f t="shared" si="40"/>
        <v>1</v>
      </c>
      <c r="AA457" s="68">
        <f t="shared" si="41"/>
        <v>0</v>
      </c>
      <c r="AB457" s="68">
        <f t="shared" si="43"/>
        <v>0</v>
      </c>
    </row>
    <row r="458" spans="1:28" x14ac:dyDescent="0.25">
      <c r="A458">
        <v>453</v>
      </c>
      <c r="C458" s="24">
        <v>1.0583053287274988E-8</v>
      </c>
      <c r="D458" s="24">
        <v>3.96249352192494E-7</v>
      </c>
      <c r="E458" s="24">
        <v>6.9626016258039769E-6</v>
      </c>
      <c r="F458" s="24">
        <v>7.94481276322756E-8</v>
      </c>
      <c r="G458" s="24">
        <v>0.58433830616557203</v>
      </c>
      <c r="H458" s="24">
        <v>0.29626543518765025</v>
      </c>
      <c r="I458" s="53">
        <v>1905.511905827115</v>
      </c>
      <c r="J458" s="53">
        <v>4576.269101097314</v>
      </c>
      <c r="K458" s="24">
        <v>0.67018918141066075</v>
      </c>
      <c r="L458" s="24">
        <v>0.82092018262303856</v>
      </c>
      <c r="M458" s="24">
        <v>0.63542183675192054</v>
      </c>
      <c r="O458" s="53">
        <v>3.907088177349054</v>
      </c>
      <c r="P458" s="54">
        <v>14885.085312903331</v>
      </c>
      <c r="Q458" s="54">
        <v>4.0412885558358509</v>
      </c>
      <c r="R458" s="54">
        <v>32770.884261484141</v>
      </c>
      <c r="S458" s="54">
        <v>0.13420037848679689</v>
      </c>
      <c r="T458" s="54">
        <v>17885.79894858081</v>
      </c>
      <c r="V458" s="69">
        <f t="shared" ref="V458:V521" si="44">O458*cRatio-P458</f>
        <v>766532.55015690753</v>
      </c>
      <c r="W458" s="69">
        <f t="shared" ref="W458:W521" si="45">Q458*cRatio-R458</f>
        <v>775486.82690568606</v>
      </c>
      <c r="X458" s="69">
        <f t="shared" si="42"/>
        <v>8954.2767487785677</v>
      </c>
      <c r="Z458" s="68">
        <f t="shared" ref="Z458:Z521" si="46">IF(MAX(V458:W458)=V458,1,0)</f>
        <v>0</v>
      </c>
      <c r="AA458" s="68">
        <f t="shared" ref="AA458:AA521" si="47">IF(MAX(V458:W458)=W458,1,0)</f>
        <v>1</v>
      </c>
      <c r="AB458" s="68">
        <f t="shared" si="43"/>
        <v>1</v>
      </c>
    </row>
    <row r="459" spans="1:28" x14ac:dyDescent="0.25">
      <c r="A459">
        <v>454</v>
      </c>
      <c r="C459" s="24">
        <v>2.9613279247015178E-2</v>
      </c>
      <c r="D459" s="24">
        <v>6.941335218802025E-3</v>
      </c>
      <c r="E459" s="24">
        <v>3.4258067493908584E-9</v>
      </c>
      <c r="F459" s="24">
        <v>3.8085423703648758E-11</v>
      </c>
      <c r="G459" s="24">
        <v>0.56714348442583384</v>
      </c>
      <c r="H459" s="24">
        <v>0.3968375058197009</v>
      </c>
      <c r="I459" s="53">
        <v>1889.6487698312908</v>
      </c>
      <c r="J459" s="53">
        <v>4734.1558385593244</v>
      </c>
      <c r="K459" s="24">
        <v>0.56691831427755868</v>
      </c>
      <c r="L459" s="24">
        <v>0.84188899046155807</v>
      </c>
      <c r="M459" s="24">
        <v>0.94668869520520427</v>
      </c>
      <c r="O459" s="53">
        <v>3.897314479032262</v>
      </c>
      <c r="P459" s="54">
        <v>18115.613070685285</v>
      </c>
      <c r="Q459" s="54">
        <v>4.0355590900362541</v>
      </c>
      <c r="R459" s="54">
        <v>64010.385727248518</v>
      </c>
      <c r="S459" s="54">
        <v>0.1382446110039921</v>
      </c>
      <c r="T459" s="54">
        <v>45894.772656563233</v>
      </c>
      <c r="V459" s="69">
        <f t="shared" si="44"/>
        <v>761347.28273576708</v>
      </c>
      <c r="W459" s="69">
        <f t="shared" si="45"/>
        <v>743101.43228000228</v>
      </c>
      <c r="X459" s="69">
        <f t="shared" si="42"/>
        <v>-18245.850455764812</v>
      </c>
      <c r="Z459" s="68">
        <f t="shared" si="46"/>
        <v>1</v>
      </c>
      <c r="AA459" s="68">
        <f t="shared" si="47"/>
        <v>0</v>
      </c>
      <c r="AB459" s="68">
        <f t="shared" si="43"/>
        <v>0</v>
      </c>
    </row>
    <row r="460" spans="1:28" x14ac:dyDescent="0.25">
      <c r="A460">
        <v>455</v>
      </c>
      <c r="C460" s="24">
        <v>2.0116946363609722E-3</v>
      </c>
      <c r="D460" s="24">
        <v>6.9187621990243356E-6</v>
      </c>
      <c r="E460" s="24">
        <v>2.1523283363294676E-2</v>
      </c>
      <c r="F460" s="24">
        <v>1.4311948057788015E-6</v>
      </c>
      <c r="G460" s="24">
        <v>0.5499361874654678</v>
      </c>
      <c r="H460" s="24">
        <v>0.25815669902844529</v>
      </c>
      <c r="I460" s="53">
        <v>1829.3991428366382</v>
      </c>
      <c r="J460" s="53">
        <v>4582.3505339951244</v>
      </c>
      <c r="K460" s="24">
        <v>0.62584114736636065</v>
      </c>
      <c r="L460" s="24">
        <v>0.78589736825257539</v>
      </c>
      <c r="M460" s="24">
        <v>0.72572547731518289</v>
      </c>
      <c r="O460" s="53">
        <v>3.5984126634336304</v>
      </c>
      <c r="P460" s="54">
        <v>15185.995963361003</v>
      </c>
      <c r="Q460" s="54">
        <v>3.8738425053731058</v>
      </c>
      <c r="R460" s="54">
        <v>37704.440620739748</v>
      </c>
      <c r="S460" s="54">
        <v>0.27542984193947539</v>
      </c>
      <c r="T460" s="54">
        <v>22518.444657378743</v>
      </c>
      <c r="V460" s="69">
        <f t="shared" si="44"/>
        <v>704496.53672336508</v>
      </c>
      <c r="W460" s="69">
        <f t="shared" si="45"/>
        <v>737064.06045388151</v>
      </c>
      <c r="X460" s="69">
        <f t="shared" si="42"/>
        <v>32567.523730516339</v>
      </c>
      <c r="Z460" s="68">
        <f t="shared" si="46"/>
        <v>0</v>
      </c>
      <c r="AA460" s="68">
        <f t="shared" si="47"/>
        <v>1</v>
      </c>
      <c r="AB460" s="68">
        <f t="shared" si="43"/>
        <v>1</v>
      </c>
    </row>
    <row r="461" spans="1:28" x14ac:dyDescent="0.25">
      <c r="A461">
        <v>456</v>
      </c>
      <c r="C461" s="24">
        <v>1.7385264193799103E-7</v>
      </c>
      <c r="D461" s="24">
        <v>3.6739116423574382E-7</v>
      </c>
      <c r="E461" s="24">
        <v>8.1022033998268128E-4</v>
      </c>
      <c r="F461" s="24">
        <v>2.599002990252286E-3</v>
      </c>
      <c r="G461" s="24">
        <v>0.70572109542393346</v>
      </c>
      <c r="H461" s="24">
        <v>0.30263979066424873</v>
      </c>
      <c r="I461" s="53">
        <v>2239.1143858375085</v>
      </c>
      <c r="J461" s="53">
        <v>3582.9884894622774</v>
      </c>
      <c r="K461" s="24">
        <v>0.64020720175255641</v>
      </c>
      <c r="L461" s="24">
        <v>0.8950807735867482</v>
      </c>
      <c r="M461" s="24">
        <v>0.78517311066731998</v>
      </c>
      <c r="O461" s="53">
        <v>3.9637306580901122</v>
      </c>
      <c r="P461" s="54">
        <v>22117.367770437191</v>
      </c>
      <c r="Q461" s="54">
        <v>4.3498391817153106</v>
      </c>
      <c r="R461" s="54">
        <v>41832.820978714175</v>
      </c>
      <c r="S461" s="54">
        <v>0.38610852362519843</v>
      </c>
      <c r="T461" s="54">
        <v>19715.453208276984</v>
      </c>
      <c r="V461" s="69">
        <f t="shared" si="44"/>
        <v>770628.7638475853</v>
      </c>
      <c r="W461" s="69">
        <f t="shared" si="45"/>
        <v>828135.01536434796</v>
      </c>
      <c r="X461" s="69">
        <f t="shared" si="42"/>
        <v>57506.251516762699</v>
      </c>
      <c r="Z461" s="68">
        <f t="shared" si="46"/>
        <v>0</v>
      </c>
      <c r="AA461" s="68">
        <f t="shared" si="47"/>
        <v>1</v>
      </c>
      <c r="AB461" s="68">
        <f t="shared" si="43"/>
        <v>1</v>
      </c>
    </row>
    <row r="462" spans="1:28" x14ac:dyDescent="0.25">
      <c r="A462">
        <v>457</v>
      </c>
      <c r="C462" s="24">
        <v>6.6807620760722664E-5</v>
      </c>
      <c r="D462" s="24">
        <v>5.5368787123557528E-3</v>
      </c>
      <c r="E462" s="24">
        <v>2.1268693622904853E-68</v>
      </c>
      <c r="F462" s="24">
        <v>1.1154721294130388E-27</v>
      </c>
      <c r="G462" s="24">
        <v>0.59181134476858654</v>
      </c>
      <c r="H462" s="24">
        <v>0.33218262593728609</v>
      </c>
      <c r="I462" s="53">
        <v>2102.2854269220711</v>
      </c>
      <c r="J462" s="53">
        <v>4075.4517018500405</v>
      </c>
      <c r="K462" s="24">
        <v>0.74365984508652661</v>
      </c>
      <c r="L462" s="24">
        <v>0.77921400221915216</v>
      </c>
      <c r="M462" s="24">
        <v>0.82837181113363534</v>
      </c>
      <c r="O462" s="53">
        <v>3.8482935301399905</v>
      </c>
      <c r="P462" s="54">
        <v>15496.385763871662</v>
      </c>
      <c r="Q462" s="54">
        <v>3.8802922861377858</v>
      </c>
      <c r="R462" s="54">
        <v>47490.962386954307</v>
      </c>
      <c r="S462" s="54">
        <v>3.1998755997795225E-2</v>
      </c>
      <c r="T462" s="54">
        <v>31994.576623082645</v>
      </c>
      <c r="V462" s="69">
        <f t="shared" si="44"/>
        <v>754162.32026412641</v>
      </c>
      <c r="W462" s="69">
        <f t="shared" si="45"/>
        <v>728567.49484060286</v>
      </c>
      <c r="X462" s="69">
        <f t="shared" si="42"/>
        <v>-25594.825423523602</v>
      </c>
      <c r="Z462" s="68">
        <f t="shared" si="46"/>
        <v>1</v>
      </c>
      <c r="AA462" s="68">
        <f t="shared" si="47"/>
        <v>0</v>
      </c>
      <c r="AB462" s="68">
        <f t="shared" si="43"/>
        <v>0</v>
      </c>
    </row>
    <row r="463" spans="1:28" x14ac:dyDescent="0.25">
      <c r="A463">
        <v>458</v>
      </c>
      <c r="C463" s="24">
        <v>3.0616967550807228E-3</v>
      </c>
      <c r="D463" s="24">
        <v>6.2890459368675558E-4</v>
      </c>
      <c r="E463" s="24">
        <v>3.7121943346355956E-20</v>
      </c>
      <c r="F463" s="24">
        <v>1.915897803531332E-82</v>
      </c>
      <c r="G463" s="24">
        <v>0.51395016612020794</v>
      </c>
      <c r="H463" s="24">
        <v>0.2197477519974671</v>
      </c>
      <c r="I463" s="53">
        <v>2184.4769009624142</v>
      </c>
      <c r="J463" s="53">
        <v>4686.1388059231458</v>
      </c>
      <c r="K463" s="24">
        <v>0.55054130744701535</v>
      </c>
      <c r="L463" s="24">
        <v>0.9350328342648917</v>
      </c>
      <c r="M463" s="24">
        <v>0.91985873500685422</v>
      </c>
      <c r="O463" s="53">
        <v>4.2828006546629123</v>
      </c>
      <c r="P463" s="54">
        <v>13648.273612101797</v>
      </c>
      <c r="Q463" s="54">
        <v>4.5668749823712416</v>
      </c>
      <c r="R463" s="54">
        <v>38279.694640470909</v>
      </c>
      <c r="S463" s="54">
        <v>0.2840743277083293</v>
      </c>
      <c r="T463" s="54">
        <v>24631.421028369114</v>
      </c>
      <c r="V463" s="69">
        <f t="shared" si="44"/>
        <v>842911.85732048063</v>
      </c>
      <c r="W463" s="69">
        <f t="shared" si="45"/>
        <v>875095.30183377746</v>
      </c>
      <c r="X463" s="69">
        <f t="shared" si="42"/>
        <v>32183.444513296745</v>
      </c>
      <c r="Z463" s="68">
        <f t="shared" si="46"/>
        <v>0</v>
      </c>
      <c r="AA463" s="68">
        <f t="shared" si="47"/>
        <v>1</v>
      </c>
      <c r="AB463" s="68">
        <f t="shared" si="43"/>
        <v>1</v>
      </c>
    </row>
    <row r="464" spans="1:28" x14ac:dyDescent="0.25">
      <c r="A464">
        <v>459</v>
      </c>
      <c r="C464" s="24">
        <v>3.8830395346363122E-3</v>
      </c>
      <c r="D464" s="24">
        <v>1.1961797064219182E-2</v>
      </c>
      <c r="E464" s="24">
        <v>9.0001281475515782E-5</v>
      </c>
      <c r="F464" s="24">
        <v>3.6791648707912294E-4</v>
      </c>
      <c r="G464" s="24">
        <v>0.57443966696863025</v>
      </c>
      <c r="H464" s="24">
        <v>0.23522795629227133</v>
      </c>
      <c r="I464" s="53">
        <v>2216.8975163775222</v>
      </c>
      <c r="J464" s="53">
        <v>5202.8435038272792</v>
      </c>
      <c r="K464" s="24">
        <v>0.47276759683086328</v>
      </c>
      <c r="L464" s="24">
        <v>0.80847720109172161</v>
      </c>
      <c r="M464" s="24">
        <v>0.8302682784905695</v>
      </c>
      <c r="O464" s="53">
        <v>3.6176792517374206</v>
      </c>
      <c r="P464" s="54">
        <v>17501.573714393246</v>
      </c>
      <c r="Q464" s="54">
        <v>3.9389773323100434</v>
      </c>
      <c r="R464" s="54">
        <v>36486.704851472947</v>
      </c>
      <c r="S464" s="54">
        <v>0.32129808057262288</v>
      </c>
      <c r="T464" s="54">
        <v>18985.131137079701</v>
      </c>
      <c r="V464" s="69">
        <f t="shared" si="44"/>
        <v>706034.27663309092</v>
      </c>
      <c r="W464" s="69">
        <f t="shared" si="45"/>
        <v>751308.76161053567</v>
      </c>
      <c r="X464" s="69">
        <f t="shared" si="42"/>
        <v>45274.484977444881</v>
      </c>
      <c r="Z464" s="68">
        <f t="shared" si="46"/>
        <v>0</v>
      </c>
      <c r="AA464" s="68">
        <f t="shared" si="47"/>
        <v>1</v>
      </c>
      <c r="AB464" s="68">
        <f t="shared" si="43"/>
        <v>1</v>
      </c>
    </row>
    <row r="465" spans="1:28" x14ac:dyDescent="0.25">
      <c r="A465">
        <v>460</v>
      </c>
      <c r="C465" s="24">
        <v>4.054665620514291E-7</v>
      </c>
      <c r="D465" s="24">
        <v>3.1134693057486285E-3</v>
      </c>
      <c r="E465" s="24">
        <v>3.5516999341567157E-9</v>
      </c>
      <c r="F465" s="24">
        <v>1.3543026523632042E-19</v>
      </c>
      <c r="G465" s="24">
        <v>0.54043567791323421</v>
      </c>
      <c r="H465" s="24">
        <v>0.45504787911969846</v>
      </c>
      <c r="I465" s="53">
        <v>1921.7884912944303</v>
      </c>
      <c r="J465" s="53">
        <v>4307.4889100348</v>
      </c>
      <c r="K465" s="24">
        <v>0.66759024392827304</v>
      </c>
      <c r="L465" s="24">
        <v>0.8873948187935119</v>
      </c>
      <c r="M465" s="24">
        <v>0.95441758234991858</v>
      </c>
      <c r="O465" s="53">
        <v>4.1904064978459488</v>
      </c>
      <c r="P465" s="54">
        <v>13227.670291370223</v>
      </c>
      <c r="Q465" s="54">
        <v>4.258614318111908</v>
      </c>
      <c r="R465" s="54">
        <v>68348.243827044818</v>
      </c>
      <c r="S465" s="54">
        <v>6.8207820265959285E-2</v>
      </c>
      <c r="T465" s="54">
        <v>55120.573535674594</v>
      </c>
      <c r="V465" s="69">
        <f t="shared" si="44"/>
        <v>824853.62927781953</v>
      </c>
      <c r="W465" s="69">
        <f t="shared" si="45"/>
        <v>783374.61979533674</v>
      </c>
      <c r="X465" s="69">
        <f t="shared" si="42"/>
        <v>-41479.009482482739</v>
      </c>
      <c r="Z465" s="68">
        <f t="shared" si="46"/>
        <v>1</v>
      </c>
      <c r="AA465" s="68">
        <f t="shared" si="47"/>
        <v>0</v>
      </c>
      <c r="AB465" s="68">
        <f t="shared" si="43"/>
        <v>0</v>
      </c>
    </row>
    <row r="466" spans="1:28" x14ac:dyDescent="0.25">
      <c r="A466">
        <v>461</v>
      </c>
      <c r="C466" s="24">
        <v>1.1556841262874595E-2</v>
      </c>
      <c r="D466" s="24">
        <v>3.9546174450010296E-3</v>
      </c>
      <c r="E466" s="24">
        <v>2.2387382384203448E-36</v>
      </c>
      <c r="F466" s="24">
        <v>8.9298125312432692E-23</v>
      </c>
      <c r="G466" s="24">
        <v>0.55395828070286968</v>
      </c>
      <c r="H466" s="24">
        <v>0.29424304047982219</v>
      </c>
      <c r="I466" s="53">
        <v>1873.5391838558801</v>
      </c>
      <c r="J466" s="53">
        <v>4363.4189867715395</v>
      </c>
      <c r="K466" s="24">
        <v>0.62754446513972251</v>
      </c>
      <c r="L466" s="24">
        <v>0.718436021622611</v>
      </c>
      <c r="M466" s="24">
        <v>0.82541518789104595</v>
      </c>
      <c r="O466" s="53">
        <v>3.4957827592917057</v>
      </c>
      <c r="P466" s="54">
        <v>18547.69113362694</v>
      </c>
      <c r="Q466" s="54">
        <v>3.5571171806217872</v>
      </c>
      <c r="R466" s="54">
        <v>52082.346141910268</v>
      </c>
      <c r="S466" s="54">
        <v>6.133442133008149E-2</v>
      </c>
      <c r="T466" s="54">
        <v>33534.655008283327</v>
      </c>
      <c r="V466" s="69">
        <f t="shared" si="44"/>
        <v>680608.86072471412</v>
      </c>
      <c r="W466" s="69">
        <f t="shared" si="45"/>
        <v>659341.0899824471</v>
      </c>
      <c r="X466" s="69">
        <f t="shared" si="42"/>
        <v>-21267.770742267028</v>
      </c>
      <c r="Z466" s="68">
        <f t="shared" si="46"/>
        <v>1</v>
      </c>
      <c r="AA466" s="68">
        <f t="shared" si="47"/>
        <v>0</v>
      </c>
      <c r="AB466" s="68">
        <f t="shared" si="43"/>
        <v>0</v>
      </c>
    </row>
    <row r="467" spans="1:28" x14ac:dyDescent="0.25">
      <c r="A467">
        <v>462</v>
      </c>
      <c r="C467" s="24">
        <v>7.607777685988872E-8</v>
      </c>
      <c r="D467" s="24">
        <v>3.3144495952516229E-3</v>
      </c>
      <c r="E467" s="24">
        <v>1.1825138932497481E-6</v>
      </c>
      <c r="F467" s="24">
        <v>2.9613672625217191E-9</v>
      </c>
      <c r="G467" s="24">
        <v>0.62013635046957849</v>
      </c>
      <c r="H467" s="24">
        <v>0.23005369158860955</v>
      </c>
      <c r="I467" s="53">
        <v>2194.4644884762556</v>
      </c>
      <c r="J467" s="53">
        <v>6306.2755624849997</v>
      </c>
      <c r="K467" s="24">
        <v>0.53653095750456392</v>
      </c>
      <c r="L467" s="24">
        <v>0.73405190224242656</v>
      </c>
      <c r="M467" s="24">
        <v>0.64411698006164297</v>
      </c>
      <c r="O467" s="53">
        <v>3.377367715199342</v>
      </c>
      <c r="P467" s="54">
        <v>20026.610298322285</v>
      </c>
      <c r="Q467" s="54">
        <v>3.6094597295057675</v>
      </c>
      <c r="R467" s="54">
        <v>30935.407054199975</v>
      </c>
      <c r="S467" s="54">
        <v>0.23209201430642556</v>
      </c>
      <c r="T467" s="54">
        <v>10908.796755877691</v>
      </c>
      <c r="V467" s="69">
        <f t="shared" si="44"/>
        <v>655446.93274154607</v>
      </c>
      <c r="W467" s="69">
        <f t="shared" si="45"/>
        <v>690956.53884695354</v>
      </c>
      <c r="X467" s="69">
        <f t="shared" si="42"/>
        <v>35509.606105407423</v>
      </c>
      <c r="Z467" s="68">
        <f t="shared" si="46"/>
        <v>0</v>
      </c>
      <c r="AA467" s="68">
        <f t="shared" si="47"/>
        <v>1</v>
      </c>
      <c r="AB467" s="68">
        <f t="shared" si="43"/>
        <v>1</v>
      </c>
    </row>
    <row r="468" spans="1:28" x14ac:dyDescent="0.25">
      <c r="A468">
        <v>463</v>
      </c>
      <c r="C468" s="24">
        <v>5.0015732460103823E-2</v>
      </c>
      <c r="D468" s="24">
        <v>3.0893591659696407E-3</v>
      </c>
      <c r="E468" s="24">
        <v>3.1741917349718386E-22</v>
      </c>
      <c r="F468" s="24">
        <v>3.4248554715799352E-24</v>
      </c>
      <c r="G468" s="24">
        <v>0.53961115799386716</v>
      </c>
      <c r="H468" s="24">
        <v>0.17883995401297725</v>
      </c>
      <c r="I468" s="53">
        <v>1823.3392333074883</v>
      </c>
      <c r="J468" s="53">
        <v>4749.4073452714383</v>
      </c>
      <c r="K468" s="24">
        <v>0.70937847048269043</v>
      </c>
      <c r="L468" s="24">
        <v>0.90591868629052452</v>
      </c>
      <c r="M468" s="24">
        <v>0.9290964455404972</v>
      </c>
      <c r="O468" s="53">
        <v>4.3195461620697708</v>
      </c>
      <c r="P468" s="54">
        <v>20909.926581334676</v>
      </c>
      <c r="Q468" s="54">
        <v>4.4872138945616546</v>
      </c>
      <c r="R468" s="54">
        <v>21983.555890591619</v>
      </c>
      <c r="S468" s="54">
        <v>0.16766773249188383</v>
      </c>
      <c r="T468" s="54">
        <v>1073.6293092569431</v>
      </c>
      <c r="V468" s="69">
        <f t="shared" si="44"/>
        <v>842999.30583261955</v>
      </c>
      <c r="W468" s="69">
        <f t="shared" si="45"/>
        <v>875459.2230217394</v>
      </c>
      <c r="X468" s="69">
        <f t="shared" si="42"/>
        <v>32459.917189119824</v>
      </c>
      <c r="Z468" s="68">
        <f t="shared" si="46"/>
        <v>0</v>
      </c>
      <c r="AA468" s="68">
        <f t="shared" si="47"/>
        <v>1</v>
      </c>
      <c r="AB468" s="68">
        <f t="shared" si="43"/>
        <v>1</v>
      </c>
    </row>
    <row r="469" spans="1:28" x14ac:dyDescent="0.25">
      <c r="A469">
        <v>464</v>
      </c>
      <c r="C469" s="24">
        <v>2.3228881647524997E-5</v>
      </c>
      <c r="D469" s="24">
        <v>1.825732081433262E-4</v>
      </c>
      <c r="E469" s="24">
        <v>4.3574665002362734E-3</v>
      </c>
      <c r="F469" s="24">
        <v>1.4513833471664527E-29</v>
      </c>
      <c r="G469" s="24">
        <v>0.47964921929453219</v>
      </c>
      <c r="H469" s="24">
        <v>0.24661984960664984</v>
      </c>
      <c r="I469" s="53">
        <v>2365.2569390473764</v>
      </c>
      <c r="J469" s="53">
        <v>4916.9946466516158</v>
      </c>
      <c r="K469" s="24">
        <v>0.60544364046709953</v>
      </c>
      <c r="L469" s="24">
        <v>0.92848819064383337</v>
      </c>
      <c r="M469" s="24">
        <v>0.76485629856196302</v>
      </c>
      <c r="O469" s="53">
        <v>4.3203034665223559</v>
      </c>
      <c r="P469" s="54">
        <v>14109.659521935098</v>
      </c>
      <c r="Q469" s="54">
        <v>4.5366031247520127</v>
      </c>
      <c r="R469" s="54">
        <v>31718.52764763583</v>
      </c>
      <c r="S469" s="54">
        <v>0.2162996582296568</v>
      </c>
      <c r="T469" s="54">
        <v>17608.868125700734</v>
      </c>
      <c r="V469" s="69">
        <f t="shared" si="44"/>
        <v>849951.03378253616</v>
      </c>
      <c r="W469" s="69">
        <f t="shared" si="45"/>
        <v>875602.09730276675</v>
      </c>
      <c r="X469" s="69">
        <f t="shared" si="42"/>
        <v>25651.063520230629</v>
      </c>
      <c r="Z469" s="68">
        <f t="shared" si="46"/>
        <v>0</v>
      </c>
      <c r="AA469" s="68">
        <f t="shared" si="47"/>
        <v>1</v>
      </c>
      <c r="AB469" s="68">
        <f t="shared" si="43"/>
        <v>1</v>
      </c>
    </row>
    <row r="470" spans="1:28" x14ac:dyDescent="0.25">
      <c r="A470">
        <v>465</v>
      </c>
      <c r="C470" s="24">
        <v>6.2108282283703442E-6</v>
      </c>
      <c r="D470" s="24">
        <v>6.5605468255052202E-3</v>
      </c>
      <c r="E470" s="24">
        <v>1.5572719585103998E-19</v>
      </c>
      <c r="F470" s="24">
        <v>1.2596047696002977E-3</v>
      </c>
      <c r="G470" s="24">
        <v>0.72550955285088481</v>
      </c>
      <c r="H470" s="24">
        <v>0.32254384111998924</v>
      </c>
      <c r="I470" s="53">
        <v>1703.5453334547262</v>
      </c>
      <c r="J470" s="53">
        <v>5043.8790498091585</v>
      </c>
      <c r="K470" s="24">
        <v>0.6121664198519513</v>
      </c>
      <c r="L470" s="24">
        <v>0.91418857384903807</v>
      </c>
      <c r="M470" s="24">
        <v>0.5349673915795865</v>
      </c>
      <c r="O470" s="53">
        <v>3.9331004196919781</v>
      </c>
      <c r="P470" s="54">
        <v>22716.547557329148</v>
      </c>
      <c r="Q470" s="54">
        <v>4.4033369346692677</v>
      </c>
      <c r="R470" s="54">
        <v>49548.203493777801</v>
      </c>
      <c r="S470" s="54">
        <v>0.47023651497728958</v>
      </c>
      <c r="T470" s="54">
        <v>26831.655936448653</v>
      </c>
      <c r="V470" s="69">
        <f t="shared" si="44"/>
        <v>763903.53638106643</v>
      </c>
      <c r="W470" s="69">
        <f t="shared" si="45"/>
        <v>831119.18344007572</v>
      </c>
      <c r="X470" s="69">
        <f t="shared" si="42"/>
        <v>67215.647059009265</v>
      </c>
      <c r="Z470" s="68">
        <f t="shared" si="46"/>
        <v>0</v>
      </c>
      <c r="AA470" s="68">
        <f t="shared" si="47"/>
        <v>1</v>
      </c>
      <c r="AB470" s="68">
        <f t="shared" si="43"/>
        <v>1</v>
      </c>
    </row>
    <row r="471" spans="1:28" x14ac:dyDescent="0.25">
      <c r="A471">
        <v>466</v>
      </c>
      <c r="C471" s="24">
        <v>1.9485273570836181E-3</v>
      </c>
      <c r="D471" s="24">
        <v>5.7638964217098243E-3</v>
      </c>
      <c r="E471" s="24">
        <v>1.5979169030089224E-4</v>
      </c>
      <c r="F471" s="24">
        <v>4.4189585791399523E-20</v>
      </c>
      <c r="G471" s="24">
        <v>0.46014483285200536</v>
      </c>
      <c r="H471" s="24">
        <v>0.28732000569647165</v>
      </c>
      <c r="I471" s="53">
        <v>2106.6161428621135</v>
      </c>
      <c r="J471" s="53">
        <v>4261.0948370514325</v>
      </c>
      <c r="K471" s="24">
        <v>0.61745615105419105</v>
      </c>
      <c r="L471" s="24">
        <v>0.67953361871859341</v>
      </c>
      <c r="M471" s="24">
        <v>0.64209239799755136</v>
      </c>
      <c r="O471" s="53">
        <v>3.3444472888937238</v>
      </c>
      <c r="P471" s="54">
        <v>11992.947824927853</v>
      </c>
      <c r="Q471" s="54">
        <v>3.3712980854606149</v>
      </c>
      <c r="R471" s="54">
        <v>55631.519593491445</v>
      </c>
      <c r="S471" s="54">
        <v>2.6850796566891155E-2</v>
      </c>
      <c r="T471" s="54">
        <v>43638.57176856359</v>
      </c>
      <c r="V471" s="69">
        <f t="shared" si="44"/>
        <v>656896.50995381689</v>
      </c>
      <c r="W471" s="69">
        <f t="shared" si="45"/>
        <v>618628.09749863157</v>
      </c>
      <c r="X471" s="69">
        <f t="shared" si="42"/>
        <v>-38268.41245518536</v>
      </c>
      <c r="Z471" s="68">
        <f t="shared" si="46"/>
        <v>1</v>
      </c>
      <c r="AA471" s="68">
        <f t="shared" si="47"/>
        <v>0</v>
      </c>
      <c r="AB471" s="68">
        <f t="shared" si="43"/>
        <v>0</v>
      </c>
    </row>
    <row r="472" spans="1:28" x14ac:dyDescent="0.25">
      <c r="A472">
        <v>467</v>
      </c>
      <c r="C472" s="24">
        <v>6.5746812789744258E-3</v>
      </c>
      <c r="D472" s="24">
        <v>3.8022450664295494E-4</v>
      </c>
      <c r="E472" s="24">
        <v>2.9572294185595815E-3</v>
      </c>
      <c r="F472" s="24">
        <v>5.6232544617599463E-16</v>
      </c>
      <c r="G472" s="24">
        <v>0.69464444118050594</v>
      </c>
      <c r="H472" s="24">
        <v>0.2062618183400764</v>
      </c>
      <c r="I472" s="53">
        <v>1823.3516079690824</v>
      </c>
      <c r="J472" s="53">
        <v>4846.9010526909306</v>
      </c>
      <c r="K472" s="24">
        <v>0.85529137370137975</v>
      </c>
      <c r="L472" s="24">
        <v>0.71269714517525096</v>
      </c>
      <c r="M472" s="24">
        <v>0.8960829928134636</v>
      </c>
      <c r="O472" s="53">
        <v>3.826268205855472</v>
      </c>
      <c r="P472" s="54">
        <v>16832.355741862044</v>
      </c>
      <c r="Q472" s="54">
        <v>3.6009430277999597</v>
      </c>
      <c r="R472" s="54">
        <v>27684.915587487951</v>
      </c>
      <c r="S472" s="54">
        <v>-0.22532517805551233</v>
      </c>
      <c r="T472" s="54">
        <v>10852.559845625907</v>
      </c>
      <c r="V472" s="69">
        <f t="shared" si="44"/>
        <v>748421.28542923229</v>
      </c>
      <c r="W472" s="69">
        <f t="shared" si="45"/>
        <v>692503.68997250393</v>
      </c>
      <c r="X472" s="69">
        <f t="shared" si="42"/>
        <v>-55917.595456728377</v>
      </c>
      <c r="Z472" s="68">
        <f t="shared" si="46"/>
        <v>1</v>
      </c>
      <c r="AA472" s="68">
        <f t="shared" si="47"/>
        <v>0</v>
      </c>
      <c r="AB472" s="68">
        <f t="shared" si="43"/>
        <v>0</v>
      </c>
    </row>
    <row r="473" spans="1:28" x14ac:dyDescent="0.25">
      <c r="A473">
        <v>468</v>
      </c>
      <c r="C473" s="24">
        <v>1.6066497362366716E-8</v>
      </c>
      <c r="D473" s="24">
        <v>5.4006868629074198E-5</v>
      </c>
      <c r="E473" s="24">
        <v>7.1969628134299161E-18</v>
      </c>
      <c r="F473" s="24">
        <v>6.4495529887520497E-5</v>
      </c>
      <c r="G473" s="24">
        <v>0.62677376860330514</v>
      </c>
      <c r="H473" s="24">
        <v>0.31522412861051918</v>
      </c>
      <c r="I473" s="53">
        <v>1486.5638084178256</v>
      </c>
      <c r="J473" s="53">
        <v>5025.0287301051867</v>
      </c>
      <c r="K473" s="24">
        <v>0.62517053654640153</v>
      </c>
      <c r="L473" s="24">
        <v>0.89630439240443827</v>
      </c>
      <c r="M473" s="24">
        <v>0.88742310145607073</v>
      </c>
      <c r="O473" s="53">
        <v>4.0702389665228358</v>
      </c>
      <c r="P473" s="54">
        <v>15025.468152683341</v>
      </c>
      <c r="Q473" s="54">
        <v>4.356712350738337</v>
      </c>
      <c r="R473" s="54">
        <v>52281.694287337385</v>
      </c>
      <c r="S473" s="54">
        <v>0.28647338421550117</v>
      </c>
      <c r="T473" s="54">
        <v>37256.226134654047</v>
      </c>
      <c r="V473" s="69">
        <f t="shared" si="44"/>
        <v>799022.32515188376</v>
      </c>
      <c r="W473" s="69">
        <f t="shared" si="45"/>
        <v>819060.77586032997</v>
      </c>
      <c r="X473" s="69">
        <f t="shared" si="42"/>
        <v>20038.450708446187</v>
      </c>
      <c r="Z473" s="68">
        <f t="shared" si="46"/>
        <v>0</v>
      </c>
      <c r="AA473" s="68">
        <f t="shared" si="47"/>
        <v>1</v>
      </c>
      <c r="AB473" s="68">
        <f t="shared" si="43"/>
        <v>1</v>
      </c>
    </row>
    <row r="474" spans="1:28" x14ac:dyDescent="0.25">
      <c r="A474">
        <v>469</v>
      </c>
      <c r="C474" s="24">
        <v>9.8852903258050961E-4</v>
      </c>
      <c r="D474" s="24">
        <v>1.4056455105450887E-7</v>
      </c>
      <c r="E474" s="24">
        <v>8.6576804578727407E-3</v>
      </c>
      <c r="F474" s="24">
        <v>1.2376788304369057E-4</v>
      </c>
      <c r="G474" s="24">
        <v>0.66543892843318131</v>
      </c>
      <c r="H474" s="24">
        <v>0.31094835186704695</v>
      </c>
      <c r="I474" s="53">
        <v>1882.8733539109735</v>
      </c>
      <c r="J474" s="53">
        <v>4526.4819833091487</v>
      </c>
      <c r="K474" s="24">
        <v>0.51729673820310429</v>
      </c>
      <c r="L474" s="24">
        <v>0.53943509007892432</v>
      </c>
      <c r="M474" s="24">
        <v>0.74449445454425711</v>
      </c>
      <c r="O474" s="53">
        <v>2.615214935358416</v>
      </c>
      <c r="P474" s="54">
        <v>22856.397285130017</v>
      </c>
      <c r="Q474" s="54">
        <v>2.6867734377541548</v>
      </c>
      <c r="R474" s="54">
        <v>37260.600375380134</v>
      </c>
      <c r="S474" s="54">
        <v>7.1558502395738799E-2</v>
      </c>
      <c r="T474" s="54">
        <v>14404.203090250117</v>
      </c>
      <c r="V474" s="69">
        <f t="shared" si="44"/>
        <v>500186.58978655323</v>
      </c>
      <c r="W474" s="69">
        <f t="shared" si="45"/>
        <v>500094.08717545087</v>
      </c>
      <c r="X474" s="69">
        <f t="shared" si="42"/>
        <v>-92.50261110235806</v>
      </c>
      <c r="Z474" s="68">
        <f t="shared" si="46"/>
        <v>1</v>
      </c>
      <c r="AA474" s="68">
        <f t="shared" si="47"/>
        <v>0</v>
      </c>
      <c r="AB474" s="68">
        <f t="shared" si="43"/>
        <v>0</v>
      </c>
    </row>
    <row r="475" spans="1:28" x14ac:dyDescent="0.25">
      <c r="A475">
        <v>470</v>
      </c>
      <c r="C475" s="24">
        <v>1.1728949295408686E-4</v>
      </c>
      <c r="D475" s="24">
        <v>1.7596369844497249E-4</v>
      </c>
      <c r="E475" s="24">
        <v>1.6615820351264565E-15</v>
      </c>
      <c r="F475" s="24">
        <v>1.1721240333110926E-35</v>
      </c>
      <c r="G475" s="24">
        <v>0.61663947012053022</v>
      </c>
      <c r="H475" s="24">
        <v>0.27875895556417285</v>
      </c>
      <c r="I475" s="53">
        <v>1898.4812837526356</v>
      </c>
      <c r="J475" s="53">
        <v>5186.0673563431474</v>
      </c>
      <c r="K475" s="24">
        <v>0.62583903426590681</v>
      </c>
      <c r="L475" s="24">
        <v>0.9409571761836113</v>
      </c>
      <c r="M475" s="24">
        <v>0.64613123473989342</v>
      </c>
      <c r="O475" s="53">
        <v>4.2427873639937097</v>
      </c>
      <c r="P475" s="54">
        <v>14098.632085918904</v>
      </c>
      <c r="Q475" s="54">
        <v>4.5828661395445449</v>
      </c>
      <c r="R475" s="54">
        <v>40308.148065133842</v>
      </c>
      <c r="S475" s="54">
        <v>0.34007877555083521</v>
      </c>
      <c r="T475" s="54">
        <v>26209.515979214939</v>
      </c>
      <c r="V475" s="69">
        <f t="shared" si="44"/>
        <v>834458.84071282297</v>
      </c>
      <c r="W475" s="69">
        <f t="shared" si="45"/>
        <v>876265.07984377514</v>
      </c>
      <c r="X475" s="69">
        <f t="shared" si="42"/>
        <v>41806.239130952104</v>
      </c>
      <c r="Z475" s="68">
        <f t="shared" si="46"/>
        <v>0</v>
      </c>
      <c r="AA475" s="68">
        <f t="shared" si="47"/>
        <v>1</v>
      </c>
      <c r="AB475" s="68">
        <f t="shared" si="43"/>
        <v>1</v>
      </c>
    </row>
    <row r="476" spans="1:28" x14ac:dyDescent="0.25">
      <c r="A476">
        <v>471</v>
      </c>
      <c r="C476" s="24">
        <v>8.0556406644172185E-5</v>
      </c>
      <c r="D476" s="24">
        <v>6.7326117716254297E-3</v>
      </c>
      <c r="E476" s="24">
        <v>1.7868305729473732E-6</v>
      </c>
      <c r="F476" s="24">
        <v>2.3148150063434514E-13</v>
      </c>
      <c r="G476" s="24">
        <v>0.61356804517133279</v>
      </c>
      <c r="H476" s="24">
        <v>0.29256965826068015</v>
      </c>
      <c r="I476" s="53">
        <v>1875.588343774793</v>
      </c>
      <c r="J476" s="53">
        <v>4929.1453236114057</v>
      </c>
      <c r="K476" s="24">
        <v>0.72998623014528607</v>
      </c>
      <c r="L476" s="24">
        <v>0.93178741245906349</v>
      </c>
      <c r="M476" s="24">
        <v>0.73864114315056673</v>
      </c>
      <c r="O476" s="53">
        <v>4.366226347022546</v>
      </c>
      <c r="P476" s="54">
        <v>17633.91560659423</v>
      </c>
      <c r="Q476" s="54">
        <v>4.5672254238811778</v>
      </c>
      <c r="R476" s="54">
        <v>40790.938311657897</v>
      </c>
      <c r="S476" s="54">
        <v>0.20099907685863183</v>
      </c>
      <c r="T476" s="54">
        <v>23157.022705063668</v>
      </c>
      <c r="V476" s="69">
        <f t="shared" si="44"/>
        <v>855611.35379791504</v>
      </c>
      <c r="W476" s="69">
        <f t="shared" si="45"/>
        <v>872654.14646457764</v>
      </c>
      <c r="X476" s="69">
        <f t="shared" si="42"/>
        <v>17042.792666662695</v>
      </c>
      <c r="Z476" s="68">
        <f t="shared" si="46"/>
        <v>0</v>
      </c>
      <c r="AA476" s="68">
        <f t="shared" si="47"/>
        <v>1</v>
      </c>
      <c r="AB476" s="68">
        <f t="shared" si="43"/>
        <v>1</v>
      </c>
    </row>
    <row r="477" spans="1:28" x14ac:dyDescent="0.25">
      <c r="A477">
        <v>472</v>
      </c>
      <c r="C477" s="24">
        <v>2.7901255506522525E-6</v>
      </c>
      <c r="D477" s="24">
        <v>8.6971698002034081E-3</v>
      </c>
      <c r="E477" s="24">
        <v>3.8699043969359082E-12</v>
      </c>
      <c r="F477" s="24">
        <v>5.9447513578447797E-10</v>
      </c>
      <c r="G477" s="24">
        <v>0.49322016671596991</v>
      </c>
      <c r="H477" s="24">
        <v>0.25310320698954603</v>
      </c>
      <c r="I477" s="53">
        <v>2351.0549524775561</v>
      </c>
      <c r="J477" s="53">
        <v>6638.7172177508755</v>
      </c>
      <c r="K477" s="24">
        <v>0.67994039758939739</v>
      </c>
      <c r="L477" s="24">
        <v>0.85423208641871362</v>
      </c>
      <c r="M477" s="24">
        <v>0.88747178000484828</v>
      </c>
      <c r="O477" s="53">
        <v>4.1064840319854516</v>
      </c>
      <c r="P477" s="54">
        <v>15391.865377898574</v>
      </c>
      <c r="Q477" s="54">
        <v>4.2139632737157751</v>
      </c>
      <c r="R477" s="54">
        <v>44270.619966603081</v>
      </c>
      <c r="S477" s="54">
        <v>0.10747924173032342</v>
      </c>
      <c r="T477" s="54">
        <v>28878.754588704505</v>
      </c>
      <c r="V477" s="69">
        <f t="shared" si="44"/>
        <v>805904.94101919176</v>
      </c>
      <c r="W477" s="69">
        <f t="shared" si="45"/>
        <v>798522.03477655188</v>
      </c>
      <c r="X477" s="69">
        <f t="shared" si="42"/>
        <v>-7382.9062426398232</v>
      </c>
      <c r="Z477" s="68">
        <f t="shared" si="46"/>
        <v>1</v>
      </c>
      <c r="AA477" s="68">
        <f t="shared" si="47"/>
        <v>0</v>
      </c>
      <c r="AB477" s="68">
        <f t="shared" si="43"/>
        <v>0</v>
      </c>
    </row>
    <row r="478" spans="1:28" x14ac:dyDescent="0.25">
      <c r="A478">
        <v>473</v>
      </c>
      <c r="C478" s="24">
        <v>8.254835784584689E-11</v>
      </c>
      <c r="D478" s="24">
        <v>8.8010991237105762E-4</v>
      </c>
      <c r="E478" s="24">
        <v>5.6478467662364705E-16</v>
      </c>
      <c r="F478" s="24">
        <v>1.4653078761080294E-25</v>
      </c>
      <c r="G478" s="24">
        <v>0.59408377582875671</v>
      </c>
      <c r="H478" s="24">
        <v>0.25509398535432937</v>
      </c>
      <c r="I478" s="53">
        <v>1741.7785039225041</v>
      </c>
      <c r="J478" s="53">
        <v>5578.1809176663874</v>
      </c>
      <c r="K478" s="24">
        <v>0.6575696575710086</v>
      </c>
      <c r="L478" s="24">
        <v>0.73530759126025025</v>
      </c>
      <c r="M478" s="24">
        <v>0.81444630172974697</v>
      </c>
      <c r="O478" s="53">
        <v>3.5711830603599357</v>
      </c>
      <c r="P478" s="54">
        <v>21683.665703695693</v>
      </c>
      <c r="Q478" s="54">
        <v>3.6503807893424218</v>
      </c>
      <c r="R478" s="54">
        <v>37557.234306904924</v>
      </c>
      <c r="S478" s="54">
        <v>7.9197728982486115E-2</v>
      </c>
      <c r="T478" s="54">
        <v>15873.568603209231</v>
      </c>
      <c r="V478" s="69">
        <f t="shared" si="44"/>
        <v>692552.94636829139</v>
      </c>
      <c r="W478" s="69">
        <f t="shared" si="45"/>
        <v>692518.92356157943</v>
      </c>
      <c r="X478" s="69">
        <f t="shared" si="42"/>
        <v>-34.022806712007878</v>
      </c>
      <c r="Z478" s="68">
        <f t="shared" si="46"/>
        <v>1</v>
      </c>
      <c r="AA478" s="68">
        <f t="shared" si="47"/>
        <v>0</v>
      </c>
      <c r="AB478" s="68">
        <f t="shared" si="43"/>
        <v>0</v>
      </c>
    </row>
    <row r="479" spans="1:28" x14ac:dyDescent="0.25">
      <c r="A479">
        <v>474</v>
      </c>
      <c r="C479" s="24">
        <v>3.731229979916284E-2</v>
      </c>
      <c r="D479" s="24">
        <v>2.2548277628995812E-4</v>
      </c>
      <c r="E479" s="24">
        <v>2.763856477017157E-8</v>
      </c>
      <c r="F479" s="24">
        <v>2.1173764514514216E-31</v>
      </c>
      <c r="G479" s="24">
        <v>0.51651007688856365</v>
      </c>
      <c r="H479" s="24">
        <v>0.40263460349873759</v>
      </c>
      <c r="I479" s="53">
        <v>2211.1246166951046</v>
      </c>
      <c r="J479" s="53">
        <v>4587.7360843632005</v>
      </c>
      <c r="K479" s="24">
        <v>0.7483396650841686</v>
      </c>
      <c r="L479" s="24">
        <v>0.779963053836912</v>
      </c>
      <c r="M479" s="24">
        <v>0.89640802889060156</v>
      </c>
      <c r="O479" s="53">
        <v>3.9029586434413144</v>
      </c>
      <c r="P479" s="54">
        <v>14731.572454748328</v>
      </c>
      <c r="Q479" s="54">
        <v>3.878916560238419</v>
      </c>
      <c r="R479" s="54">
        <v>53741.446773658376</v>
      </c>
      <c r="S479" s="54">
        <v>-2.4042083202895359E-2</v>
      </c>
      <c r="T479" s="54">
        <v>39009.87431891005</v>
      </c>
      <c r="V479" s="69">
        <f t="shared" si="44"/>
        <v>765860.15623351454</v>
      </c>
      <c r="W479" s="69">
        <f t="shared" si="45"/>
        <v>722041.86527402536</v>
      </c>
      <c r="X479" s="69">
        <f t="shared" si="42"/>
        <v>-43818.290959489124</v>
      </c>
      <c r="Z479" s="68">
        <f t="shared" si="46"/>
        <v>1</v>
      </c>
      <c r="AA479" s="68">
        <f t="shared" si="47"/>
        <v>0</v>
      </c>
      <c r="AB479" s="68">
        <f t="shared" si="43"/>
        <v>0</v>
      </c>
    </row>
    <row r="480" spans="1:28" x14ac:dyDescent="0.25">
      <c r="A480">
        <v>475</v>
      </c>
      <c r="C480" s="24">
        <v>3.175250839777935E-5</v>
      </c>
      <c r="D480" s="24">
        <v>1.3335492665507248E-7</v>
      </c>
      <c r="E480" s="24">
        <v>7.1409314837167583E-17</v>
      </c>
      <c r="F480" s="24">
        <v>1.8128534341786773E-20</v>
      </c>
      <c r="G480" s="24">
        <v>0.5613951447726635</v>
      </c>
      <c r="H480" s="24">
        <v>0.23208958484540865</v>
      </c>
      <c r="I480" s="53">
        <v>1997.5721599411193</v>
      </c>
      <c r="J480" s="53">
        <v>4258.513556438098</v>
      </c>
      <c r="K480" s="24">
        <v>0.82005684949878921</v>
      </c>
      <c r="L480" s="24">
        <v>0.73064502070837734</v>
      </c>
      <c r="M480" s="24">
        <v>0.92755661310915738</v>
      </c>
      <c r="O480" s="53">
        <v>3.7613407476433185</v>
      </c>
      <c r="P480" s="54">
        <v>17518.972612679332</v>
      </c>
      <c r="Q480" s="54">
        <v>3.6802304715084331</v>
      </c>
      <c r="R480" s="54">
        <v>33868.540739025026</v>
      </c>
      <c r="S480" s="54">
        <v>-8.1110276134885417E-2</v>
      </c>
      <c r="T480" s="54">
        <v>16349.568126345694</v>
      </c>
      <c r="V480" s="69">
        <f t="shared" si="44"/>
        <v>734749.17691598437</v>
      </c>
      <c r="W480" s="69">
        <f t="shared" si="45"/>
        <v>702177.55356266163</v>
      </c>
      <c r="X480" s="69">
        <f t="shared" si="42"/>
        <v>-32571.623353322779</v>
      </c>
      <c r="Z480" s="68">
        <f t="shared" si="46"/>
        <v>1</v>
      </c>
      <c r="AA480" s="68">
        <f t="shared" si="47"/>
        <v>0</v>
      </c>
      <c r="AB480" s="68">
        <f t="shared" si="43"/>
        <v>0</v>
      </c>
    </row>
    <row r="481" spans="1:28" x14ac:dyDescent="0.25">
      <c r="A481">
        <v>476</v>
      </c>
      <c r="C481" s="24">
        <v>2.8319094809297521E-6</v>
      </c>
      <c r="D481" s="24">
        <v>1.431294498231539E-3</v>
      </c>
      <c r="E481" s="24">
        <v>9.4017955414527066E-5</v>
      </c>
      <c r="F481" s="24">
        <v>4.6962433941644122E-14</v>
      </c>
      <c r="G481" s="24">
        <v>0.48235030247565036</v>
      </c>
      <c r="H481" s="24">
        <v>0.30513778216836729</v>
      </c>
      <c r="I481" s="53">
        <v>2249.6691468606755</v>
      </c>
      <c r="J481" s="53">
        <v>4652.4584805744089</v>
      </c>
      <c r="K481" s="24">
        <v>0.66608716164815507</v>
      </c>
      <c r="L481" s="24">
        <v>0.83595846877344115</v>
      </c>
      <c r="M481" s="24">
        <v>0.71357170183892771</v>
      </c>
      <c r="O481" s="53">
        <v>4.0250136764671591</v>
      </c>
      <c r="P481" s="54">
        <v>15277.862541470544</v>
      </c>
      <c r="Q481" s="54">
        <v>4.1042433050578797</v>
      </c>
      <c r="R481" s="54">
        <v>37581.373326703215</v>
      </c>
      <c r="S481" s="54">
        <v>7.922962859072058E-2</v>
      </c>
      <c r="T481" s="54">
        <v>22303.510785232669</v>
      </c>
      <c r="V481" s="69">
        <f t="shared" si="44"/>
        <v>789724.87275196123</v>
      </c>
      <c r="W481" s="69">
        <f t="shared" si="45"/>
        <v>783267.28768487275</v>
      </c>
      <c r="X481" s="69">
        <f t="shared" si="42"/>
        <v>-6457.5850670885538</v>
      </c>
      <c r="Z481" s="68">
        <f t="shared" si="46"/>
        <v>1</v>
      </c>
      <c r="AA481" s="68">
        <f t="shared" si="47"/>
        <v>0</v>
      </c>
      <c r="AB481" s="68">
        <f t="shared" si="43"/>
        <v>0</v>
      </c>
    </row>
    <row r="482" spans="1:28" x14ac:dyDescent="0.25">
      <c r="A482">
        <v>477</v>
      </c>
      <c r="C482" s="24">
        <v>1.1106843659598686E-2</v>
      </c>
      <c r="D482" s="24">
        <v>5.2590296327222896E-3</v>
      </c>
      <c r="E482" s="24">
        <v>4.7986304575475813E-6</v>
      </c>
      <c r="F482" s="24">
        <v>6.7030083590324807E-6</v>
      </c>
      <c r="G482" s="24">
        <v>0.53024383279725862</v>
      </c>
      <c r="H482" s="24">
        <v>0.23184010478197115</v>
      </c>
      <c r="I482" s="53">
        <v>2158.4097791263725</v>
      </c>
      <c r="J482" s="53">
        <v>5607.3314733962761</v>
      </c>
      <c r="K482" s="24">
        <v>0.53799174562347385</v>
      </c>
      <c r="L482" s="24">
        <v>0.89047243128224751</v>
      </c>
      <c r="M482" s="24">
        <v>0.82905131776151642</v>
      </c>
      <c r="O482" s="53">
        <v>4.0654453246585858</v>
      </c>
      <c r="P482" s="54">
        <v>15790.016557262874</v>
      </c>
      <c r="Q482" s="54">
        <v>4.3440381981930996</v>
      </c>
      <c r="R482" s="54">
        <v>28635.498000847128</v>
      </c>
      <c r="S482" s="54">
        <v>0.27859287353451379</v>
      </c>
      <c r="T482" s="54">
        <v>12845.481443584255</v>
      </c>
      <c r="V482" s="69">
        <f t="shared" si="44"/>
        <v>797299.04837445426</v>
      </c>
      <c r="W482" s="69">
        <f t="shared" si="45"/>
        <v>840172.14163777279</v>
      </c>
      <c r="X482" s="69">
        <f t="shared" si="42"/>
        <v>42873.0932633185</v>
      </c>
      <c r="Z482" s="68">
        <f t="shared" si="46"/>
        <v>0</v>
      </c>
      <c r="AA482" s="68">
        <f t="shared" si="47"/>
        <v>1</v>
      </c>
      <c r="AB482" s="68">
        <f t="shared" si="43"/>
        <v>1</v>
      </c>
    </row>
    <row r="483" spans="1:28" x14ac:dyDescent="0.25">
      <c r="A483">
        <v>478</v>
      </c>
      <c r="C483" s="24">
        <v>4.0355545930676177E-5</v>
      </c>
      <c r="D483" s="24">
        <v>2.0743744452156321E-3</v>
      </c>
      <c r="E483" s="24">
        <v>2.5805924706023831E-6</v>
      </c>
      <c r="F483" s="24">
        <v>1.5362379966201237E-39</v>
      </c>
      <c r="G483" s="24">
        <v>0.62647523561884089</v>
      </c>
      <c r="H483" s="24">
        <v>0.40781909947811568</v>
      </c>
      <c r="I483" s="53">
        <v>2071.1290579347969</v>
      </c>
      <c r="J483" s="53">
        <v>4775.4969466069924</v>
      </c>
      <c r="K483" s="24">
        <v>0.4282818262872663</v>
      </c>
      <c r="L483" s="24">
        <v>0.87645833820006147</v>
      </c>
      <c r="M483" s="24">
        <v>0.84472741863841461</v>
      </c>
      <c r="O483" s="53">
        <v>3.703113520547765</v>
      </c>
      <c r="P483" s="54">
        <v>17478.368951115164</v>
      </c>
      <c r="Q483" s="54">
        <v>4.0766462465171109</v>
      </c>
      <c r="R483" s="54">
        <v>70497.997162999513</v>
      </c>
      <c r="S483" s="54">
        <v>0.37353272596934595</v>
      </c>
      <c r="T483" s="54">
        <v>53019.628211884352</v>
      </c>
      <c r="V483" s="69">
        <f t="shared" si="44"/>
        <v>723144.33515843784</v>
      </c>
      <c r="W483" s="69">
        <f t="shared" si="45"/>
        <v>744831.2521404227</v>
      </c>
      <c r="X483" s="69">
        <f t="shared" si="42"/>
        <v>21686.916981984832</v>
      </c>
      <c r="Z483" s="68">
        <f t="shared" si="46"/>
        <v>0</v>
      </c>
      <c r="AA483" s="68">
        <f t="shared" si="47"/>
        <v>1</v>
      </c>
      <c r="AB483" s="68">
        <f t="shared" si="43"/>
        <v>1</v>
      </c>
    </row>
    <row r="484" spans="1:28" x14ac:dyDescent="0.25">
      <c r="A484">
        <v>479</v>
      </c>
      <c r="C484" s="24">
        <v>6.5571400456831735E-11</v>
      </c>
      <c r="D484" s="24">
        <v>1.7991280841737511E-5</v>
      </c>
      <c r="E484" s="24">
        <v>9.5947925481987562E-15</v>
      </c>
      <c r="F484" s="24">
        <v>5.344017924346911E-4</v>
      </c>
      <c r="G484" s="24">
        <v>0.6383533984467733</v>
      </c>
      <c r="H484" s="24">
        <v>0.24971164193203055</v>
      </c>
      <c r="I484" s="53">
        <v>1871.7796838660072</v>
      </c>
      <c r="J484" s="53">
        <v>4386.1365516207834</v>
      </c>
      <c r="K484" s="24">
        <v>0.59481939647311344</v>
      </c>
      <c r="L484" s="24">
        <v>0.95115654279676498</v>
      </c>
      <c r="M484" s="24">
        <v>0.83033882742567799</v>
      </c>
      <c r="O484" s="53">
        <v>4.1934732383521869</v>
      </c>
      <c r="P484" s="54">
        <v>18398.405655732618</v>
      </c>
      <c r="Q484" s="54">
        <v>4.6341257900301054</v>
      </c>
      <c r="R484" s="54">
        <v>32287.518688153225</v>
      </c>
      <c r="S484" s="54">
        <v>0.4406525516779185</v>
      </c>
      <c r="T484" s="54">
        <v>13889.113032420606</v>
      </c>
      <c r="V484" s="69">
        <f t="shared" si="44"/>
        <v>820296.24201470474</v>
      </c>
      <c r="W484" s="69">
        <f t="shared" si="45"/>
        <v>894537.63931786781</v>
      </c>
      <c r="X484" s="69">
        <f t="shared" si="42"/>
        <v>74241.397303163103</v>
      </c>
      <c r="Z484" s="68">
        <f t="shared" si="46"/>
        <v>0</v>
      </c>
      <c r="AA484" s="68">
        <f t="shared" si="47"/>
        <v>1</v>
      </c>
      <c r="AB484" s="68">
        <f t="shared" si="43"/>
        <v>1</v>
      </c>
    </row>
    <row r="485" spans="1:28" x14ac:dyDescent="0.25">
      <c r="A485">
        <v>480</v>
      </c>
      <c r="C485" s="24">
        <v>4.7131921493857023E-7</v>
      </c>
      <c r="D485" s="24">
        <v>3.1569836188634515E-2</v>
      </c>
      <c r="E485" s="24">
        <v>5.5253110420316887E-8</v>
      </c>
      <c r="F485" s="24">
        <v>3.3828144814795902E-4</v>
      </c>
      <c r="G485" s="24">
        <v>0.4469542337067437</v>
      </c>
      <c r="H485" s="24">
        <v>0.2942705818369048</v>
      </c>
      <c r="I485" s="53">
        <v>1375.0790349580479</v>
      </c>
      <c r="J485" s="53">
        <v>3865.4010977614212</v>
      </c>
      <c r="K485" s="24">
        <v>0.66041851084164749</v>
      </c>
      <c r="L485" s="24">
        <v>0.95999437299381829</v>
      </c>
      <c r="M485" s="24">
        <v>0.74833031389290816</v>
      </c>
      <c r="O485" s="53">
        <v>4.5621813037636532</v>
      </c>
      <c r="P485" s="54">
        <v>10940.099053499278</v>
      </c>
      <c r="Q485" s="54">
        <v>4.6298198154500234</v>
      </c>
      <c r="R485" s="54">
        <v>43749.475166259275</v>
      </c>
      <c r="S485" s="54">
        <v>6.7638511686370251E-2</v>
      </c>
      <c r="T485" s="54">
        <v>32809.376112760001</v>
      </c>
      <c r="V485" s="69">
        <f t="shared" si="44"/>
        <v>901496.16169923136</v>
      </c>
      <c r="W485" s="69">
        <f t="shared" si="45"/>
        <v>882214.4879237453</v>
      </c>
      <c r="X485" s="69">
        <f t="shared" si="42"/>
        <v>-19281.67377548595</v>
      </c>
      <c r="Z485" s="68">
        <f t="shared" si="46"/>
        <v>1</v>
      </c>
      <c r="AA485" s="68">
        <f t="shared" si="47"/>
        <v>0</v>
      </c>
      <c r="AB485" s="68">
        <f t="shared" si="43"/>
        <v>0</v>
      </c>
    </row>
    <row r="486" spans="1:28" x14ac:dyDescent="0.25">
      <c r="A486">
        <v>481</v>
      </c>
      <c r="C486" s="24">
        <v>2.8249163877258621E-4</v>
      </c>
      <c r="D486" s="24">
        <v>3.6191597971013396E-4</v>
      </c>
      <c r="E486" s="24">
        <v>2.952304289927099E-9</v>
      </c>
      <c r="F486" s="24">
        <v>1.0218972088457078E-34</v>
      </c>
      <c r="G486" s="24">
        <v>0.44765144776279109</v>
      </c>
      <c r="H486" s="24">
        <v>0.30126908151076937</v>
      </c>
      <c r="I486" s="53">
        <v>1838.0225102478628</v>
      </c>
      <c r="J486" s="53">
        <v>5282.6093175274409</v>
      </c>
      <c r="K486" s="24">
        <v>0.69639400573814747</v>
      </c>
      <c r="L486" s="24">
        <v>0.67657270232827693</v>
      </c>
      <c r="M486" s="24">
        <v>0.87763835150292568</v>
      </c>
      <c r="O486" s="53">
        <v>3.3990712372557383</v>
      </c>
      <c r="P486" s="54">
        <v>13614.152218308282</v>
      </c>
      <c r="Q486" s="54">
        <v>3.3918645048324807</v>
      </c>
      <c r="R486" s="54">
        <v>50620.689106996128</v>
      </c>
      <c r="S486" s="54">
        <v>-7.2067324232576446E-3</v>
      </c>
      <c r="T486" s="54">
        <v>37006.536888687842</v>
      </c>
      <c r="V486" s="69">
        <f t="shared" si="44"/>
        <v>666200.09523283935</v>
      </c>
      <c r="W486" s="69">
        <f t="shared" si="45"/>
        <v>627752.21185949992</v>
      </c>
      <c r="X486" s="69">
        <f t="shared" si="42"/>
        <v>-38447.883373339369</v>
      </c>
      <c r="Z486" s="68">
        <f t="shared" si="46"/>
        <v>1</v>
      </c>
      <c r="AA486" s="68">
        <f t="shared" si="47"/>
        <v>0</v>
      </c>
      <c r="AB486" s="68">
        <f t="shared" si="43"/>
        <v>0</v>
      </c>
    </row>
    <row r="487" spans="1:28" x14ac:dyDescent="0.25">
      <c r="A487">
        <v>482</v>
      </c>
      <c r="C487" s="24">
        <v>4.4638604047491093E-3</v>
      </c>
      <c r="D487" s="24">
        <v>9.0231499862259978E-3</v>
      </c>
      <c r="E487" s="24">
        <v>8.6273269020084501E-59</v>
      </c>
      <c r="F487" s="24">
        <v>4.8579548161953312E-9</v>
      </c>
      <c r="G487" s="24">
        <v>0.50028123148920856</v>
      </c>
      <c r="H487" s="24">
        <v>0.33444937309180423</v>
      </c>
      <c r="I487" s="53">
        <v>2043.069012600419</v>
      </c>
      <c r="J487" s="53">
        <v>4872.1647606623937</v>
      </c>
      <c r="K487" s="24">
        <v>0.67650305528530263</v>
      </c>
      <c r="L487" s="24">
        <v>0.95135580364203465</v>
      </c>
      <c r="M487" s="24">
        <v>0.78969341001477389</v>
      </c>
      <c r="O487" s="53">
        <v>4.4844198964190412</v>
      </c>
      <c r="P487" s="54">
        <v>15569.094865641573</v>
      </c>
      <c r="Q487" s="54">
        <v>4.609377381326822</v>
      </c>
      <c r="R487" s="54">
        <v>63933.345452361878</v>
      </c>
      <c r="S487" s="54">
        <v>0.1249574849077808</v>
      </c>
      <c r="T487" s="54">
        <v>48364.250586720307</v>
      </c>
      <c r="V487" s="69">
        <f t="shared" si="44"/>
        <v>881314.88441816671</v>
      </c>
      <c r="W487" s="69">
        <f t="shared" si="45"/>
        <v>857942.13081300259</v>
      </c>
      <c r="X487" s="69">
        <f t="shared" si="42"/>
        <v>-23372.753605164147</v>
      </c>
      <c r="Z487" s="68">
        <f t="shared" si="46"/>
        <v>1</v>
      </c>
      <c r="AA487" s="68">
        <f t="shared" si="47"/>
        <v>0</v>
      </c>
      <c r="AB487" s="68">
        <f t="shared" si="43"/>
        <v>0</v>
      </c>
    </row>
    <row r="488" spans="1:28" x14ac:dyDescent="0.25">
      <c r="A488">
        <v>483</v>
      </c>
      <c r="C488" s="24">
        <v>1.8929686415878918E-7</v>
      </c>
      <c r="D488" s="24">
        <v>1.7404057799854655E-3</v>
      </c>
      <c r="E488" s="24">
        <v>7.572833158664416E-6</v>
      </c>
      <c r="F488" s="24">
        <v>2.3691481851205812E-26</v>
      </c>
      <c r="G488" s="24">
        <v>0.55745597028289773</v>
      </c>
      <c r="H488" s="24">
        <v>0.37329778871546626</v>
      </c>
      <c r="I488" s="53">
        <v>2254.1780074064745</v>
      </c>
      <c r="J488" s="53">
        <v>5225.9156426775107</v>
      </c>
      <c r="K488" s="24">
        <v>0.77747724418641284</v>
      </c>
      <c r="L488" s="24">
        <v>0.96593983388626692</v>
      </c>
      <c r="M488" s="24">
        <v>0.91285597407066099</v>
      </c>
      <c r="O488" s="53">
        <v>4.6050169801512375</v>
      </c>
      <c r="P488" s="54">
        <v>16256.959561556803</v>
      </c>
      <c r="Q488" s="54">
        <v>4.7176044829092314</v>
      </c>
      <c r="R488" s="54">
        <v>40463.707598051769</v>
      </c>
      <c r="S488" s="54">
        <v>0.1125875027579939</v>
      </c>
      <c r="T488" s="54">
        <v>24206.748036494966</v>
      </c>
      <c r="V488" s="69">
        <f t="shared" si="44"/>
        <v>904746.43646869063</v>
      </c>
      <c r="W488" s="69">
        <f t="shared" si="45"/>
        <v>903057.18898379453</v>
      </c>
      <c r="X488" s="69">
        <f t="shared" si="42"/>
        <v>-1689.2474848961865</v>
      </c>
      <c r="Z488" s="68">
        <f t="shared" si="46"/>
        <v>1</v>
      </c>
      <c r="AA488" s="68">
        <f t="shared" si="47"/>
        <v>0</v>
      </c>
      <c r="AB488" s="68">
        <f t="shared" si="43"/>
        <v>0</v>
      </c>
    </row>
    <row r="489" spans="1:28" x14ac:dyDescent="0.25">
      <c r="A489">
        <v>484</v>
      </c>
      <c r="C489" s="24">
        <v>4.5791836782354355E-11</v>
      </c>
      <c r="D489" s="24">
        <v>3.1941431905991857E-3</v>
      </c>
      <c r="E489" s="24">
        <v>3.1703402592597495E-81</v>
      </c>
      <c r="F489" s="24">
        <v>2.4711843682467816E-10</v>
      </c>
      <c r="G489" s="24">
        <v>0.49276774607466289</v>
      </c>
      <c r="H489" s="24">
        <v>0.31595325832787391</v>
      </c>
      <c r="I489" s="53">
        <v>1379.0434199021847</v>
      </c>
      <c r="J489" s="53">
        <v>4365.386326250873</v>
      </c>
      <c r="K489" s="24">
        <v>0.70743284434145259</v>
      </c>
      <c r="L489" s="24">
        <v>0.58254275063062477</v>
      </c>
      <c r="M489" s="24">
        <v>0.68895838343260063</v>
      </c>
      <c r="O489" s="53">
        <v>3.0305172867750261</v>
      </c>
      <c r="P489" s="54">
        <v>14101.08382645816</v>
      </c>
      <c r="Q489" s="54">
        <v>2.9724731483017877</v>
      </c>
      <c r="R489" s="54">
        <v>37883.585292180156</v>
      </c>
      <c r="S489" s="54">
        <v>-5.8044138473238416E-2</v>
      </c>
      <c r="T489" s="54">
        <v>23782.501465721994</v>
      </c>
      <c r="V489" s="69">
        <f t="shared" si="44"/>
        <v>592002.373528547</v>
      </c>
      <c r="W489" s="69">
        <f t="shared" si="45"/>
        <v>556611.0443681773</v>
      </c>
      <c r="X489" s="69">
        <f t="shared" si="42"/>
        <v>-35391.329160369678</v>
      </c>
      <c r="Z489" s="68">
        <f t="shared" si="46"/>
        <v>1</v>
      </c>
      <c r="AA489" s="68">
        <f t="shared" si="47"/>
        <v>0</v>
      </c>
      <c r="AB489" s="68">
        <f t="shared" si="43"/>
        <v>0</v>
      </c>
    </row>
    <row r="490" spans="1:28" x14ac:dyDescent="0.25">
      <c r="A490">
        <v>485</v>
      </c>
      <c r="C490" s="24">
        <v>4.7834682551359198E-9</v>
      </c>
      <c r="D490" s="24">
        <v>2.232552776134278E-4</v>
      </c>
      <c r="E490" s="24">
        <v>3.8193274516314692E-27</v>
      </c>
      <c r="F490" s="24">
        <v>1.4736833455199334E-30</v>
      </c>
      <c r="G490" s="24">
        <v>0.52577060569111622</v>
      </c>
      <c r="H490" s="24">
        <v>0.28316659768790209</v>
      </c>
      <c r="I490" s="53">
        <v>1591.9956998587545</v>
      </c>
      <c r="J490" s="53">
        <v>4534.4089196192936</v>
      </c>
      <c r="K490" s="24">
        <v>0.53335060090389597</v>
      </c>
      <c r="L490" s="24">
        <v>0.95922786729512188</v>
      </c>
      <c r="M490" s="24">
        <v>0.79378605791758072</v>
      </c>
      <c r="O490" s="53">
        <v>4.3429462439842155</v>
      </c>
      <c r="P490" s="54">
        <v>14143.366926780935</v>
      </c>
      <c r="Q490" s="54">
        <v>4.6279764419983538</v>
      </c>
      <c r="R490" s="54">
        <v>40788.330338239924</v>
      </c>
      <c r="S490" s="54">
        <v>0.28503019801413831</v>
      </c>
      <c r="T490" s="54">
        <v>26644.96341145899</v>
      </c>
      <c r="V490" s="69">
        <f t="shared" si="44"/>
        <v>854445.88187006221</v>
      </c>
      <c r="W490" s="69">
        <f t="shared" si="45"/>
        <v>884806.95806143084</v>
      </c>
      <c r="X490" s="69">
        <f t="shared" si="42"/>
        <v>30361.076191368677</v>
      </c>
      <c r="Z490" s="68">
        <f t="shared" si="46"/>
        <v>0</v>
      </c>
      <c r="AA490" s="68">
        <f t="shared" si="47"/>
        <v>1</v>
      </c>
      <c r="AB490" s="68">
        <f t="shared" si="43"/>
        <v>1</v>
      </c>
    </row>
    <row r="491" spans="1:28" x14ac:dyDescent="0.25">
      <c r="A491">
        <v>486</v>
      </c>
      <c r="C491" s="24">
        <v>3.0523047607309178E-22</v>
      </c>
      <c r="D491" s="24">
        <v>5.5447422447173921E-5</v>
      </c>
      <c r="E491" s="24">
        <v>1.3444136276432411E-28</v>
      </c>
      <c r="F491" s="24">
        <v>1.0637615980202576E-15</v>
      </c>
      <c r="G491" s="24">
        <v>0.56806712570519047</v>
      </c>
      <c r="H491" s="24">
        <v>0.27437558373605686</v>
      </c>
      <c r="I491" s="53">
        <v>1615.9727452745706</v>
      </c>
      <c r="J491" s="53">
        <v>3834.40721510104</v>
      </c>
      <c r="K491" s="24">
        <v>0.61189716206162059</v>
      </c>
      <c r="L491" s="24">
        <v>0.78378510132970602</v>
      </c>
      <c r="M491" s="24">
        <v>0.76519344570639269</v>
      </c>
      <c r="O491" s="53">
        <v>3.7062358085587404</v>
      </c>
      <c r="P491" s="54">
        <v>14732.312942498007</v>
      </c>
      <c r="Q491" s="54">
        <v>3.8540251510818124</v>
      </c>
      <c r="R491" s="54">
        <v>50136.778848446142</v>
      </c>
      <c r="S491" s="54">
        <v>0.14778934252307208</v>
      </c>
      <c r="T491" s="54">
        <v>35404.465905948135</v>
      </c>
      <c r="V491" s="69">
        <f t="shared" si="44"/>
        <v>726514.84876925009</v>
      </c>
      <c r="W491" s="69">
        <f t="shared" si="45"/>
        <v>720668.25136791635</v>
      </c>
      <c r="X491" s="69">
        <f t="shared" si="42"/>
        <v>-5846.5974013337182</v>
      </c>
      <c r="Z491" s="68">
        <f t="shared" si="46"/>
        <v>1</v>
      </c>
      <c r="AA491" s="68">
        <f t="shared" si="47"/>
        <v>0</v>
      </c>
      <c r="AB491" s="68">
        <f t="shared" si="43"/>
        <v>0</v>
      </c>
    </row>
    <row r="492" spans="1:28" x14ac:dyDescent="0.25">
      <c r="A492">
        <v>487</v>
      </c>
      <c r="C492" s="24">
        <v>1.6418864614942225E-7</v>
      </c>
      <c r="D492" s="24">
        <v>9.4831598181002043E-8</v>
      </c>
      <c r="E492" s="24">
        <v>3.3464320203790976E-10</v>
      </c>
      <c r="F492" s="24">
        <v>3.9809032424700034E-18</v>
      </c>
      <c r="G492" s="24">
        <v>0.67058700860028797</v>
      </c>
      <c r="H492" s="24">
        <v>0.20765253542013096</v>
      </c>
      <c r="I492" s="53">
        <v>2095.2499128286149</v>
      </c>
      <c r="J492" s="53">
        <v>4618.4037187266713</v>
      </c>
      <c r="K492" s="24">
        <v>0.52105194344837236</v>
      </c>
      <c r="L492" s="24">
        <v>0.84516109999018141</v>
      </c>
      <c r="M492" s="24">
        <v>0.8398499189041525</v>
      </c>
      <c r="O492" s="53">
        <v>3.6554863268893532</v>
      </c>
      <c r="P492" s="54">
        <v>20954.226860453855</v>
      </c>
      <c r="Q492" s="54">
        <v>4.1408981720666729</v>
      </c>
      <c r="R492" s="54">
        <v>36451.680684217805</v>
      </c>
      <c r="S492" s="54">
        <v>0.48541184517731972</v>
      </c>
      <c r="T492" s="54">
        <v>15497.45382376395</v>
      </c>
      <c r="V492" s="69">
        <f t="shared" si="44"/>
        <v>710143.0385174168</v>
      </c>
      <c r="W492" s="69">
        <f t="shared" si="45"/>
        <v>791727.95372911671</v>
      </c>
      <c r="X492" s="69">
        <f t="shared" si="42"/>
        <v>81584.91521169999</v>
      </c>
      <c r="Z492" s="68">
        <f t="shared" si="46"/>
        <v>0</v>
      </c>
      <c r="AA492" s="68">
        <f t="shared" si="47"/>
        <v>1</v>
      </c>
      <c r="AB492" s="68">
        <f t="shared" si="43"/>
        <v>1</v>
      </c>
    </row>
    <row r="493" spans="1:28" x14ac:dyDescent="0.25">
      <c r="A493">
        <v>488</v>
      </c>
      <c r="C493" s="24">
        <v>1.235743241240761E-3</v>
      </c>
      <c r="D493" s="24">
        <v>7.3841483754388313E-5</v>
      </c>
      <c r="E493" s="24">
        <v>4.7426582364987757E-3</v>
      </c>
      <c r="F493" s="24">
        <v>1.5607131102622906E-3</v>
      </c>
      <c r="G493" s="24">
        <v>0.59298107652356735</v>
      </c>
      <c r="H493" s="24">
        <v>0.26896449606784989</v>
      </c>
      <c r="I493" s="53">
        <v>2263.0923998580324</v>
      </c>
      <c r="J493" s="53">
        <v>5269.624169493597</v>
      </c>
      <c r="K493" s="24">
        <v>0.74331164097034264</v>
      </c>
      <c r="L493" s="24">
        <v>0.93233305135069267</v>
      </c>
      <c r="M493" s="24">
        <v>0.91401574638972938</v>
      </c>
      <c r="O493" s="53">
        <v>4.3666176890948751</v>
      </c>
      <c r="P493" s="54">
        <v>21287.167338647214</v>
      </c>
      <c r="Q493" s="54">
        <v>4.5829882812349734</v>
      </c>
      <c r="R493" s="54">
        <v>41219.239760749202</v>
      </c>
      <c r="S493" s="54">
        <v>0.21637059214009824</v>
      </c>
      <c r="T493" s="54">
        <v>19932.072422101988</v>
      </c>
      <c r="V493" s="69">
        <f t="shared" si="44"/>
        <v>852036.37048032787</v>
      </c>
      <c r="W493" s="69">
        <f t="shared" si="45"/>
        <v>875378.41648624546</v>
      </c>
      <c r="X493" s="69">
        <f t="shared" si="42"/>
        <v>23342.046005917658</v>
      </c>
      <c r="Z493" s="68">
        <f t="shared" si="46"/>
        <v>0</v>
      </c>
      <c r="AA493" s="68">
        <f t="shared" si="47"/>
        <v>1</v>
      </c>
      <c r="AB493" s="68">
        <f t="shared" si="43"/>
        <v>1</v>
      </c>
    </row>
    <row r="494" spans="1:28" x14ac:dyDescent="0.25">
      <c r="A494">
        <v>489</v>
      </c>
      <c r="C494" s="24">
        <v>2.5833855930066389E-6</v>
      </c>
      <c r="D494" s="24">
        <v>4.565008639656587E-3</v>
      </c>
      <c r="E494" s="24">
        <v>6.5564212836655145E-8</v>
      </c>
      <c r="F494" s="24">
        <v>5.8837609889894615E-5</v>
      </c>
      <c r="G494" s="24">
        <v>0.58089118345805124</v>
      </c>
      <c r="H494" s="24">
        <v>0.1864961664393342</v>
      </c>
      <c r="I494" s="53">
        <v>1999.4110595819614</v>
      </c>
      <c r="J494" s="53">
        <v>5516.1533890101382</v>
      </c>
      <c r="K494" s="24">
        <v>0.53713991957933138</v>
      </c>
      <c r="L494" s="24">
        <v>0.93740676026570047</v>
      </c>
      <c r="M494" s="24">
        <v>0.88543570649934455</v>
      </c>
      <c r="O494" s="53">
        <v>4.1689498536946061</v>
      </c>
      <c r="P494" s="54">
        <v>16286.104800470108</v>
      </c>
      <c r="Q494" s="54">
        <v>4.5935783262097658</v>
      </c>
      <c r="R494" s="54">
        <v>25058.991126975281</v>
      </c>
      <c r="S494" s="54">
        <v>0.42462847251515967</v>
      </c>
      <c r="T494" s="54">
        <v>8772.8863265051732</v>
      </c>
      <c r="V494" s="69">
        <f t="shared" si="44"/>
        <v>817503.86593845114</v>
      </c>
      <c r="W494" s="69">
        <f t="shared" si="45"/>
        <v>893656.67411497794</v>
      </c>
      <c r="X494" s="69">
        <f t="shared" si="42"/>
        <v>76152.808176526756</v>
      </c>
      <c r="Z494" s="68">
        <f t="shared" si="46"/>
        <v>0</v>
      </c>
      <c r="AA494" s="68">
        <f t="shared" si="47"/>
        <v>1</v>
      </c>
      <c r="AB494" s="68">
        <f t="shared" si="43"/>
        <v>1</v>
      </c>
    </row>
    <row r="495" spans="1:28" x14ac:dyDescent="0.25">
      <c r="A495">
        <v>490</v>
      </c>
      <c r="C495" s="24">
        <v>4.3070622760313926E-3</v>
      </c>
      <c r="D495" s="24">
        <v>8.2188713824208337E-3</v>
      </c>
      <c r="E495" s="24">
        <v>1.2185807918285718E-12</v>
      </c>
      <c r="F495" s="24">
        <v>1.8685415953050954E-2</v>
      </c>
      <c r="G495" s="24">
        <v>0.51251304340659232</v>
      </c>
      <c r="H495" s="24">
        <v>0.27059777276696406</v>
      </c>
      <c r="I495" s="53">
        <v>2505.032668710242</v>
      </c>
      <c r="J495" s="53">
        <v>4970.4367610758673</v>
      </c>
      <c r="K495" s="24">
        <v>0.49563588624567501</v>
      </c>
      <c r="L495" s="24">
        <v>0.86707978562350319</v>
      </c>
      <c r="M495" s="24">
        <v>0.84110134247383195</v>
      </c>
      <c r="O495" s="53">
        <v>3.9577803061250769</v>
      </c>
      <c r="P495" s="54">
        <v>11943.399566098075</v>
      </c>
      <c r="Q495" s="54">
        <v>4.0936100124562183</v>
      </c>
      <c r="R495" s="54">
        <v>36051.695175908848</v>
      </c>
      <c r="S495" s="54">
        <v>0.13582970633114133</v>
      </c>
      <c r="T495" s="54">
        <v>24108.295609810775</v>
      </c>
      <c r="V495" s="69">
        <f t="shared" si="44"/>
        <v>779612.66165891732</v>
      </c>
      <c r="W495" s="69">
        <f t="shared" si="45"/>
        <v>782670.30731533479</v>
      </c>
      <c r="X495" s="69">
        <f t="shared" si="42"/>
        <v>3057.6456564174914</v>
      </c>
      <c r="Z495" s="68">
        <f t="shared" si="46"/>
        <v>0</v>
      </c>
      <c r="AA495" s="68">
        <f t="shared" si="47"/>
        <v>1</v>
      </c>
      <c r="AB495" s="68">
        <f t="shared" si="43"/>
        <v>1</v>
      </c>
    </row>
    <row r="496" spans="1:28" x14ac:dyDescent="0.25">
      <c r="A496">
        <v>491</v>
      </c>
      <c r="C496" s="24">
        <v>3.1992960142218676E-5</v>
      </c>
      <c r="D496" s="24">
        <v>9.3052888367679E-6</v>
      </c>
      <c r="E496" s="24">
        <v>1.846972723442623E-17</v>
      </c>
      <c r="F496" s="24">
        <v>1.8917636208702904E-3</v>
      </c>
      <c r="G496" s="24">
        <v>0.50115612870514969</v>
      </c>
      <c r="H496" s="24">
        <v>0.25476092263789962</v>
      </c>
      <c r="I496" s="53">
        <v>1416.6545002676301</v>
      </c>
      <c r="J496" s="53">
        <v>4211.332431543281</v>
      </c>
      <c r="K496" s="24">
        <v>0.47028375767837149</v>
      </c>
      <c r="L496" s="24">
        <v>0.97187874150080522</v>
      </c>
      <c r="M496" s="24">
        <v>0.85455477910267508</v>
      </c>
      <c r="O496" s="53">
        <v>4.3713738172575844</v>
      </c>
      <c r="P496" s="54">
        <v>12885.517558831531</v>
      </c>
      <c r="Q496" s="54">
        <v>4.6766070846318595</v>
      </c>
      <c r="R496" s="54">
        <v>35219.319507896849</v>
      </c>
      <c r="S496" s="54">
        <v>0.30523326737427503</v>
      </c>
      <c r="T496" s="54">
        <v>22333.801949065317</v>
      </c>
      <c r="V496" s="69">
        <f t="shared" si="44"/>
        <v>861389.24589268537</v>
      </c>
      <c r="W496" s="69">
        <f t="shared" si="45"/>
        <v>900102.09741847496</v>
      </c>
      <c r="X496" s="69">
        <f t="shared" si="42"/>
        <v>38712.851525789687</v>
      </c>
      <c r="Z496" s="68">
        <f t="shared" si="46"/>
        <v>0</v>
      </c>
      <c r="AA496" s="68">
        <f t="shared" si="47"/>
        <v>1</v>
      </c>
      <c r="AB496" s="68">
        <f t="shared" si="43"/>
        <v>1</v>
      </c>
    </row>
    <row r="497" spans="1:28" x14ac:dyDescent="0.25">
      <c r="A497">
        <v>492</v>
      </c>
      <c r="C497" s="24">
        <v>1.3751489365330549E-2</v>
      </c>
      <c r="D497" s="24">
        <v>2.9049879752724556E-4</v>
      </c>
      <c r="E497" s="24">
        <v>6.3403710059972695E-9</v>
      </c>
      <c r="F497" s="24">
        <v>5.5167002428759995E-31</v>
      </c>
      <c r="G497" s="24">
        <v>0.55549515068077504</v>
      </c>
      <c r="H497" s="24">
        <v>0.30776918946691045</v>
      </c>
      <c r="I497" s="53">
        <v>2755.4114708962647</v>
      </c>
      <c r="J497" s="53">
        <v>6117.1473620075831</v>
      </c>
      <c r="K497" s="24">
        <v>0.66594744990098442</v>
      </c>
      <c r="L497" s="24">
        <v>0.63161697790318516</v>
      </c>
      <c r="M497" s="24">
        <v>0.86235545357314081</v>
      </c>
      <c r="O497" s="53">
        <v>3.2259607413723179</v>
      </c>
      <c r="P497" s="54">
        <v>17276.378021559234</v>
      </c>
      <c r="Q497" s="54">
        <v>3.1737474576359008</v>
      </c>
      <c r="R497" s="54">
        <v>47074.468504644909</v>
      </c>
      <c r="S497" s="54">
        <v>-5.2213283736417093E-2</v>
      </c>
      <c r="T497" s="54">
        <v>29798.090483085674</v>
      </c>
      <c r="V497" s="69">
        <f t="shared" si="44"/>
        <v>627915.77025290439</v>
      </c>
      <c r="W497" s="69">
        <f t="shared" si="45"/>
        <v>587675.02302253526</v>
      </c>
      <c r="X497" s="69">
        <f t="shared" si="42"/>
        <v>-40240.747230369096</v>
      </c>
      <c r="Z497" s="68">
        <f t="shared" si="46"/>
        <v>1</v>
      </c>
      <c r="AA497" s="68">
        <f t="shared" si="47"/>
        <v>0</v>
      </c>
      <c r="AB497" s="68">
        <f t="shared" si="43"/>
        <v>0</v>
      </c>
    </row>
    <row r="498" spans="1:28" x14ac:dyDescent="0.25">
      <c r="A498">
        <v>493</v>
      </c>
      <c r="C498" s="24">
        <v>3.3389094199006042E-2</v>
      </c>
      <c r="D498" s="24">
        <v>3.0201604173253293E-7</v>
      </c>
      <c r="E498" s="24">
        <v>1.1427915086152341E-16</v>
      </c>
      <c r="F498" s="24">
        <v>3.5853926466222763E-4</v>
      </c>
      <c r="G498" s="24">
        <v>0.4877105904651361</v>
      </c>
      <c r="H498" s="24">
        <v>0.27471072408185226</v>
      </c>
      <c r="I498" s="53">
        <v>1830.0005700813194</v>
      </c>
      <c r="J498" s="53">
        <v>4215.5293164737941</v>
      </c>
      <c r="K498" s="24">
        <v>0.52015840717758921</v>
      </c>
      <c r="L498" s="24">
        <v>0.88944923591459446</v>
      </c>
      <c r="M498" s="24">
        <v>0.82629429909219909</v>
      </c>
      <c r="O498" s="53">
        <v>4.0886041224000609</v>
      </c>
      <c r="P498" s="54">
        <v>19898.801848333846</v>
      </c>
      <c r="Q498" s="54">
        <v>4.3055600416988309</v>
      </c>
      <c r="R498" s="54">
        <v>38006.797123495453</v>
      </c>
      <c r="S498" s="54">
        <v>0.21695591929877001</v>
      </c>
      <c r="T498" s="54">
        <v>18107.995275161607</v>
      </c>
      <c r="V498" s="69">
        <f t="shared" si="44"/>
        <v>797822.02263167838</v>
      </c>
      <c r="W498" s="69">
        <f t="shared" si="45"/>
        <v>823105.21121627069</v>
      </c>
      <c r="X498" s="69">
        <f t="shared" si="42"/>
        <v>25283.188584592397</v>
      </c>
      <c r="Z498" s="68">
        <f t="shared" si="46"/>
        <v>0</v>
      </c>
      <c r="AA498" s="68">
        <f t="shared" si="47"/>
        <v>1</v>
      </c>
      <c r="AB498" s="68">
        <f t="shared" si="43"/>
        <v>1</v>
      </c>
    </row>
    <row r="499" spans="1:28" x14ac:dyDescent="0.25">
      <c r="A499">
        <v>494</v>
      </c>
      <c r="C499" s="24">
        <v>7.9058631739498017E-7</v>
      </c>
      <c r="D499" s="24">
        <v>6.8367979884869002E-6</v>
      </c>
      <c r="E499" s="24">
        <v>5.1668167983197138E-29</v>
      </c>
      <c r="F499" s="24">
        <v>4.3773785232369503E-18</v>
      </c>
      <c r="G499" s="24">
        <v>0.56238575488970033</v>
      </c>
      <c r="H499" s="24">
        <v>0.31948127711017349</v>
      </c>
      <c r="I499" s="53">
        <v>2037.9479969484669</v>
      </c>
      <c r="J499" s="53">
        <v>6131.9316920926076</v>
      </c>
      <c r="K499" s="24">
        <v>0.75737369316649461</v>
      </c>
      <c r="L499" s="24">
        <v>0.84231659650791213</v>
      </c>
      <c r="M499" s="24">
        <v>0.78516921470640599</v>
      </c>
      <c r="O499" s="53">
        <v>4.1085620083435028</v>
      </c>
      <c r="P499" s="54">
        <v>17420.403184581923</v>
      </c>
      <c r="Q499" s="54">
        <v>4.171835193403802</v>
      </c>
      <c r="R499" s="54">
        <v>41535.993030558282</v>
      </c>
      <c r="S499" s="54">
        <v>6.327318506029922E-2</v>
      </c>
      <c r="T499" s="54">
        <v>24115.589845976359</v>
      </c>
      <c r="V499" s="69">
        <f t="shared" si="44"/>
        <v>804291.99848411873</v>
      </c>
      <c r="W499" s="69">
        <f t="shared" si="45"/>
        <v>792831.04565020208</v>
      </c>
      <c r="X499" s="69">
        <f t="shared" si="42"/>
        <v>-11460.952833916515</v>
      </c>
      <c r="Z499" s="68">
        <f t="shared" si="46"/>
        <v>1</v>
      </c>
      <c r="AA499" s="68">
        <f t="shared" si="47"/>
        <v>0</v>
      </c>
      <c r="AB499" s="68">
        <f t="shared" si="43"/>
        <v>0</v>
      </c>
    </row>
    <row r="500" spans="1:28" x14ac:dyDescent="0.25">
      <c r="A500">
        <v>495</v>
      </c>
      <c r="C500" s="24">
        <v>1.8660741708536488E-2</v>
      </c>
      <c r="D500" s="24">
        <v>6.9340856368374187E-5</v>
      </c>
      <c r="E500" s="24">
        <v>7.2156573409309921E-5</v>
      </c>
      <c r="F500" s="24">
        <v>8.9333845123581385E-47</v>
      </c>
      <c r="G500" s="24">
        <v>0.5380885158306965</v>
      </c>
      <c r="H500" s="24">
        <v>0.21029093405459853</v>
      </c>
      <c r="I500" s="53">
        <v>2026.3801693043292</v>
      </c>
      <c r="J500" s="53">
        <v>4818.4836782516104</v>
      </c>
      <c r="K500" s="24">
        <v>0.46232119475645145</v>
      </c>
      <c r="L500" s="24">
        <v>0.93307597523338193</v>
      </c>
      <c r="M500" s="24">
        <v>0.79405964513910876</v>
      </c>
      <c r="O500" s="53">
        <v>4.1193272553625677</v>
      </c>
      <c r="P500" s="54">
        <v>16645.02299248943</v>
      </c>
      <c r="Q500" s="54">
        <v>4.5400167685438682</v>
      </c>
      <c r="R500" s="54">
        <v>38394.661458424103</v>
      </c>
      <c r="S500" s="54">
        <v>0.42068951318130043</v>
      </c>
      <c r="T500" s="54">
        <v>21749.638465934673</v>
      </c>
      <c r="V500" s="69">
        <f t="shared" si="44"/>
        <v>807220.4280800242</v>
      </c>
      <c r="W500" s="69">
        <f t="shared" si="45"/>
        <v>869608.69225034956</v>
      </c>
      <c r="X500" s="69">
        <f t="shared" si="42"/>
        <v>62388.264170325412</v>
      </c>
      <c r="Z500" s="68">
        <f t="shared" si="46"/>
        <v>0</v>
      </c>
      <c r="AA500" s="68">
        <f t="shared" si="47"/>
        <v>1</v>
      </c>
      <c r="AB500" s="68">
        <f t="shared" si="43"/>
        <v>1</v>
      </c>
    </row>
    <row r="501" spans="1:28" x14ac:dyDescent="0.25">
      <c r="A501">
        <v>496</v>
      </c>
      <c r="C501" s="24">
        <v>1.2752330173038118E-4</v>
      </c>
      <c r="D501" s="24">
        <v>5.1315284042496856E-3</v>
      </c>
      <c r="E501" s="24">
        <v>2.4376348717325413E-9</v>
      </c>
      <c r="F501" s="24">
        <v>1.5631862193994796E-20</v>
      </c>
      <c r="G501" s="24">
        <v>0.56696566903556656</v>
      </c>
      <c r="H501" s="24">
        <v>0.29585601775757708</v>
      </c>
      <c r="I501" s="53">
        <v>2314.5542489750737</v>
      </c>
      <c r="J501" s="53">
        <v>5100.0387896073771</v>
      </c>
      <c r="K501" s="24">
        <v>0.79375751442352127</v>
      </c>
      <c r="L501" s="24">
        <v>0.67939375510805267</v>
      </c>
      <c r="M501" s="24">
        <v>0.80847682037892865</v>
      </c>
      <c r="O501" s="53">
        <v>3.5380746487570507</v>
      </c>
      <c r="P501" s="54">
        <v>15814.454636955303</v>
      </c>
      <c r="Q501" s="54">
        <v>3.4492205815310744</v>
      </c>
      <c r="R501" s="54">
        <v>41200.992513970297</v>
      </c>
      <c r="S501" s="54">
        <v>-8.885406722597633E-2</v>
      </c>
      <c r="T501" s="54">
        <v>25386.537877014995</v>
      </c>
      <c r="V501" s="69">
        <f t="shared" si="44"/>
        <v>691800.47511445486</v>
      </c>
      <c r="W501" s="69">
        <f t="shared" si="45"/>
        <v>648643.12379224459</v>
      </c>
      <c r="X501" s="69">
        <f t="shared" si="42"/>
        <v>-43157.351322210263</v>
      </c>
      <c r="Z501" s="68">
        <f t="shared" si="46"/>
        <v>1</v>
      </c>
      <c r="AA501" s="68">
        <f t="shared" si="47"/>
        <v>0</v>
      </c>
      <c r="AB501" s="68">
        <f t="shared" si="43"/>
        <v>0</v>
      </c>
    </row>
    <row r="502" spans="1:28" x14ac:dyDescent="0.25">
      <c r="A502">
        <v>497</v>
      </c>
      <c r="C502" s="24">
        <v>8.7078883065777476E-8</v>
      </c>
      <c r="D502" s="24">
        <v>5.2869201935095145E-3</v>
      </c>
      <c r="E502" s="24">
        <v>4.7264758100133259E-22</v>
      </c>
      <c r="F502" s="24">
        <v>6.1928240313591232E-13</v>
      </c>
      <c r="G502" s="24">
        <v>0.66200726487520301</v>
      </c>
      <c r="H502" s="24">
        <v>0.38001618919943958</v>
      </c>
      <c r="I502" s="53">
        <v>1986.4885410692775</v>
      </c>
      <c r="J502" s="53">
        <v>4739.2557404959452</v>
      </c>
      <c r="K502" s="24">
        <v>0.79412908052623088</v>
      </c>
      <c r="L502" s="24">
        <v>0.94185461946833915</v>
      </c>
      <c r="M502" s="24">
        <v>0.92127872009524481</v>
      </c>
      <c r="O502" s="53">
        <v>4.4567209903609637</v>
      </c>
      <c r="P502" s="54">
        <v>15052.38459512959</v>
      </c>
      <c r="Q502" s="54">
        <v>4.6186724147427674</v>
      </c>
      <c r="R502" s="54">
        <v>56010.983002987661</v>
      </c>
      <c r="S502" s="54">
        <v>0.16195142438180365</v>
      </c>
      <c r="T502" s="54">
        <v>40958.598407858073</v>
      </c>
      <c r="V502" s="69">
        <f t="shared" si="44"/>
        <v>876291.81347706309</v>
      </c>
      <c r="W502" s="69">
        <f t="shared" si="45"/>
        <v>867723.49994556583</v>
      </c>
      <c r="X502" s="69">
        <f t="shared" si="42"/>
        <v>-8568.3135314973406</v>
      </c>
      <c r="Z502" s="68">
        <f t="shared" si="46"/>
        <v>1</v>
      </c>
      <c r="AA502" s="68">
        <f t="shared" si="47"/>
        <v>0</v>
      </c>
      <c r="AB502" s="68">
        <f t="shared" si="43"/>
        <v>0</v>
      </c>
    </row>
    <row r="503" spans="1:28" x14ac:dyDescent="0.25">
      <c r="A503">
        <v>498</v>
      </c>
      <c r="C503" s="24">
        <v>2.7119726608408123E-7</v>
      </c>
      <c r="D503" s="24">
        <v>1.1898854861088208E-7</v>
      </c>
      <c r="E503" s="24">
        <v>1.3584688929313415E-12</v>
      </c>
      <c r="F503" s="24">
        <v>1.2565955195657984E-47</v>
      </c>
      <c r="G503" s="24">
        <v>0.50146622363009596</v>
      </c>
      <c r="H503" s="24">
        <v>0.31626771200724257</v>
      </c>
      <c r="I503" s="53">
        <v>2049.6604679222473</v>
      </c>
      <c r="J503" s="53">
        <v>5612.3326544247884</v>
      </c>
      <c r="K503" s="24">
        <v>0.54844210130324889</v>
      </c>
      <c r="L503" s="24">
        <v>0.98581981116381123</v>
      </c>
      <c r="M503" s="24">
        <v>0.88175109174045097</v>
      </c>
      <c r="O503" s="53">
        <v>4.5030996191874584</v>
      </c>
      <c r="P503" s="54">
        <v>12753.815931626594</v>
      </c>
      <c r="Q503" s="54">
        <v>4.7274253936349204</v>
      </c>
      <c r="R503" s="54">
        <v>37898.240844725726</v>
      </c>
      <c r="S503" s="54">
        <v>0.22432577444746205</v>
      </c>
      <c r="T503" s="54">
        <v>25144.42491309913</v>
      </c>
      <c r="V503" s="69">
        <f t="shared" si="44"/>
        <v>887866.10790586506</v>
      </c>
      <c r="W503" s="69">
        <f t="shared" si="45"/>
        <v>907586.83788225835</v>
      </c>
      <c r="X503" s="69">
        <f t="shared" si="42"/>
        <v>19720.729976393282</v>
      </c>
      <c r="Z503" s="68">
        <f t="shared" si="46"/>
        <v>0</v>
      </c>
      <c r="AA503" s="68">
        <f t="shared" si="47"/>
        <v>1</v>
      </c>
      <c r="AB503" s="68">
        <f t="shared" si="43"/>
        <v>1</v>
      </c>
    </row>
    <row r="504" spans="1:28" x14ac:dyDescent="0.25">
      <c r="A504">
        <v>499</v>
      </c>
      <c r="C504" s="24">
        <v>9.3746719683318602E-4</v>
      </c>
      <c r="D504" s="24">
        <v>1.2575884522902311E-5</v>
      </c>
      <c r="E504" s="24">
        <v>1.1433941402526023E-40</v>
      </c>
      <c r="F504" s="24">
        <v>6.7732794151176279E-8</v>
      </c>
      <c r="G504" s="24">
        <v>0.57624395964945629</v>
      </c>
      <c r="H504" s="24">
        <v>0.38081497645170592</v>
      </c>
      <c r="I504" s="53">
        <v>1637.2966984940499</v>
      </c>
      <c r="J504" s="53">
        <v>5381.9807155995859</v>
      </c>
      <c r="K504" s="24">
        <v>0.69769869851525945</v>
      </c>
      <c r="L504" s="24">
        <v>0.85582644391432405</v>
      </c>
      <c r="M504" s="24">
        <v>0.93186937829221561</v>
      </c>
      <c r="O504" s="53">
        <v>4.0783918848780418</v>
      </c>
      <c r="P504" s="54">
        <v>16699.081563529577</v>
      </c>
      <c r="Q504" s="54">
        <v>4.1826647735210978</v>
      </c>
      <c r="R504" s="54">
        <v>50904.932331781849</v>
      </c>
      <c r="S504" s="54">
        <v>0.10427288864305595</v>
      </c>
      <c r="T504" s="54">
        <v>34205.850768252276</v>
      </c>
      <c r="V504" s="69">
        <f t="shared" si="44"/>
        <v>798979.29541207885</v>
      </c>
      <c r="W504" s="69">
        <f t="shared" si="45"/>
        <v>785628.02237243776</v>
      </c>
      <c r="X504" s="69">
        <f t="shared" si="42"/>
        <v>-13351.273039641084</v>
      </c>
      <c r="Z504" s="68">
        <f t="shared" si="46"/>
        <v>1</v>
      </c>
      <c r="AA504" s="68">
        <f t="shared" si="47"/>
        <v>0</v>
      </c>
      <c r="AB504" s="68">
        <f t="shared" si="43"/>
        <v>0</v>
      </c>
    </row>
    <row r="505" spans="1:28" x14ac:dyDescent="0.25">
      <c r="A505">
        <v>500</v>
      </c>
      <c r="C505" s="24">
        <v>3.3608375935572976E-2</v>
      </c>
      <c r="D505" s="24">
        <v>2.5055220774838571E-2</v>
      </c>
      <c r="E505" s="24">
        <v>7.3944562014593984E-6</v>
      </c>
      <c r="F505" s="24">
        <v>7.3696860312288948E-4</v>
      </c>
      <c r="G505" s="24">
        <v>0.6232961570955402</v>
      </c>
      <c r="H505" s="24">
        <v>0.21819572655446817</v>
      </c>
      <c r="I505" s="53">
        <v>2383.7597304561009</v>
      </c>
      <c r="J505" s="53">
        <v>5466.7850102917209</v>
      </c>
      <c r="K505" s="24">
        <v>0.61537874598222497</v>
      </c>
      <c r="L505" s="24">
        <v>0.97270536480869729</v>
      </c>
      <c r="M505" s="24">
        <v>0.77593417145859622</v>
      </c>
      <c r="O505" s="53">
        <v>4.2663835022348255</v>
      </c>
      <c r="P505" s="54">
        <v>16582.455575149448</v>
      </c>
      <c r="Q505" s="54">
        <v>4.7297486860254887</v>
      </c>
      <c r="R505" s="54">
        <v>43631.83681126892</v>
      </c>
      <c r="S505" s="54">
        <v>0.46336518379066316</v>
      </c>
      <c r="T505" s="54">
        <v>27049.381236119472</v>
      </c>
      <c r="V505" s="69">
        <f t="shared" si="44"/>
        <v>836694.24487181567</v>
      </c>
      <c r="W505" s="69">
        <f t="shared" si="45"/>
        <v>902317.90039382875</v>
      </c>
      <c r="X505" s="69">
        <f t="shared" si="42"/>
        <v>65623.655522013156</v>
      </c>
      <c r="Z505" s="68">
        <f t="shared" si="46"/>
        <v>0</v>
      </c>
      <c r="AA505" s="68">
        <f t="shared" si="47"/>
        <v>1</v>
      </c>
      <c r="AB505" s="68">
        <f t="shared" si="43"/>
        <v>1</v>
      </c>
    </row>
    <row r="506" spans="1:28" x14ac:dyDescent="0.25">
      <c r="A506">
        <v>501</v>
      </c>
      <c r="C506" s="24">
        <v>7.3121142368681724E-5</v>
      </c>
      <c r="D506" s="24">
        <v>5.3394060526963383E-3</v>
      </c>
      <c r="E506" s="24">
        <v>2.3698495296345181E-53</v>
      </c>
      <c r="F506" s="24">
        <v>1.301357239040503E-30</v>
      </c>
      <c r="G506" s="24">
        <v>0.49901721132765231</v>
      </c>
      <c r="H506" s="24">
        <v>0.2125124811613307</v>
      </c>
      <c r="I506" s="53">
        <v>1572.2380562714945</v>
      </c>
      <c r="J506" s="53">
        <v>5012.7348330389532</v>
      </c>
      <c r="K506" s="24">
        <v>0.67160336441056945</v>
      </c>
      <c r="L506" s="24">
        <v>0.98283923680834251</v>
      </c>
      <c r="M506" s="24">
        <v>0.8927775141383234</v>
      </c>
      <c r="O506" s="53">
        <v>4.6137215135957197</v>
      </c>
      <c r="P506" s="54">
        <v>14245.923042788731</v>
      </c>
      <c r="Q506" s="54">
        <v>4.8273535296620249</v>
      </c>
      <c r="R506" s="54">
        <v>32762.563448254459</v>
      </c>
      <c r="S506" s="54">
        <v>0.21363201606630522</v>
      </c>
      <c r="T506" s="54">
        <v>18516.640405465729</v>
      </c>
      <c r="V506" s="69">
        <f t="shared" si="44"/>
        <v>908498.37967635517</v>
      </c>
      <c r="W506" s="69">
        <f t="shared" si="45"/>
        <v>932708.14248415048</v>
      </c>
      <c r="X506" s="69">
        <f t="shared" si="42"/>
        <v>24209.762807795316</v>
      </c>
      <c r="Z506" s="68">
        <f t="shared" si="46"/>
        <v>0</v>
      </c>
      <c r="AA506" s="68">
        <f t="shared" si="47"/>
        <v>1</v>
      </c>
      <c r="AB506" s="68">
        <f t="shared" si="43"/>
        <v>1</v>
      </c>
    </row>
    <row r="507" spans="1:28" x14ac:dyDescent="0.25">
      <c r="A507">
        <v>502</v>
      </c>
      <c r="C507" s="24">
        <v>1.1185247732527603E-2</v>
      </c>
      <c r="D507" s="24">
        <v>4.6762822348214161E-3</v>
      </c>
      <c r="E507" s="24">
        <v>1.188249876060679E-21</v>
      </c>
      <c r="F507" s="24">
        <v>3.4736738544635838E-21</v>
      </c>
      <c r="G507" s="24">
        <v>0.49075771147095937</v>
      </c>
      <c r="H507" s="24">
        <v>0.12982607524316936</v>
      </c>
      <c r="I507" s="53">
        <v>1851.1582109324115</v>
      </c>
      <c r="J507" s="53">
        <v>4437.5080683692595</v>
      </c>
      <c r="K507" s="24">
        <v>0.66834950357925127</v>
      </c>
      <c r="L507" s="24">
        <v>0.8109701548867978</v>
      </c>
      <c r="M507" s="24">
        <v>0.62567682113607692</v>
      </c>
      <c r="O507" s="53">
        <v>3.9047806789446957</v>
      </c>
      <c r="P507" s="54">
        <v>17180.587378815468</v>
      </c>
      <c r="Q507" s="54">
        <v>4.0287429530951702</v>
      </c>
      <c r="R507" s="54">
        <v>17418.481785000065</v>
      </c>
      <c r="S507" s="54">
        <v>0.12396227415047445</v>
      </c>
      <c r="T507" s="54">
        <v>237.89440618459776</v>
      </c>
      <c r="V507" s="69">
        <f t="shared" si="44"/>
        <v>763775.54841012368</v>
      </c>
      <c r="W507" s="69">
        <f t="shared" si="45"/>
        <v>788330.10883403395</v>
      </c>
      <c r="X507" s="69">
        <f t="shared" si="42"/>
        <v>24554.56042391029</v>
      </c>
      <c r="Z507" s="68">
        <f t="shared" si="46"/>
        <v>0</v>
      </c>
      <c r="AA507" s="68">
        <f t="shared" si="47"/>
        <v>1</v>
      </c>
      <c r="AB507" s="68">
        <f t="shared" si="43"/>
        <v>1</v>
      </c>
    </row>
    <row r="508" spans="1:28" x14ac:dyDescent="0.25">
      <c r="A508">
        <v>503</v>
      </c>
      <c r="C508" s="24">
        <v>2.937112049264945E-4</v>
      </c>
      <c r="D508" s="24">
        <v>2.8606196223362107E-4</v>
      </c>
      <c r="E508" s="24">
        <v>3.8215419011389251E-5</v>
      </c>
      <c r="F508" s="24">
        <v>3.361051793276295E-21</v>
      </c>
      <c r="G508" s="24">
        <v>0.55311068908773287</v>
      </c>
      <c r="H508" s="24">
        <v>0.32901812924463281</v>
      </c>
      <c r="I508" s="53">
        <v>1962.5032372916826</v>
      </c>
      <c r="J508" s="53">
        <v>4738.5105873213988</v>
      </c>
      <c r="K508" s="24">
        <v>0.67472548620435813</v>
      </c>
      <c r="L508" s="24">
        <v>0.87147642474196707</v>
      </c>
      <c r="M508" s="24">
        <v>0.80105898778584406</v>
      </c>
      <c r="O508" s="53">
        <v>4.126009441022541</v>
      </c>
      <c r="P508" s="54">
        <v>16953.562927283667</v>
      </c>
      <c r="Q508" s="54">
        <v>4.2611412074092865</v>
      </c>
      <c r="R508" s="54">
        <v>45578.059408108173</v>
      </c>
      <c r="S508" s="54">
        <v>0.13513176638674551</v>
      </c>
      <c r="T508" s="54">
        <v>28624.496480824506</v>
      </c>
      <c r="V508" s="69">
        <f t="shared" si="44"/>
        <v>808248.32527722453</v>
      </c>
      <c r="W508" s="69">
        <f t="shared" si="45"/>
        <v>806650.18207374914</v>
      </c>
      <c r="X508" s="69">
        <f t="shared" si="42"/>
        <v>-1598.1432034754034</v>
      </c>
      <c r="Z508" s="68">
        <f t="shared" si="46"/>
        <v>1</v>
      </c>
      <c r="AA508" s="68">
        <f t="shared" si="47"/>
        <v>0</v>
      </c>
      <c r="AB508" s="68">
        <f t="shared" si="43"/>
        <v>0</v>
      </c>
    </row>
    <row r="509" spans="1:28" x14ac:dyDescent="0.25">
      <c r="A509">
        <v>504</v>
      </c>
      <c r="C509" s="24">
        <v>1.5830867424692505E-8</v>
      </c>
      <c r="D509" s="24">
        <v>9.2042168888101038E-5</v>
      </c>
      <c r="E509" s="24">
        <v>2.6345088333101785E-9</v>
      </c>
      <c r="F509" s="24">
        <v>5.8648783607395671E-9</v>
      </c>
      <c r="G509" s="24">
        <v>0.54973441347456431</v>
      </c>
      <c r="H509" s="24">
        <v>0.29130758569080506</v>
      </c>
      <c r="I509" s="53">
        <v>2103.8758590988236</v>
      </c>
      <c r="J509" s="53">
        <v>5059.9732271719849</v>
      </c>
      <c r="K509" s="24">
        <v>0.73188551551858327</v>
      </c>
      <c r="L509" s="24">
        <v>0.96137206247452578</v>
      </c>
      <c r="M509" s="24">
        <v>0.76936675173044378</v>
      </c>
      <c r="O509" s="53">
        <v>4.5407446572894319</v>
      </c>
      <c r="P509" s="54">
        <v>18177.294591687238</v>
      </c>
      <c r="Q509" s="54">
        <v>4.7126133984867762</v>
      </c>
      <c r="R509" s="54">
        <v>43960.722875332787</v>
      </c>
      <c r="S509" s="54">
        <v>0.1718687411973443</v>
      </c>
      <c r="T509" s="54">
        <v>25783.42828364555</v>
      </c>
      <c r="V509" s="69">
        <f t="shared" si="44"/>
        <v>889971.63686619909</v>
      </c>
      <c r="W509" s="69">
        <f t="shared" si="45"/>
        <v>898561.95682202245</v>
      </c>
      <c r="X509" s="69">
        <f t="shared" si="42"/>
        <v>8590.3199558233136</v>
      </c>
      <c r="Z509" s="68">
        <f t="shared" si="46"/>
        <v>0</v>
      </c>
      <c r="AA509" s="68">
        <f t="shared" si="47"/>
        <v>1</v>
      </c>
      <c r="AB509" s="68">
        <f t="shared" si="43"/>
        <v>1</v>
      </c>
    </row>
    <row r="510" spans="1:28" x14ac:dyDescent="0.25">
      <c r="A510">
        <v>505</v>
      </c>
      <c r="C510" s="24">
        <v>4.1078972885977283E-4</v>
      </c>
      <c r="D510" s="24">
        <v>1.0438342417493029E-3</v>
      </c>
      <c r="E510" s="24">
        <v>2.8215479163880064E-18</v>
      </c>
      <c r="F510" s="24">
        <v>7.3864956933622494E-5</v>
      </c>
      <c r="G510" s="24">
        <v>0.59329708696137373</v>
      </c>
      <c r="H510" s="24">
        <v>0.31916914839395982</v>
      </c>
      <c r="I510" s="53">
        <v>1470.2687723750525</v>
      </c>
      <c r="J510" s="53">
        <v>4324.3049019007485</v>
      </c>
      <c r="K510" s="24">
        <v>0.66134044117491497</v>
      </c>
      <c r="L510" s="24">
        <v>0.94969108594237717</v>
      </c>
      <c r="M510" s="24">
        <v>0.77654112188303781</v>
      </c>
      <c r="O510" s="53">
        <v>4.3580948960408259</v>
      </c>
      <c r="P510" s="54">
        <v>19323.048256172897</v>
      </c>
      <c r="Q510" s="54">
        <v>4.6120558735649162</v>
      </c>
      <c r="R510" s="54">
        <v>42100.295246561771</v>
      </c>
      <c r="S510" s="54">
        <v>0.2539609775240903</v>
      </c>
      <c r="T510" s="54">
        <v>22777.246990388874</v>
      </c>
      <c r="V510" s="69">
        <f t="shared" si="44"/>
        <v>852295.93095199228</v>
      </c>
      <c r="W510" s="69">
        <f t="shared" si="45"/>
        <v>880310.87946642144</v>
      </c>
      <c r="X510" s="69">
        <f t="shared" si="42"/>
        <v>28014.948514429187</v>
      </c>
      <c r="Z510" s="68">
        <f t="shared" si="46"/>
        <v>0</v>
      </c>
      <c r="AA510" s="68">
        <f t="shared" si="47"/>
        <v>1</v>
      </c>
      <c r="AB510" s="68">
        <f t="shared" si="43"/>
        <v>1</v>
      </c>
    </row>
    <row r="511" spans="1:28" x14ac:dyDescent="0.25">
      <c r="A511">
        <v>506</v>
      </c>
      <c r="C511" s="24">
        <v>1.3227940386794645E-2</v>
      </c>
      <c r="D511" s="24">
        <v>5.9996711692102872E-6</v>
      </c>
      <c r="E511" s="24">
        <v>2.0907275910531098E-11</v>
      </c>
      <c r="F511" s="24">
        <v>3.5059478140865593E-28</v>
      </c>
      <c r="G511" s="24">
        <v>0.51425005507572985</v>
      </c>
      <c r="H511" s="24">
        <v>0.39312793023602344</v>
      </c>
      <c r="I511" s="53">
        <v>1658.0506121836229</v>
      </c>
      <c r="J511" s="53">
        <v>3822.3671070885243</v>
      </c>
      <c r="K511" s="24">
        <v>0.79311426603897384</v>
      </c>
      <c r="L511" s="24">
        <v>0.92926485642364431</v>
      </c>
      <c r="M511" s="24">
        <v>0.91118147806703464</v>
      </c>
      <c r="O511" s="53">
        <v>4.5054096235862913</v>
      </c>
      <c r="P511" s="54">
        <v>15036.864036898445</v>
      </c>
      <c r="Q511" s="54">
        <v>4.5589541842409842</v>
      </c>
      <c r="R511" s="54">
        <v>56931.612111747694</v>
      </c>
      <c r="S511" s="54">
        <v>5.354456065469293E-2</v>
      </c>
      <c r="T511" s="54">
        <v>41894.748074849253</v>
      </c>
      <c r="V511" s="69">
        <f t="shared" si="44"/>
        <v>886045.06068035972</v>
      </c>
      <c r="W511" s="69">
        <f t="shared" si="45"/>
        <v>854859.22473644908</v>
      </c>
      <c r="X511" s="69">
        <f t="shared" si="42"/>
        <v>-31185.835943910664</v>
      </c>
      <c r="Z511" s="68">
        <f t="shared" si="46"/>
        <v>1</v>
      </c>
      <c r="AA511" s="68">
        <f t="shared" si="47"/>
        <v>0</v>
      </c>
      <c r="AB511" s="68">
        <f t="shared" si="43"/>
        <v>0</v>
      </c>
    </row>
    <row r="512" spans="1:28" x14ac:dyDescent="0.25">
      <c r="A512">
        <v>507</v>
      </c>
      <c r="C512" s="24">
        <v>2.6532352416130944E-3</v>
      </c>
      <c r="D512" s="24">
        <v>6.84156366215527E-3</v>
      </c>
      <c r="E512" s="24">
        <v>3.427319740057098E-40</v>
      </c>
      <c r="F512" s="24">
        <v>1.7802162835731409E-40</v>
      </c>
      <c r="G512" s="24">
        <v>0.55984760976518366</v>
      </c>
      <c r="H512" s="24">
        <v>0.25835074104722866</v>
      </c>
      <c r="I512" s="53">
        <v>1570.8549188981483</v>
      </c>
      <c r="J512" s="53">
        <v>4391.0589327492189</v>
      </c>
      <c r="K512" s="24">
        <v>0.80168755195541985</v>
      </c>
      <c r="L512" s="24">
        <v>0.98020803703311166</v>
      </c>
      <c r="M512" s="24">
        <v>0.91147743336351617</v>
      </c>
      <c r="O512" s="53">
        <v>4.6848875394477938</v>
      </c>
      <c r="P512" s="54">
        <v>15915.008183674949</v>
      </c>
      <c r="Q512" s="54">
        <v>4.8359752928005122</v>
      </c>
      <c r="R512" s="54">
        <v>30092.863874835693</v>
      </c>
      <c r="S512" s="54">
        <v>0.1510877533527184</v>
      </c>
      <c r="T512" s="54">
        <v>14177.855691160745</v>
      </c>
      <c r="V512" s="69">
        <f t="shared" si="44"/>
        <v>921062.49970588379</v>
      </c>
      <c r="W512" s="69">
        <f t="shared" si="45"/>
        <v>937102.19468526682</v>
      </c>
      <c r="X512" s="69">
        <f t="shared" si="42"/>
        <v>16039.694979382937</v>
      </c>
      <c r="Z512" s="68">
        <f t="shared" si="46"/>
        <v>0</v>
      </c>
      <c r="AA512" s="68">
        <f t="shared" si="47"/>
        <v>1</v>
      </c>
      <c r="AB512" s="68">
        <f t="shared" si="43"/>
        <v>1</v>
      </c>
    </row>
    <row r="513" spans="1:28" x14ac:dyDescent="0.25">
      <c r="A513">
        <v>508</v>
      </c>
      <c r="C513" s="24">
        <v>9.6110705704202104E-3</v>
      </c>
      <c r="D513" s="24">
        <v>2.7961535137588367E-3</v>
      </c>
      <c r="E513" s="24">
        <v>4.6253403218621258E-7</v>
      </c>
      <c r="F513" s="24">
        <v>5.4334798850500447E-16</v>
      </c>
      <c r="G513" s="24">
        <v>0.51444519937642452</v>
      </c>
      <c r="H513" s="24">
        <v>0.38162272511643125</v>
      </c>
      <c r="I513" s="53">
        <v>1957.1070636174718</v>
      </c>
      <c r="J513" s="53">
        <v>5371.884632344334</v>
      </c>
      <c r="K513" s="24">
        <v>0.67272277574818151</v>
      </c>
      <c r="L513" s="24">
        <v>0.95350854355014714</v>
      </c>
      <c r="M513" s="24">
        <v>0.86983532184937717</v>
      </c>
      <c r="O513" s="53">
        <v>4.4741764800848163</v>
      </c>
      <c r="P513" s="54">
        <v>14962.204658967306</v>
      </c>
      <c r="Q513" s="54">
        <v>4.5940022117214525</v>
      </c>
      <c r="R513" s="54">
        <v>58848.004082162159</v>
      </c>
      <c r="S513" s="54">
        <v>0.11982573163663623</v>
      </c>
      <c r="T513" s="54">
        <v>43885.799423194854</v>
      </c>
      <c r="V513" s="69">
        <f t="shared" si="44"/>
        <v>879873.09135799587</v>
      </c>
      <c r="W513" s="69">
        <f t="shared" si="45"/>
        <v>859952.43826212839</v>
      </c>
      <c r="X513" s="69">
        <f t="shared" si="42"/>
        <v>-19920.653095867608</v>
      </c>
      <c r="Z513" s="68">
        <f t="shared" si="46"/>
        <v>1</v>
      </c>
      <c r="AA513" s="68">
        <f t="shared" si="47"/>
        <v>0</v>
      </c>
      <c r="AB513" s="68">
        <f t="shared" si="43"/>
        <v>0</v>
      </c>
    </row>
    <row r="514" spans="1:28" x14ac:dyDescent="0.25">
      <c r="A514">
        <v>509</v>
      </c>
      <c r="C514" s="24">
        <v>5.0022524683698277E-3</v>
      </c>
      <c r="D514" s="24">
        <v>1.3332973131455761E-3</v>
      </c>
      <c r="E514" s="24">
        <v>2.8160651588393648E-10</v>
      </c>
      <c r="F514" s="24">
        <v>2.1657581084443836E-19</v>
      </c>
      <c r="G514" s="24">
        <v>0.53715757039360179</v>
      </c>
      <c r="H514" s="24">
        <v>0.28184291548401841</v>
      </c>
      <c r="I514" s="53">
        <v>1941.9955343632193</v>
      </c>
      <c r="J514" s="53">
        <v>4515.4197434605767</v>
      </c>
      <c r="K514" s="24">
        <v>0.44694584984150693</v>
      </c>
      <c r="L514" s="24">
        <v>0.74776630236017838</v>
      </c>
      <c r="M514" s="24">
        <v>0.95950360107599653</v>
      </c>
      <c r="O514" s="53">
        <v>3.4142283968241793</v>
      </c>
      <c r="P514" s="54">
        <v>13915.300564047353</v>
      </c>
      <c r="Q514" s="54">
        <v>3.6227950832816034</v>
      </c>
      <c r="R514" s="54">
        <v>36901.858245752352</v>
      </c>
      <c r="S514" s="54">
        <v>0.20856668645742404</v>
      </c>
      <c r="T514" s="54">
        <v>22986.557681704999</v>
      </c>
      <c r="V514" s="69">
        <f t="shared" si="44"/>
        <v>668930.37880078855</v>
      </c>
      <c r="W514" s="69">
        <f t="shared" si="45"/>
        <v>687657.15841056826</v>
      </c>
      <c r="X514" s="69">
        <f t="shared" si="42"/>
        <v>18726.779609779809</v>
      </c>
      <c r="Z514" s="68">
        <f t="shared" si="46"/>
        <v>0</v>
      </c>
      <c r="AA514" s="68">
        <f t="shared" si="47"/>
        <v>1</v>
      </c>
      <c r="AB514" s="68">
        <f t="shared" si="43"/>
        <v>1</v>
      </c>
    </row>
    <row r="515" spans="1:28" x14ac:dyDescent="0.25">
      <c r="A515">
        <v>510</v>
      </c>
      <c r="C515" s="24">
        <v>4.664639369662103E-6</v>
      </c>
      <c r="D515" s="24">
        <v>5.1417578434131972E-3</v>
      </c>
      <c r="E515" s="24">
        <v>1.152265352828441E-2</v>
      </c>
      <c r="F515" s="24">
        <v>9.2702738681564056E-16</v>
      </c>
      <c r="G515" s="24">
        <v>0.43737518385476626</v>
      </c>
      <c r="H515" s="24">
        <v>0.33455747204840081</v>
      </c>
      <c r="I515" s="53">
        <v>2245.4319024745669</v>
      </c>
      <c r="J515" s="53">
        <v>4944.1596420149581</v>
      </c>
      <c r="K515" s="24">
        <v>0.54875356373334028</v>
      </c>
      <c r="L515" s="24">
        <v>0.88736172701354943</v>
      </c>
      <c r="M515" s="24">
        <v>0.87155203384280644</v>
      </c>
      <c r="O515" s="53">
        <v>4.1008277449566908</v>
      </c>
      <c r="P515" s="54">
        <v>11533.28496422207</v>
      </c>
      <c r="Q515" s="54">
        <v>4.2667340990047506</v>
      </c>
      <c r="R515" s="54">
        <v>40342.468332120698</v>
      </c>
      <c r="S515" s="54">
        <v>0.16590635404805987</v>
      </c>
      <c r="T515" s="54">
        <v>28809.18336789863</v>
      </c>
      <c r="V515" s="69">
        <f t="shared" si="44"/>
        <v>808632.26402711601</v>
      </c>
      <c r="W515" s="69">
        <f t="shared" si="45"/>
        <v>813004.35146882944</v>
      </c>
      <c r="X515" s="69">
        <f t="shared" si="42"/>
        <v>4372.0874417133455</v>
      </c>
      <c r="Z515" s="68">
        <f t="shared" si="46"/>
        <v>0</v>
      </c>
      <c r="AA515" s="68">
        <f t="shared" si="47"/>
        <v>1</v>
      </c>
      <c r="AB515" s="68">
        <f t="shared" si="43"/>
        <v>1</v>
      </c>
    </row>
    <row r="516" spans="1:28" x14ac:dyDescent="0.25">
      <c r="A516">
        <v>511</v>
      </c>
      <c r="C516" s="24">
        <v>7.5224970834453687E-7</v>
      </c>
      <c r="D516" s="24">
        <v>2.8053645480186973E-4</v>
      </c>
      <c r="E516" s="24">
        <v>1.7351001258684205E-41</v>
      </c>
      <c r="F516" s="24">
        <v>3.3140190193555741E-3</v>
      </c>
      <c r="G516" s="24">
        <v>0.60165334513049262</v>
      </c>
      <c r="H516" s="24">
        <v>0.30177992348641713</v>
      </c>
      <c r="I516" s="53">
        <v>1729.5608752314672</v>
      </c>
      <c r="J516" s="53">
        <v>4691.2531196643822</v>
      </c>
      <c r="K516" s="24">
        <v>0.75193266774645728</v>
      </c>
      <c r="L516" s="24">
        <v>0.98874832858093853</v>
      </c>
      <c r="M516" s="24">
        <v>0.97638984569395215</v>
      </c>
      <c r="O516" s="53">
        <v>4.6142593793090745</v>
      </c>
      <c r="P516" s="54">
        <v>16272.656132326101</v>
      </c>
      <c r="Q516" s="54">
        <v>4.8201786984845887</v>
      </c>
      <c r="R516" s="54">
        <v>43510.96023173791</v>
      </c>
      <c r="S516" s="54">
        <v>0.2059193191755142</v>
      </c>
      <c r="T516" s="54">
        <v>27238.304099411809</v>
      </c>
      <c r="V516" s="69">
        <f t="shared" si="44"/>
        <v>906579.21972948883</v>
      </c>
      <c r="W516" s="69">
        <f t="shared" si="45"/>
        <v>920524.77946517977</v>
      </c>
      <c r="X516" s="69">
        <f t="shared" si="42"/>
        <v>13945.559735691033</v>
      </c>
      <c r="Z516" s="68">
        <f t="shared" si="46"/>
        <v>0</v>
      </c>
      <c r="AA516" s="68">
        <f t="shared" si="47"/>
        <v>1</v>
      </c>
      <c r="AB516" s="68">
        <f t="shared" si="43"/>
        <v>1</v>
      </c>
    </row>
    <row r="517" spans="1:28" x14ac:dyDescent="0.25">
      <c r="A517">
        <v>512</v>
      </c>
      <c r="C517" s="24">
        <v>5.8975243354075779E-5</v>
      </c>
      <c r="D517" s="24">
        <v>4.4875256895808846E-3</v>
      </c>
      <c r="E517" s="24">
        <v>2.5993304056615152E-5</v>
      </c>
      <c r="F517" s="24">
        <v>3.3010085891393766E-20</v>
      </c>
      <c r="G517" s="24">
        <v>0.58249329477156697</v>
      </c>
      <c r="H517" s="24">
        <v>0.22652284611253681</v>
      </c>
      <c r="I517" s="53">
        <v>2127.0735196109413</v>
      </c>
      <c r="J517" s="53">
        <v>6030.1016414239548</v>
      </c>
      <c r="K517" s="24">
        <v>0.70757106948575577</v>
      </c>
      <c r="L517" s="24">
        <v>0.59469225761522715</v>
      </c>
      <c r="M517" s="24">
        <v>0.85025779836895576</v>
      </c>
      <c r="O517" s="53">
        <v>3.120382381592762</v>
      </c>
      <c r="P517" s="54">
        <v>18626.362170688502</v>
      </c>
      <c r="Q517" s="54">
        <v>3.0134792667099113</v>
      </c>
      <c r="R517" s="54">
        <v>31858.675693847843</v>
      </c>
      <c r="S517" s="54">
        <v>-0.10690311488285076</v>
      </c>
      <c r="T517" s="54">
        <v>13232.313523159341</v>
      </c>
      <c r="V517" s="69">
        <f t="shared" si="44"/>
        <v>605450.11414786393</v>
      </c>
      <c r="W517" s="69">
        <f t="shared" si="45"/>
        <v>570837.17764813441</v>
      </c>
      <c r="X517" s="69">
        <f t="shared" si="42"/>
        <v>-34612.936499729491</v>
      </c>
      <c r="Z517" s="68">
        <f t="shared" si="46"/>
        <v>1</v>
      </c>
      <c r="AA517" s="68">
        <f t="shared" si="47"/>
        <v>0</v>
      </c>
      <c r="AB517" s="68">
        <f t="shared" si="43"/>
        <v>0</v>
      </c>
    </row>
    <row r="518" spans="1:28" x14ac:dyDescent="0.25">
      <c r="A518">
        <v>513</v>
      </c>
      <c r="C518" s="24">
        <v>9.6900121569185593E-3</v>
      </c>
      <c r="D518" s="24">
        <v>6.7307202000624052E-4</v>
      </c>
      <c r="E518" s="24">
        <v>1.20171835493732E-6</v>
      </c>
      <c r="F518" s="24">
        <v>8.2333013073920824E-8</v>
      </c>
      <c r="G518" s="24">
        <v>0.51755811456928724</v>
      </c>
      <c r="H518" s="24">
        <v>0.20078074502427246</v>
      </c>
      <c r="I518" s="53">
        <v>2156.0338750592728</v>
      </c>
      <c r="J518" s="53">
        <v>4904.5427331547735</v>
      </c>
      <c r="K518" s="24">
        <v>0.70109536620616342</v>
      </c>
      <c r="L518" s="24">
        <v>0.81597743459392047</v>
      </c>
      <c r="M518" s="24">
        <v>0.84484370047979107</v>
      </c>
      <c r="O518" s="53">
        <v>3.9635117985697774</v>
      </c>
      <c r="P518" s="54">
        <v>20198.648409352147</v>
      </c>
      <c r="Q518" s="54">
        <v>4.0511508357961112</v>
      </c>
      <c r="R518" s="54">
        <v>28424.817597294321</v>
      </c>
      <c r="S518" s="54">
        <v>8.7639037226333816E-2</v>
      </c>
      <c r="T518" s="54">
        <v>8226.1691879421742</v>
      </c>
      <c r="V518" s="69">
        <f t="shared" si="44"/>
        <v>772503.71130460326</v>
      </c>
      <c r="W518" s="69">
        <f t="shared" si="45"/>
        <v>781805.34956192796</v>
      </c>
      <c r="X518" s="69">
        <f t="shared" si="42"/>
        <v>9301.6382573245901</v>
      </c>
      <c r="Z518" s="68">
        <f t="shared" si="46"/>
        <v>0</v>
      </c>
      <c r="AA518" s="68">
        <f t="shared" si="47"/>
        <v>1</v>
      </c>
      <c r="AB518" s="68">
        <f t="shared" si="43"/>
        <v>1</v>
      </c>
    </row>
    <row r="519" spans="1:28" x14ac:dyDescent="0.25">
      <c r="A519">
        <v>514</v>
      </c>
      <c r="C519" s="24">
        <v>1.738456502450858E-3</v>
      </c>
      <c r="D519" s="24">
        <v>1.3925818300958293E-3</v>
      </c>
      <c r="E519" s="24">
        <v>6.8808621003641622E-21</v>
      </c>
      <c r="F519" s="24">
        <v>7.0286270802806213E-20</v>
      </c>
      <c r="G519" s="24">
        <v>0.45721352500064716</v>
      </c>
      <c r="H519" s="24">
        <v>0.2762114557853409</v>
      </c>
      <c r="I519" s="53">
        <v>1971.2839840944064</v>
      </c>
      <c r="J519" s="53">
        <v>5681.6782229483806</v>
      </c>
      <c r="K519" s="24">
        <v>0.60050468844380833</v>
      </c>
      <c r="L519" s="24">
        <v>0.88773263036426342</v>
      </c>
      <c r="M519" s="24">
        <v>0.37347438901970281</v>
      </c>
      <c r="O519" s="53">
        <v>4.1946764317360081</v>
      </c>
      <c r="P519" s="54">
        <v>10996.955171184763</v>
      </c>
      <c r="Q519" s="54">
        <v>4.3246575111803249</v>
      </c>
      <c r="R519" s="54">
        <v>44623.337610780407</v>
      </c>
      <c r="S519" s="54">
        <v>0.1299810794443168</v>
      </c>
      <c r="T519" s="54">
        <v>33626.382439595647</v>
      </c>
      <c r="V519" s="69">
        <f t="shared" si="44"/>
        <v>827938.33117601695</v>
      </c>
      <c r="W519" s="69">
        <f t="shared" si="45"/>
        <v>820308.16462528461</v>
      </c>
      <c r="X519" s="69">
        <f t="shared" ref="X519:X582" si="48">S519*cRatio-T519</f>
        <v>-7630.1665507322869</v>
      </c>
      <c r="Z519" s="68">
        <f t="shared" si="46"/>
        <v>1</v>
      </c>
      <c r="AA519" s="68">
        <f t="shared" si="47"/>
        <v>0</v>
      </c>
      <c r="AB519" s="68">
        <f t="shared" ref="AB519:AB582" si="49">IF(X519&gt;0,1,0)</f>
        <v>0</v>
      </c>
    </row>
    <row r="520" spans="1:28" x14ac:dyDescent="0.25">
      <c r="A520">
        <v>515</v>
      </c>
      <c r="C520" s="24">
        <v>6.6969208572021932E-3</v>
      </c>
      <c r="D520" s="24">
        <v>3.2757373250811553E-4</v>
      </c>
      <c r="E520" s="24">
        <v>2.7034983240592947E-2</v>
      </c>
      <c r="F520" s="24">
        <v>7.049676409259981E-23</v>
      </c>
      <c r="G520" s="24">
        <v>0.46727807011491651</v>
      </c>
      <c r="H520" s="24">
        <v>0.40836924653798667</v>
      </c>
      <c r="I520" s="53">
        <v>1546.026764382801</v>
      </c>
      <c r="J520" s="53">
        <v>4683.7869805938853</v>
      </c>
      <c r="K520" s="24">
        <v>0.48671401244199058</v>
      </c>
      <c r="L520" s="24">
        <v>0.9939932715779769</v>
      </c>
      <c r="M520" s="24">
        <v>0.90370974671058035</v>
      </c>
      <c r="O520" s="53">
        <v>4.3212583365355197</v>
      </c>
      <c r="P520" s="54">
        <v>12388.899267465806</v>
      </c>
      <c r="Q520" s="54">
        <v>4.6235809725449597</v>
      </c>
      <c r="R520" s="54">
        <v>56135.844793864097</v>
      </c>
      <c r="S520" s="54">
        <v>0.30232263600943998</v>
      </c>
      <c r="T520" s="54">
        <v>43746.945526398289</v>
      </c>
      <c r="V520" s="69">
        <f t="shared" si="44"/>
        <v>851862.76803963818</v>
      </c>
      <c r="W520" s="69">
        <f t="shared" si="45"/>
        <v>868580.34971512784</v>
      </c>
      <c r="X520" s="69">
        <f t="shared" si="48"/>
        <v>16717.58167548971</v>
      </c>
      <c r="Z520" s="68">
        <f t="shared" si="46"/>
        <v>0</v>
      </c>
      <c r="AA520" s="68">
        <f t="shared" si="47"/>
        <v>1</v>
      </c>
      <c r="AB520" s="68">
        <f t="shared" si="49"/>
        <v>1</v>
      </c>
    </row>
    <row r="521" spans="1:28" x14ac:dyDescent="0.25">
      <c r="A521">
        <v>516</v>
      </c>
      <c r="C521" s="24">
        <v>4.0606406727503874E-5</v>
      </c>
      <c r="D521" s="24">
        <v>1.2349836954521172E-3</v>
      </c>
      <c r="E521" s="24">
        <v>6.030481414232014E-6</v>
      </c>
      <c r="F521" s="24">
        <v>6.4727100525351071E-30</v>
      </c>
      <c r="G521" s="24">
        <v>0.61427532106581217</v>
      </c>
      <c r="H521" s="24">
        <v>0.27782781224408692</v>
      </c>
      <c r="I521" s="53">
        <v>2483.7297004939005</v>
      </c>
      <c r="J521" s="53">
        <v>6020.3639163053094</v>
      </c>
      <c r="K521" s="24">
        <v>0.60044686902214961</v>
      </c>
      <c r="L521" s="24">
        <v>0.87327472824110108</v>
      </c>
      <c r="M521" s="24">
        <v>0.74407008000957453</v>
      </c>
      <c r="O521" s="53">
        <v>3.9697929400839422</v>
      </c>
      <c r="P521" s="54">
        <v>15910.7504057437</v>
      </c>
      <c r="Q521" s="54">
        <v>4.2605675180739331</v>
      </c>
      <c r="R521" s="54">
        <v>28607.646430198849</v>
      </c>
      <c r="S521" s="54">
        <v>0.29077457798999085</v>
      </c>
      <c r="T521" s="54">
        <v>12696.896024455149</v>
      </c>
      <c r="V521" s="69">
        <f t="shared" si="44"/>
        <v>778047.83761104476</v>
      </c>
      <c r="W521" s="69">
        <f t="shared" si="45"/>
        <v>823505.85718458786</v>
      </c>
      <c r="X521" s="69">
        <f t="shared" si="48"/>
        <v>45458.019573543017</v>
      </c>
      <c r="Z521" s="68">
        <f t="shared" si="46"/>
        <v>0</v>
      </c>
      <c r="AA521" s="68">
        <f t="shared" si="47"/>
        <v>1</v>
      </c>
      <c r="AB521" s="68">
        <f t="shared" si="49"/>
        <v>1</v>
      </c>
    </row>
    <row r="522" spans="1:28" x14ac:dyDescent="0.25">
      <c r="A522">
        <v>517</v>
      </c>
      <c r="C522" s="24">
        <v>1.1222486458276393E-2</v>
      </c>
      <c r="D522" s="24">
        <v>4.9194394102458627E-3</v>
      </c>
      <c r="E522" s="24">
        <v>1.1273507083409129E-7</v>
      </c>
      <c r="F522" s="24">
        <v>2.7246195253624021E-30</v>
      </c>
      <c r="G522" s="24">
        <v>0.54922707560566264</v>
      </c>
      <c r="H522" s="24">
        <v>0.3513486879196781</v>
      </c>
      <c r="I522" s="53">
        <v>1785.9911594885289</v>
      </c>
      <c r="J522" s="53">
        <v>3681.8890912341835</v>
      </c>
      <c r="K522" s="24">
        <v>0.58903241879455726</v>
      </c>
      <c r="L522" s="24">
        <v>0.60633675240907914</v>
      </c>
      <c r="M522" s="24">
        <v>0.95117696154648523</v>
      </c>
      <c r="O522" s="53">
        <v>3.0446414119037071</v>
      </c>
      <c r="P522" s="54">
        <v>11526.721546779767</v>
      </c>
      <c r="Q522" s="54">
        <v>3.0340283751288726</v>
      </c>
      <c r="R522" s="54">
        <v>54401.51234682378</v>
      </c>
      <c r="S522" s="54">
        <v>-1.0613036774834494E-2</v>
      </c>
      <c r="T522" s="54">
        <v>42874.790800044015</v>
      </c>
      <c r="V522" s="69">
        <f t="shared" ref="V522:V585" si="50">O522*cRatio-P522</f>
        <v>597401.5608339617</v>
      </c>
      <c r="W522" s="69">
        <f t="shared" ref="W522:W585" si="51">Q522*cRatio-R522</f>
        <v>552404.1626789507</v>
      </c>
      <c r="X522" s="69">
        <f t="shared" si="48"/>
        <v>-44997.398155010917</v>
      </c>
      <c r="Z522" s="68">
        <f t="shared" ref="Z522:Z585" si="52">IF(MAX(V522:W522)=V522,1,0)</f>
        <v>1</v>
      </c>
      <c r="AA522" s="68">
        <f t="shared" ref="AA522:AA585" si="53">IF(MAX(V522:W522)=W522,1,0)</f>
        <v>0</v>
      </c>
      <c r="AB522" s="68">
        <f t="shared" si="49"/>
        <v>0</v>
      </c>
    </row>
    <row r="523" spans="1:28" x14ac:dyDescent="0.25">
      <c r="A523">
        <v>518</v>
      </c>
      <c r="C523" s="24">
        <v>1.0570107207011903E-3</v>
      </c>
      <c r="D523" s="24">
        <v>1.2221941919163763E-3</v>
      </c>
      <c r="E523" s="24">
        <v>8.5343120017422735E-39</v>
      </c>
      <c r="F523" s="24">
        <v>1.1590218562673726E-8</v>
      </c>
      <c r="G523" s="24">
        <v>0.61787753568718595</v>
      </c>
      <c r="H523" s="24">
        <v>0.25670035751782083</v>
      </c>
      <c r="I523" s="53">
        <v>1844.8145102310548</v>
      </c>
      <c r="J523" s="53">
        <v>4475.4894135184204</v>
      </c>
      <c r="K523" s="24">
        <v>0.52001045049656447</v>
      </c>
      <c r="L523" s="24">
        <v>0.90763382454979802</v>
      </c>
      <c r="M523" s="24">
        <v>0.67048390493290322</v>
      </c>
      <c r="O523" s="53">
        <v>3.9655265734670224</v>
      </c>
      <c r="P523" s="54">
        <v>18051.138572965399</v>
      </c>
      <c r="Q523" s="54">
        <v>4.4026363952122178</v>
      </c>
      <c r="R523" s="54">
        <v>37195.460097177463</v>
      </c>
      <c r="S523" s="54">
        <v>0.43710982174519541</v>
      </c>
      <c r="T523" s="54">
        <v>19144.321524212064</v>
      </c>
      <c r="V523" s="69">
        <f t="shared" si="50"/>
        <v>775054.17612043908</v>
      </c>
      <c r="W523" s="69">
        <f t="shared" si="51"/>
        <v>843331.81894526619</v>
      </c>
      <c r="X523" s="69">
        <f t="shared" si="48"/>
        <v>68277.642824827024</v>
      </c>
      <c r="Z523" s="68">
        <f t="shared" si="52"/>
        <v>0</v>
      </c>
      <c r="AA523" s="68">
        <f t="shared" si="53"/>
        <v>1</v>
      </c>
      <c r="AB523" s="68">
        <f t="shared" si="49"/>
        <v>1</v>
      </c>
    </row>
    <row r="524" spans="1:28" x14ac:dyDescent="0.25">
      <c r="A524">
        <v>519</v>
      </c>
      <c r="C524" s="24">
        <v>2.7650630752011606E-6</v>
      </c>
      <c r="D524" s="24">
        <v>6.435892732631806E-4</v>
      </c>
      <c r="E524" s="24">
        <v>2.4139248848014295E-37</v>
      </c>
      <c r="F524" s="24">
        <v>9.9523278507263058E-11</v>
      </c>
      <c r="G524" s="24">
        <v>0.70617208672298148</v>
      </c>
      <c r="H524" s="24">
        <v>0.35105459884589463</v>
      </c>
      <c r="I524" s="53">
        <v>1852.2689881377005</v>
      </c>
      <c r="J524" s="53">
        <v>4563.8684609760739</v>
      </c>
      <c r="K524" s="24">
        <v>0.71129029072551542</v>
      </c>
      <c r="L524" s="24">
        <v>0.89771306313708255</v>
      </c>
      <c r="M524" s="24">
        <v>0.81113868378251075</v>
      </c>
      <c r="O524" s="53">
        <v>4.1192040740770883</v>
      </c>
      <c r="P524" s="54">
        <v>21413.951840784746</v>
      </c>
      <c r="Q524" s="54">
        <v>4.3878723362066943</v>
      </c>
      <c r="R524" s="54">
        <v>49632.724486851468</v>
      </c>
      <c r="S524" s="54">
        <v>0.26866826212960593</v>
      </c>
      <c r="T524" s="54">
        <v>28218.772646066722</v>
      </c>
      <c r="V524" s="69">
        <f t="shared" si="50"/>
        <v>802426.86297463288</v>
      </c>
      <c r="W524" s="69">
        <f t="shared" si="51"/>
        <v>827941.74275448732</v>
      </c>
      <c r="X524" s="69">
        <f t="shared" si="48"/>
        <v>25514.879779854466</v>
      </c>
      <c r="Z524" s="68">
        <f t="shared" si="52"/>
        <v>0</v>
      </c>
      <c r="AA524" s="68">
        <f t="shared" si="53"/>
        <v>1</v>
      </c>
      <c r="AB524" s="68">
        <f t="shared" si="49"/>
        <v>1</v>
      </c>
    </row>
    <row r="525" spans="1:28" x14ac:dyDescent="0.25">
      <c r="A525">
        <v>520</v>
      </c>
      <c r="C525" s="24">
        <v>8.2782124275015977E-9</v>
      </c>
      <c r="D525" s="24">
        <v>7.937043357931444E-5</v>
      </c>
      <c r="E525" s="24">
        <v>5.8061800346929698E-16</v>
      </c>
      <c r="F525" s="24">
        <v>9.5071755246513295E-20</v>
      </c>
      <c r="G525" s="24">
        <v>0.52413321749348041</v>
      </c>
      <c r="H525" s="24">
        <v>0.15952869948664317</v>
      </c>
      <c r="I525" s="53">
        <v>1579.5818214086039</v>
      </c>
      <c r="J525" s="53">
        <v>3431.1329504767336</v>
      </c>
      <c r="K525" s="24">
        <v>0.55674496914754812</v>
      </c>
      <c r="L525" s="24">
        <v>0.83486524130300499</v>
      </c>
      <c r="M525" s="24">
        <v>0.90540599322549942</v>
      </c>
      <c r="O525" s="53">
        <v>3.8801136911482654</v>
      </c>
      <c r="P525" s="54">
        <v>15603.269922548734</v>
      </c>
      <c r="Q525" s="54">
        <v>4.1215740787277539</v>
      </c>
      <c r="R525" s="54">
        <v>18508.870931973146</v>
      </c>
      <c r="S525" s="54">
        <v>0.24146038757948851</v>
      </c>
      <c r="T525" s="54">
        <v>2905.601009424412</v>
      </c>
      <c r="V525" s="69">
        <f t="shared" si="50"/>
        <v>760419.46830710431</v>
      </c>
      <c r="W525" s="69">
        <f t="shared" si="51"/>
        <v>805805.94481357769</v>
      </c>
      <c r="X525" s="69">
        <f t="shared" si="48"/>
        <v>45386.476506473293</v>
      </c>
      <c r="Z525" s="68">
        <f t="shared" si="52"/>
        <v>0</v>
      </c>
      <c r="AA525" s="68">
        <f t="shared" si="53"/>
        <v>1</v>
      </c>
      <c r="AB525" s="68">
        <f t="shared" si="49"/>
        <v>1</v>
      </c>
    </row>
    <row r="526" spans="1:28" x14ac:dyDescent="0.25">
      <c r="A526">
        <v>521</v>
      </c>
      <c r="C526" s="24">
        <v>6.0609246347473889E-3</v>
      </c>
      <c r="D526" s="24">
        <v>1.3513659451405147E-3</v>
      </c>
      <c r="E526" s="24">
        <v>5.4422022444100548E-12</v>
      </c>
      <c r="F526" s="24">
        <v>2.101907715287706E-32</v>
      </c>
      <c r="G526" s="24">
        <v>0.48057627868870567</v>
      </c>
      <c r="H526" s="24">
        <v>0.20768101621267832</v>
      </c>
      <c r="I526" s="53">
        <v>2484.3813537851711</v>
      </c>
      <c r="J526" s="53">
        <v>6041.7766772466885</v>
      </c>
      <c r="K526" s="24">
        <v>0.79588388125015164</v>
      </c>
      <c r="L526" s="24">
        <v>0.94264638000497647</v>
      </c>
      <c r="M526" s="24">
        <v>0.81358578700516648</v>
      </c>
      <c r="O526" s="53">
        <v>4.5747542532101511</v>
      </c>
      <c r="P526" s="54">
        <v>15098.940919683579</v>
      </c>
      <c r="Q526" s="54">
        <v>4.6737347376444305</v>
      </c>
      <c r="R526" s="54">
        <v>32212.058985225845</v>
      </c>
      <c r="S526" s="54">
        <v>9.8980484434279425E-2</v>
      </c>
      <c r="T526" s="54">
        <v>17113.118065542265</v>
      </c>
      <c r="V526" s="69">
        <f t="shared" si="50"/>
        <v>899851.9097223467</v>
      </c>
      <c r="W526" s="69">
        <f t="shared" si="51"/>
        <v>902534.88854366029</v>
      </c>
      <c r="X526" s="69">
        <f t="shared" si="48"/>
        <v>2682.9788213136198</v>
      </c>
      <c r="Z526" s="68">
        <f t="shared" si="52"/>
        <v>0</v>
      </c>
      <c r="AA526" s="68">
        <f t="shared" si="53"/>
        <v>1</v>
      </c>
      <c r="AB526" s="68">
        <f t="shared" si="49"/>
        <v>1</v>
      </c>
    </row>
    <row r="527" spans="1:28" x14ac:dyDescent="0.25">
      <c r="A527">
        <v>522</v>
      </c>
      <c r="C527" s="24">
        <v>3.9926809731241075E-3</v>
      </c>
      <c r="D527" s="24">
        <v>5.8767664298325245E-4</v>
      </c>
      <c r="E527" s="24">
        <v>1.473697640697047E-6</v>
      </c>
      <c r="F527" s="24">
        <v>1.0955119983862863E-17</v>
      </c>
      <c r="G527" s="24">
        <v>0.51486195839287074</v>
      </c>
      <c r="H527" s="24">
        <v>0.3164570534643445</v>
      </c>
      <c r="I527" s="53">
        <v>2083.7721503924245</v>
      </c>
      <c r="J527" s="53">
        <v>4635.9539693817906</v>
      </c>
      <c r="K527" s="24">
        <v>0.5976510867602487</v>
      </c>
      <c r="L527" s="24">
        <v>0.84700665688015564</v>
      </c>
      <c r="M527" s="24">
        <v>0.81132402254521641</v>
      </c>
      <c r="O527" s="53">
        <v>3.9787958778154153</v>
      </c>
      <c r="P527" s="54">
        <v>12415.201484203877</v>
      </c>
      <c r="Q527" s="54">
        <v>4.1198173220622012</v>
      </c>
      <c r="R527" s="54">
        <v>50696.275697272024</v>
      </c>
      <c r="S527" s="54">
        <v>0.14102144424678587</v>
      </c>
      <c r="T527" s="54">
        <v>38281.074213068146</v>
      </c>
      <c r="V527" s="69">
        <f t="shared" si="50"/>
        <v>783343.97407887911</v>
      </c>
      <c r="W527" s="69">
        <f t="shared" si="51"/>
        <v>773267.18871516816</v>
      </c>
      <c r="X527" s="69">
        <f t="shared" si="48"/>
        <v>-10076.785363710973</v>
      </c>
      <c r="Z527" s="68">
        <f t="shared" si="52"/>
        <v>1</v>
      </c>
      <c r="AA527" s="68">
        <f t="shared" si="53"/>
        <v>0</v>
      </c>
      <c r="AB527" s="68">
        <f t="shared" si="49"/>
        <v>0</v>
      </c>
    </row>
    <row r="528" spans="1:28" x14ac:dyDescent="0.25">
      <c r="A528">
        <v>523</v>
      </c>
      <c r="C528" s="24">
        <v>9.4549136986681266E-10</v>
      </c>
      <c r="D528" s="24">
        <v>4.9694605953188864E-3</v>
      </c>
      <c r="E528" s="24">
        <v>1.1593473799531573E-5</v>
      </c>
      <c r="F528" s="24">
        <v>2.0590536030873352E-5</v>
      </c>
      <c r="G528" s="24">
        <v>0.70650746698587485</v>
      </c>
      <c r="H528" s="24">
        <v>0.35118528066612908</v>
      </c>
      <c r="I528" s="53">
        <v>2506.7207472309692</v>
      </c>
      <c r="J528" s="53">
        <v>5550.9686865006643</v>
      </c>
      <c r="K528" s="24">
        <v>0.61783532417189491</v>
      </c>
      <c r="L528" s="24">
        <v>0.75900133420922111</v>
      </c>
      <c r="M528" s="24">
        <v>0.82903380117520531</v>
      </c>
      <c r="O528" s="53">
        <v>3.514913762498487</v>
      </c>
      <c r="P528" s="54">
        <v>24417.472856387831</v>
      </c>
      <c r="Q528" s="54">
        <v>3.7212913503398339</v>
      </c>
      <c r="R528" s="54">
        <v>65483.372297553447</v>
      </c>
      <c r="S528" s="54">
        <v>0.20637758784134697</v>
      </c>
      <c r="T528" s="54">
        <v>41065.899441165617</v>
      </c>
      <c r="V528" s="69">
        <f t="shared" si="50"/>
        <v>678565.27964330954</v>
      </c>
      <c r="W528" s="69">
        <f t="shared" si="51"/>
        <v>678774.89777041331</v>
      </c>
      <c r="X528" s="69">
        <f t="shared" si="48"/>
        <v>209.61812710377853</v>
      </c>
      <c r="Z528" s="68">
        <f t="shared" si="52"/>
        <v>0</v>
      </c>
      <c r="AA528" s="68">
        <f t="shared" si="53"/>
        <v>1</v>
      </c>
      <c r="AB528" s="68">
        <f t="shared" si="49"/>
        <v>1</v>
      </c>
    </row>
    <row r="529" spans="1:28" x14ac:dyDescent="0.25">
      <c r="A529">
        <v>524</v>
      </c>
      <c r="C529" s="24">
        <v>1.5355598251991065E-2</v>
      </c>
      <c r="D529" s="24">
        <v>1.4909629218553544E-3</v>
      </c>
      <c r="E529" s="24">
        <v>6.4352980303268119E-22</v>
      </c>
      <c r="F529" s="24">
        <v>5.5194698768206255E-29</v>
      </c>
      <c r="G529" s="24">
        <v>0.55530509988798449</v>
      </c>
      <c r="H529" s="24">
        <v>0.27886053578406977</v>
      </c>
      <c r="I529" s="53">
        <v>1996.5698359106339</v>
      </c>
      <c r="J529" s="53">
        <v>5413.4057850655017</v>
      </c>
      <c r="K529" s="24">
        <v>0.71971560807275559</v>
      </c>
      <c r="L529" s="24">
        <v>0.78151691797617251</v>
      </c>
      <c r="M529" s="24">
        <v>0.72301212683432026</v>
      </c>
      <c r="O529" s="53">
        <v>3.8267747034239354</v>
      </c>
      <c r="P529" s="54">
        <v>16812.017143693214</v>
      </c>
      <c r="Q529" s="54">
        <v>3.8831685731073398</v>
      </c>
      <c r="R529" s="54">
        <v>43508.281521208228</v>
      </c>
      <c r="S529" s="54">
        <v>5.6393869683404318E-2</v>
      </c>
      <c r="T529" s="54">
        <v>26696.264377515014</v>
      </c>
      <c r="V529" s="69">
        <f t="shared" si="50"/>
        <v>748542.92354109394</v>
      </c>
      <c r="W529" s="69">
        <f t="shared" si="51"/>
        <v>733125.43310025975</v>
      </c>
      <c r="X529" s="69">
        <f t="shared" si="48"/>
        <v>-15417.49044083415</v>
      </c>
      <c r="Z529" s="68">
        <f t="shared" si="52"/>
        <v>1</v>
      </c>
      <c r="AA529" s="68">
        <f t="shared" si="53"/>
        <v>0</v>
      </c>
      <c r="AB529" s="68">
        <f t="shared" si="49"/>
        <v>0</v>
      </c>
    </row>
    <row r="530" spans="1:28" x14ac:dyDescent="0.25">
      <c r="A530">
        <v>525</v>
      </c>
      <c r="C530" s="24">
        <v>2.3934033221597595E-3</v>
      </c>
      <c r="D530" s="24">
        <v>4.3844452109699228E-3</v>
      </c>
      <c r="E530" s="24">
        <v>8.202216683628194E-12</v>
      </c>
      <c r="F530" s="24">
        <v>1.1879386363489175E-14</v>
      </c>
      <c r="G530" s="24">
        <v>0.51363866105277967</v>
      </c>
      <c r="H530" s="24">
        <v>0.31175932814936314</v>
      </c>
      <c r="I530" s="53">
        <v>1738.9337395278776</v>
      </c>
      <c r="J530" s="53">
        <v>5636.5678782820842</v>
      </c>
      <c r="K530" s="24">
        <v>0.65257859456251643</v>
      </c>
      <c r="L530" s="24">
        <v>0.95125964502816185</v>
      </c>
      <c r="M530" s="24">
        <v>0.44020053540041126</v>
      </c>
      <c r="O530" s="53">
        <v>4.4421291634411455</v>
      </c>
      <c r="P530" s="54">
        <v>12451.642040016601</v>
      </c>
      <c r="Q530" s="54">
        <v>4.6065920001090594</v>
      </c>
      <c r="R530" s="54">
        <v>60815.231372007998</v>
      </c>
      <c r="S530" s="54">
        <v>0.16446283666791395</v>
      </c>
      <c r="T530" s="54">
        <v>48363.589331991396</v>
      </c>
      <c r="V530" s="69">
        <f t="shared" si="50"/>
        <v>875974.19064821245</v>
      </c>
      <c r="W530" s="69">
        <f t="shared" si="51"/>
        <v>860503.16864980396</v>
      </c>
      <c r="X530" s="69">
        <f t="shared" si="48"/>
        <v>-15471.021998408607</v>
      </c>
      <c r="Z530" s="68">
        <f t="shared" si="52"/>
        <v>1</v>
      </c>
      <c r="AA530" s="68">
        <f t="shared" si="53"/>
        <v>0</v>
      </c>
      <c r="AB530" s="68">
        <f t="shared" si="49"/>
        <v>0</v>
      </c>
    </row>
    <row r="531" spans="1:28" x14ac:dyDescent="0.25">
      <c r="A531">
        <v>526</v>
      </c>
      <c r="C531" s="24">
        <v>2.2039466148998876E-2</v>
      </c>
      <c r="D531" s="24">
        <v>1.5316233260052794E-4</v>
      </c>
      <c r="E531" s="24">
        <v>1.2455370068664706E-10</v>
      </c>
      <c r="F531" s="24">
        <v>1.1845674287229496E-33</v>
      </c>
      <c r="G531" s="24">
        <v>0.61767501221930776</v>
      </c>
      <c r="H531" s="24">
        <v>0.22103954137631365</v>
      </c>
      <c r="I531" s="53">
        <v>1880.5650821715474</v>
      </c>
      <c r="J531" s="53">
        <v>5335.0953917145271</v>
      </c>
      <c r="K531" s="24">
        <v>0.70443167561727194</v>
      </c>
      <c r="L531" s="24">
        <v>0.95861619070247372</v>
      </c>
      <c r="M531" s="24">
        <v>0.85079083765769514</v>
      </c>
      <c r="O531" s="53">
        <v>4.3974084786304077</v>
      </c>
      <c r="P531" s="54">
        <v>20904.654817123966</v>
      </c>
      <c r="Q531" s="54">
        <v>4.7208910599953624</v>
      </c>
      <c r="R531" s="54">
        <v>33065.254978964636</v>
      </c>
      <c r="S531" s="54">
        <v>0.32348258136495467</v>
      </c>
      <c r="T531" s="54">
        <v>12160.60016184067</v>
      </c>
      <c r="V531" s="69">
        <f t="shared" si="50"/>
        <v>858577.04090895748</v>
      </c>
      <c r="W531" s="69">
        <f t="shared" si="51"/>
        <v>911112.95702010777</v>
      </c>
      <c r="X531" s="69">
        <f t="shared" si="48"/>
        <v>52535.916111150262</v>
      </c>
      <c r="Z531" s="68">
        <f t="shared" si="52"/>
        <v>0</v>
      </c>
      <c r="AA531" s="68">
        <f t="shared" si="53"/>
        <v>1</v>
      </c>
      <c r="AB531" s="68">
        <f t="shared" si="49"/>
        <v>1</v>
      </c>
    </row>
    <row r="532" spans="1:28" x14ac:dyDescent="0.25">
      <c r="A532">
        <v>527</v>
      </c>
      <c r="C532" s="24">
        <v>6.599680933098151E-4</v>
      </c>
      <c r="D532" s="24">
        <v>2.1355621967665828E-3</v>
      </c>
      <c r="E532" s="24">
        <v>5.2717304537213318E-36</v>
      </c>
      <c r="F532" s="24">
        <v>1.5512484218215752E-16</v>
      </c>
      <c r="G532" s="24">
        <v>0.64037735927552408</v>
      </c>
      <c r="H532" s="24">
        <v>0.21771104242233352</v>
      </c>
      <c r="I532" s="53">
        <v>1832.4381794706896</v>
      </c>
      <c r="J532" s="53">
        <v>5784.8754624930707</v>
      </c>
      <c r="K532" s="24">
        <v>0.81626767736858186</v>
      </c>
      <c r="L532" s="24">
        <v>0.92495018545922181</v>
      </c>
      <c r="M532" s="24">
        <v>0.94495301370666152</v>
      </c>
      <c r="O532" s="53">
        <v>4.4521874841526117</v>
      </c>
      <c r="P532" s="54">
        <v>18783.725577290355</v>
      </c>
      <c r="Q532" s="54">
        <v>4.5947772136384124</v>
      </c>
      <c r="R532" s="54">
        <v>35576.767620593091</v>
      </c>
      <c r="S532" s="54">
        <v>0.14258972948580073</v>
      </c>
      <c r="T532" s="54">
        <v>16793.042043302736</v>
      </c>
      <c r="V532" s="69">
        <f t="shared" si="50"/>
        <v>871653.77125323191</v>
      </c>
      <c r="W532" s="69">
        <f t="shared" si="51"/>
        <v>883378.67510708945</v>
      </c>
      <c r="X532" s="69">
        <f t="shared" si="48"/>
        <v>11724.90385385741</v>
      </c>
      <c r="Z532" s="68">
        <f t="shared" si="52"/>
        <v>0</v>
      </c>
      <c r="AA532" s="68">
        <f t="shared" si="53"/>
        <v>1</v>
      </c>
      <c r="AB532" s="68">
        <f t="shared" si="49"/>
        <v>1</v>
      </c>
    </row>
    <row r="533" spans="1:28" x14ac:dyDescent="0.25">
      <c r="A533">
        <v>528</v>
      </c>
      <c r="C533" s="24">
        <v>8.5310952809834198E-8</v>
      </c>
      <c r="D533" s="24">
        <v>2.3725721721198467E-2</v>
      </c>
      <c r="E533" s="24">
        <v>9.4468693124101142E-15</v>
      </c>
      <c r="F533" s="24">
        <v>1.7675695422280089E-16</v>
      </c>
      <c r="G533" s="24">
        <v>0.45713565731859729</v>
      </c>
      <c r="H533" s="24">
        <v>0.21765087917295534</v>
      </c>
      <c r="I533" s="53">
        <v>1660.2190101600881</v>
      </c>
      <c r="J533" s="53">
        <v>5871.405407543507</v>
      </c>
      <c r="K533" s="24">
        <v>0.51595605476613815</v>
      </c>
      <c r="L533" s="24">
        <v>0.96659975301146639</v>
      </c>
      <c r="M533" s="24">
        <v>0.68314467357332742</v>
      </c>
      <c r="O533" s="53">
        <v>4.4610956809691604</v>
      </c>
      <c r="P533" s="54">
        <v>11613.671381636728</v>
      </c>
      <c r="Q533" s="54">
        <v>4.6670997733940887</v>
      </c>
      <c r="R533" s="54">
        <v>29589.789485925448</v>
      </c>
      <c r="S533" s="54">
        <v>0.20600409242492823</v>
      </c>
      <c r="T533" s="54">
        <v>17976.118104288718</v>
      </c>
      <c r="V533" s="69">
        <f t="shared" si="50"/>
        <v>880605.46481219528</v>
      </c>
      <c r="W533" s="69">
        <f t="shared" si="51"/>
        <v>903830.16519289231</v>
      </c>
      <c r="X533" s="69">
        <f t="shared" si="48"/>
        <v>23224.70038069693</v>
      </c>
      <c r="Z533" s="68">
        <f t="shared" si="52"/>
        <v>0</v>
      </c>
      <c r="AA533" s="68">
        <f t="shared" si="53"/>
        <v>1</v>
      </c>
      <c r="AB533" s="68">
        <f t="shared" si="49"/>
        <v>1</v>
      </c>
    </row>
    <row r="534" spans="1:28" x14ac:dyDescent="0.25">
      <c r="A534">
        <v>529</v>
      </c>
      <c r="C534" s="24">
        <v>2.1531988277714267E-5</v>
      </c>
      <c r="D534" s="24">
        <v>2.5213870804381422E-3</v>
      </c>
      <c r="E534" s="24">
        <v>1.0957975950160249E-23</v>
      </c>
      <c r="F534" s="24">
        <v>3.2998260612981944E-5</v>
      </c>
      <c r="G534" s="24">
        <v>0.63779363147637969</v>
      </c>
      <c r="H534" s="24">
        <v>0.14566162364927837</v>
      </c>
      <c r="I534" s="53">
        <v>1983.9960814427109</v>
      </c>
      <c r="J534" s="53">
        <v>5577.8962691381957</v>
      </c>
      <c r="K534" s="24">
        <v>0.72855250304561048</v>
      </c>
      <c r="L534" s="24">
        <v>0.91067382327644419</v>
      </c>
      <c r="M534" s="24">
        <v>0.84383156029645301</v>
      </c>
      <c r="O534" s="53">
        <v>4.2665102183027788</v>
      </c>
      <c r="P534" s="54">
        <v>17710.757799993007</v>
      </c>
      <c r="Q534" s="54">
        <v>4.5211975297686715</v>
      </c>
      <c r="R534" s="54">
        <v>18421.271238976202</v>
      </c>
      <c r="S534" s="54">
        <v>0.25468731146589274</v>
      </c>
      <c r="T534" s="54">
        <v>710.51343898319465</v>
      </c>
      <c r="V534" s="69">
        <f t="shared" si="50"/>
        <v>835591.2858605627</v>
      </c>
      <c r="W534" s="69">
        <f t="shared" si="51"/>
        <v>885818.23471475812</v>
      </c>
      <c r="X534" s="69">
        <f t="shared" si="48"/>
        <v>50226.948854195354</v>
      </c>
      <c r="Z534" s="68">
        <f t="shared" si="52"/>
        <v>0</v>
      </c>
      <c r="AA534" s="68">
        <f t="shared" si="53"/>
        <v>1</v>
      </c>
      <c r="AB534" s="68">
        <f t="shared" si="49"/>
        <v>1</v>
      </c>
    </row>
    <row r="535" spans="1:28" x14ac:dyDescent="0.25">
      <c r="A535">
        <v>530</v>
      </c>
      <c r="C535" s="24">
        <v>2.2710497187452104E-11</v>
      </c>
      <c r="D535" s="24">
        <v>9.3039711519127181E-6</v>
      </c>
      <c r="E535" s="24">
        <v>2.4757973449140991E-12</v>
      </c>
      <c r="F535" s="24">
        <v>6.3238303482648917E-13</v>
      </c>
      <c r="G535" s="24">
        <v>0.69515641093808966</v>
      </c>
      <c r="H535" s="24">
        <v>0.21707841542856543</v>
      </c>
      <c r="I535" s="53">
        <v>1701.4062785595208</v>
      </c>
      <c r="J535" s="53">
        <v>5098.9703904630624</v>
      </c>
      <c r="K535" s="24">
        <v>0.78527643823265425</v>
      </c>
      <c r="L535" s="24">
        <v>0.76295479646510234</v>
      </c>
      <c r="M535" s="24">
        <v>0.98241136881679103</v>
      </c>
      <c r="O535" s="53">
        <v>3.8574124780142323</v>
      </c>
      <c r="P535" s="54">
        <v>21827.708491757217</v>
      </c>
      <c r="Q535" s="54">
        <v>3.820972373329262</v>
      </c>
      <c r="R535" s="54">
        <v>38021.46334983124</v>
      </c>
      <c r="S535" s="54">
        <v>-3.6440104684970276E-2</v>
      </c>
      <c r="T535" s="54">
        <v>16193.754858074022</v>
      </c>
      <c r="V535" s="69">
        <f t="shared" si="50"/>
        <v>749654.78711108933</v>
      </c>
      <c r="W535" s="69">
        <f t="shared" si="51"/>
        <v>726173.01131602109</v>
      </c>
      <c r="X535" s="69">
        <f t="shared" si="48"/>
        <v>-23481.775795068075</v>
      </c>
      <c r="Z535" s="68">
        <f t="shared" si="52"/>
        <v>1</v>
      </c>
      <c r="AA535" s="68">
        <f t="shared" si="53"/>
        <v>0</v>
      </c>
      <c r="AB535" s="68">
        <f t="shared" si="49"/>
        <v>0</v>
      </c>
    </row>
    <row r="536" spans="1:28" x14ac:dyDescent="0.25">
      <c r="A536">
        <v>531</v>
      </c>
      <c r="C536" s="24">
        <v>4.5399674391380263E-2</v>
      </c>
      <c r="D536" s="24">
        <v>7.4607278147869468E-5</v>
      </c>
      <c r="E536" s="24">
        <v>1.85783832762354E-10</v>
      </c>
      <c r="F536" s="24">
        <v>1.0947823884918763E-45</v>
      </c>
      <c r="G536" s="24">
        <v>0.49458548263914925</v>
      </c>
      <c r="H536" s="24">
        <v>0.17922250332093481</v>
      </c>
      <c r="I536" s="53">
        <v>1761.1337594952945</v>
      </c>
      <c r="J536" s="53">
        <v>4866.46330101894</v>
      </c>
      <c r="K536" s="24">
        <v>0.71849441159695404</v>
      </c>
      <c r="L536" s="24">
        <v>0.83519582710527551</v>
      </c>
      <c r="M536" s="24">
        <v>0.49817810670290069</v>
      </c>
      <c r="O536" s="53">
        <v>3.9425398661241626</v>
      </c>
      <c r="P536" s="54">
        <v>14462.806342435106</v>
      </c>
      <c r="Q536" s="54">
        <v>4.1503547940562662</v>
      </c>
      <c r="R536" s="54">
        <v>31960.805148455256</v>
      </c>
      <c r="S536" s="54">
        <v>0.20781492793210354</v>
      </c>
      <c r="T536" s="54">
        <v>17497.99880602015</v>
      </c>
      <c r="V536" s="69">
        <f t="shared" si="50"/>
        <v>774045.16688239749</v>
      </c>
      <c r="W536" s="69">
        <f t="shared" si="51"/>
        <v>798110.15366279799</v>
      </c>
      <c r="X536" s="69">
        <f t="shared" si="48"/>
        <v>24064.986780400555</v>
      </c>
      <c r="Z536" s="68">
        <f t="shared" si="52"/>
        <v>0</v>
      </c>
      <c r="AA536" s="68">
        <f t="shared" si="53"/>
        <v>1</v>
      </c>
      <c r="AB536" s="68">
        <f t="shared" si="49"/>
        <v>1</v>
      </c>
    </row>
    <row r="537" spans="1:28" x14ac:dyDescent="0.25">
      <c r="A537">
        <v>532</v>
      </c>
      <c r="C537" s="24">
        <v>3.745708590410786E-5</v>
      </c>
      <c r="D537" s="24">
        <v>1.4224987454565241E-3</v>
      </c>
      <c r="E537" s="24">
        <v>8.1635635040822052E-7</v>
      </c>
      <c r="F537" s="24">
        <v>2.2415469480563388E-9</v>
      </c>
      <c r="G537" s="24">
        <v>0.68523797994840485</v>
      </c>
      <c r="H537" s="24">
        <v>0.18565061658009163</v>
      </c>
      <c r="I537" s="53">
        <v>1565.6405239940373</v>
      </c>
      <c r="J537" s="53">
        <v>4445.2634752586127</v>
      </c>
      <c r="K537" s="24">
        <v>0.64578501946845135</v>
      </c>
      <c r="L537" s="24">
        <v>0.88739628398248138</v>
      </c>
      <c r="M537" s="24">
        <v>0.87367839148743021</v>
      </c>
      <c r="O537" s="53">
        <v>3.9904468588116342</v>
      </c>
      <c r="P537" s="54">
        <v>18219.025182546175</v>
      </c>
      <c r="Q537" s="54">
        <v>4.3817980807145425</v>
      </c>
      <c r="R537" s="54">
        <v>24206.066446389268</v>
      </c>
      <c r="S537" s="54">
        <v>0.39135122190290828</v>
      </c>
      <c r="T537" s="54">
        <v>5987.0412638430935</v>
      </c>
      <c r="V537" s="69">
        <f t="shared" si="50"/>
        <v>779870.34657978057</v>
      </c>
      <c r="W537" s="69">
        <f t="shared" si="51"/>
        <v>852153.54969651916</v>
      </c>
      <c r="X537" s="69">
        <f t="shared" si="48"/>
        <v>72283.203116738558</v>
      </c>
      <c r="Z537" s="68">
        <f t="shared" si="52"/>
        <v>0</v>
      </c>
      <c r="AA537" s="68">
        <f t="shared" si="53"/>
        <v>1</v>
      </c>
      <c r="AB537" s="68">
        <f t="shared" si="49"/>
        <v>1</v>
      </c>
    </row>
    <row r="538" spans="1:28" x14ac:dyDescent="0.25">
      <c r="A538">
        <v>533</v>
      </c>
      <c r="C538" s="24">
        <v>9.7943635350512529E-7</v>
      </c>
      <c r="D538" s="24">
        <v>1.768061212782551E-4</v>
      </c>
      <c r="E538" s="24">
        <v>3.2246036042776883E-29</v>
      </c>
      <c r="F538" s="24">
        <v>9.4478670672663382E-31</v>
      </c>
      <c r="G538" s="24">
        <v>0.55593804161603377</v>
      </c>
      <c r="H538" s="24">
        <v>0.27836164262850849</v>
      </c>
      <c r="I538" s="53">
        <v>2238.3896014545339</v>
      </c>
      <c r="J538" s="53">
        <v>5704.6674432449609</v>
      </c>
      <c r="K538" s="24">
        <v>0.6950232238276981</v>
      </c>
      <c r="L538" s="24">
        <v>0.76593210179607174</v>
      </c>
      <c r="M538" s="24">
        <v>0.82402437425479436</v>
      </c>
      <c r="O538" s="53">
        <v>3.7456017589184953</v>
      </c>
      <c r="P538" s="54">
        <v>15516.838303536606</v>
      </c>
      <c r="Q538" s="54">
        <v>3.8024198233613054</v>
      </c>
      <c r="R538" s="54">
        <v>32556.943875676603</v>
      </c>
      <c r="S538" s="54">
        <v>5.6818064442810012E-2</v>
      </c>
      <c r="T538" s="54">
        <v>17040.105572139997</v>
      </c>
      <c r="V538" s="69">
        <f t="shared" si="50"/>
        <v>733603.51348016248</v>
      </c>
      <c r="W538" s="69">
        <f t="shared" si="51"/>
        <v>727927.02079658443</v>
      </c>
      <c r="X538" s="69">
        <f t="shared" si="48"/>
        <v>-5676.4926835779952</v>
      </c>
      <c r="Z538" s="68">
        <f t="shared" si="52"/>
        <v>1</v>
      </c>
      <c r="AA538" s="68">
        <f t="shared" si="53"/>
        <v>0</v>
      </c>
      <c r="AB538" s="68">
        <f t="shared" si="49"/>
        <v>0</v>
      </c>
    </row>
    <row r="539" spans="1:28" x14ac:dyDescent="0.25">
      <c r="A539">
        <v>534</v>
      </c>
      <c r="C539" s="24">
        <v>6.4651302494325824E-2</v>
      </c>
      <c r="D539" s="24">
        <v>1.9065420366349349E-5</v>
      </c>
      <c r="E539" s="24">
        <v>2.9160009995133198E-23</v>
      </c>
      <c r="F539" s="24">
        <v>6.7050704149285156E-4</v>
      </c>
      <c r="G539" s="24">
        <v>0.53926174770924273</v>
      </c>
      <c r="H539" s="24">
        <v>0.38041134819786659</v>
      </c>
      <c r="I539" s="53">
        <v>2164.6679357547173</v>
      </c>
      <c r="J539" s="53">
        <v>5881.9584512649608</v>
      </c>
      <c r="K539" s="24">
        <v>0.50041901460562654</v>
      </c>
      <c r="L539" s="24">
        <v>0.81976278197673913</v>
      </c>
      <c r="M539" s="24">
        <v>0.99254994414281517</v>
      </c>
      <c r="O539" s="53">
        <v>3.8362343505576728</v>
      </c>
      <c r="P539" s="54">
        <v>19232.315340839588</v>
      </c>
      <c r="Q539" s="54">
        <v>3.9004351318561352</v>
      </c>
      <c r="R539" s="54">
        <v>70677.215778922982</v>
      </c>
      <c r="S539" s="54">
        <v>6.4200781298462406E-2</v>
      </c>
      <c r="T539" s="54">
        <v>51444.900438083394</v>
      </c>
      <c r="V539" s="69">
        <f t="shared" si="50"/>
        <v>748014.55477069505</v>
      </c>
      <c r="W539" s="69">
        <f t="shared" si="51"/>
        <v>709409.81059230398</v>
      </c>
      <c r="X539" s="69">
        <f t="shared" si="48"/>
        <v>-38604.744178390916</v>
      </c>
      <c r="Z539" s="68">
        <f t="shared" si="52"/>
        <v>1</v>
      </c>
      <c r="AA539" s="68">
        <f t="shared" si="53"/>
        <v>0</v>
      </c>
      <c r="AB539" s="68">
        <f t="shared" si="49"/>
        <v>0</v>
      </c>
    </row>
    <row r="540" spans="1:28" x14ac:dyDescent="0.25">
      <c r="A540">
        <v>535</v>
      </c>
      <c r="C540" s="24">
        <v>4.9401069416105713E-9</v>
      </c>
      <c r="D540" s="24">
        <v>1.8766832163436705E-4</v>
      </c>
      <c r="E540" s="24">
        <v>3.06074292295497E-27</v>
      </c>
      <c r="F540" s="24">
        <v>6.2338593336170371E-31</v>
      </c>
      <c r="G540" s="24">
        <v>0.58020060360616643</v>
      </c>
      <c r="H540" s="24">
        <v>0.30086789440664319</v>
      </c>
      <c r="I540" s="53">
        <v>1549.3235571347768</v>
      </c>
      <c r="J540" s="53">
        <v>4877.7649200791557</v>
      </c>
      <c r="K540" s="24">
        <v>0.56744440479939995</v>
      </c>
      <c r="L540" s="24">
        <v>0.82753543539877084</v>
      </c>
      <c r="M540" s="24">
        <v>0.79680806228911605</v>
      </c>
      <c r="O540" s="53">
        <v>3.8018427662222045</v>
      </c>
      <c r="P540" s="54">
        <v>13838.514485694657</v>
      </c>
      <c r="Q540" s="54">
        <v>4.0259865880951766</v>
      </c>
      <c r="R540" s="54">
        <v>35382.405264328117</v>
      </c>
      <c r="S540" s="54">
        <v>0.2241438218729721</v>
      </c>
      <c r="T540" s="54">
        <v>21543.89077863346</v>
      </c>
      <c r="V540" s="69">
        <f t="shared" si="50"/>
        <v>746530.03875874623</v>
      </c>
      <c r="W540" s="69">
        <f t="shared" si="51"/>
        <v>769814.91235470725</v>
      </c>
      <c r="X540" s="69">
        <f t="shared" si="48"/>
        <v>23284.873595960962</v>
      </c>
      <c r="Z540" s="68">
        <f t="shared" si="52"/>
        <v>0</v>
      </c>
      <c r="AA540" s="68">
        <f t="shared" si="53"/>
        <v>1</v>
      </c>
      <c r="AB540" s="68">
        <f t="shared" si="49"/>
        <v>1</v>
      </c>
    </row>
    <row r="541" spans="1:28" x14ac:dyDescent="0.25">
      <c r="A541">
        <v>536</v>
      </c>
      <c r="C541" s="24">
        <v>7.7055066056570531E-3</v>
      </c>
      <c r="D541" s="24">
        <v>4.4514917811575572E-3</v>
      </c>
      <c r="E541" s="24">
        <v>2.3422131847006256E-4</v>
      </c>
      <c r="F541" s="24">
        <v>4.4881276473063281E-10</v>
      </c>
      <c r="G541" s="24">
        <v>0.59107085220336197</v>
      </c>
      <c r="H541" s="24">
        <v>0.25507726031662137</v>
      </c>
      <c r="I541" s="53">
        <v>1598.1955478618152</v>
      </c>
      <c r="J541" s="53">
        <v>5399.296117444529</v>
      </c>
      <c r="K541" s="24">
        <v>0.85201945357226516</v>
      </c>
      <c r="L541" s="24">
        <v>0.84276085162432157</v>
      </c>
      <c r="M541" s="24">
        <v>0.9831240470178676</v>
      </c>
      <c r="O541" s="53">
        <v>4.234132399581382</v>
      </c>
      <c r="P541" s="54">
        <v>16699.779060310026</v>
      </c>
      <c r="Q541" s="54">
        <v>4.2208781628176615</v>
      </c>
      <c r="R541" s="54">
        <v>34842.71070646662</v>
      </c>
      <c r="S541" s="54">
        <v>-1.3254236763720506E-2</v>
      </c>
      <c r="T541" s="54">
        <v>18142.931646156594</v>
      </c>
      <c r="V541" s="69">
        <f t="shared" si="50"/>
        <v>830126.70085596642</v>
      </c>
      <c r="W541" s="69">
        <f t="shared" si="51"/>
        <v>809332.92185706575</v>
      </c>
      <c r="X541" s="69">
        <f t="shared" si="48"/>
        <v>-20793.778998900696</v>
      </c>
      <c r="Z541" s="68">
        <f t="shared" si="52"/>
        <v>1</v>
      </c>
      <c r="AA541" s="68">
        <f t="shared" si="53"/>
        <v>0</v>
      </c>
      <c r="AB541" s="68">
        <f t="shared" si="49"/>
        <v>0</v>
      </c>
    </row>
    <row r="542" spans="1:28" x14ac:dyDescent="0.25">
      <c r="A542">
        <v>537</v>
      </c>
      <c r="C542" s="24">
        <v>1.5530106409441052E-9</v>
      </c>
      <c r="D542" s="24">
        <v>1.3655754249896102E-4</v>
      </c>
      <c r="E542" s="24">
        <v>4.2449706270291099E-3</v>
      </c>
      <c r="F542" s="24">
        <v>1.0636460509105827E-4</v>
      </c>
      <c r="G542" s="24">
        <v>0.62630113847390001</v>
      </c>
      <c r="H542" s="24">
        <v>0.21942157741220225</v>
      </c>
      <c r="I542" s="53">
        <v>2005.6773231379834</v>
      </c>
      <c r="J542" s="53">
        <v>4502.5913489531649</v>
      </c>
      <c r="K542" s="24">
        <v>0.60351780296032898</v>
      </c>
      <c r="L542" s="24">
        <v>0.91545055741479753</v>
      </c>
      <c r="M542" s="24">
        <v>0.89474081048269638</v>
      </c>
      <c r="O542" s="53">
        <v>4.0686004281804768</v>
      </c>
      <c r="P542" s="54">
        <v>14375.462961301762</v>
      </c>
      <c r="Q542" s="54">
        <v>4.4890069317829093</v>
      </c>
      <c r="R542" s="54">
        <v>36065.556545058505</v>
      </c>
      <c r="S542" s="54">
        <v>0.42040650360243248</v>
      </c>
      <c r="T542" s="54">
        <v>21690.093583756745</v>
      </c>
      <c r="V542" s="69">
        <f t="shared" si="50"/>
        <v>799344.62267479359</v>
      </c>
      <c r="W542" s="69">
        <f t="shared" si="51"/>
        <v>861735.82981152332</v>
      </c>
      <c r="X542" s="69">
        <f t="shared" si="48"/>
        <v>62391.207136729754</v>
      </c>
      <c r="Z542" s="68">
        <f t="shared" si="52"/>
        <v>0</v>
      </c>
      <c r="AA542" s="68">
        <f t="shared" si="53"/>
        <v>1</v>
      </c>
      <c r="AB542" s="68">
        <f t="shared" si="49"/>
        <v>1</v>
      </c>
    </row>
    <row r="543" spans="1:28" x14ac:dyDescent="0.25">
      <c r="A543">
        <v>538</v>
      </c>
      <c r="C543" s="24">
        <v>5.4514084816628117E-3</v>
      </c>
      <c r="D543" s="24">
        <v>5.9705931125578806E-5</v>
      </c>
      <c r="E543" s="24">
        <v>5.2245394099759146E-5</v>
      </c>
      <c r="F543" s="24">
        <v>3.2457027236819253E-22</v>
      </c>
      <c r="G543" s="24">
        <v>0.46048513354484932</v>
      </c>
      <c r="H543" s="24">
        <v>0.21143117575642845</v>
      </c>
      <c r="I543" s="53">
        <v>1448.1929355647044</v>
      </c>
      <c r="J543" s="53">
        <v>4605.1274499126876</v>
      </c>
      <c r="K543" s="24">
        <v>0.44088456868797649</v>
      </c>
      <c r="L543" s="24">
        <v>0.96284520323448852</v>
      </c>
      <c r="M543" s="24">
        <v>0.89988555937319736</v>
      </c>
      <c r="O543" s="53">
        <v>4.3749105629200393</v>
      </c>
      <c r="P543" s="54">
        <v>13316.204381365163</v>
      </c>
      <c r="Q543" s="54">
        <v>4.6743144363764717</v>
      </c>
      <c r="R543" s="54">
        <v>23798.664877681633</v>
      </c>
      <c r="S543" s="54">
        <v>0.29940387345643238</v>
      </c>
      <c r="T543" s="54">
        <v>10482.460496316469</v>
      </c>
      <c r="V543" s="69">
        <f t="shared" si="50"/>
        <v>861665.90820264269</v>
      </c>
      <c r="W543" s="69">
        <f t="shared" si="51"/>
        <v>911064.22239761264</v>
      </c>
      <c r="X543" s="69">
        <f t="shared" si="48"/>
        <v>49398.314194970008</v>
      </c>
      <c r="Z543" s="68">
        <f t="shared" si="52"/>
        <v>0</v>
      </c>
      <c r="AA543" s="68">
        <f t="shared" si="53"/>
        <v>1</v>
      </c>
      <c r="AB543" s="68">
        <f t="shared" si="49"/>
        <v>1</v>
      </c>
    </row>
    <row r="544" spans="1:28" x14ac:dyDescent="0.25">
      <c r="A544">
        <v>539</v>
      </c>
      <c r="C544" s="24">
        <v>8.9418094468191576E-9</v>
      </c>
      <c r="D544" s="24">
        <v>1.8136406038549158E-3</v>
      </c>
      <c r="E544" s="24">
        <v>8.7226947886875905E-10</v>
      </c>
      <c r="F544" s="24">
        <v>2.1925364135366721E-7</v>
      </c>
      <c r="G544" s="24">
        <v>0.62281981115237839</v>
      </c>
      <c r="H544" s="24">
        <v>0.14395713292907797</v>
      </c>
      <c r="I544" s="53">
        <v>1469.1165006103672</v>
      </c>
      <c r="J544" s="53">
        <v>5044.5408845321153</v>
      </c>
      <c r="K544" s="24">
        <v>0.7631610816633535</v>
      </c>
      <c r="L544" s="24">
        <v>0.91632053259110946</v>
      </c>
      <c r="M544" s="24">
        <v>0.70568861617703527</v>
      </c>
      <c r="O544" s="53">
        <v>4.3523988298058205</v>
      </c>
      <c r="P544" s="54">
        <v>17503.207900099776</v>
      </c>
      <c r="Q544" s="54">
        <v>4.5536907209344841</v>
      </c>
      <c r="R544" s="54">
        <v>18818.782800290996</v>
      </c>
      <c r="S544" s="54">
        <v>0.20129189112866364</v>
      </c>
      <c r="T544" s="54">
        <v>1315.5749001912191</v>
      </c>
      <c r="V544" s="69">
        <f t="shared" si="50"/>
        <v>852976.55806106434</v>
      </c>
      <c r="W544" s="69">
        <f t="shared" si="51"/>
        <v>891919.36138660589</v>
      </c>
      <c r="X544" s="69">
        <f t="shared" si="48"/>
        <v>38942.803325541507</v>
      </c>
      <c r="Z544" s="68">
        <f t="shared" si="52"/>
        <v>0</v>
      </c>
      <c r="AA544" s="68">
        <f t="shared" si="53"/>
        <v>1</v>
      </c>
      <c r="AB544" s="68">
        <f t="shared" si="49"/>
        <v>1</v>
      </c>
    </row>
    <row r="545" spans="1:28" x14ac:dyDescent="0.25">
      <c r="A545">
        <v>540</v>
      </c>
      <c r="C545" s="24">
        <v>1.5876853980338925E-9</v>
      </c>
      <c r="D545" s="24">
        <v>9.0929451058709775E-5</v>
      </c>
      <c r="E545" s="24">
        <v>1.7469359292476838E-12</v>
      </c>
      <c r="F545" s="24">
        <v>1.1320396137715072E-5</v>
      </c>
      <c r="G545" s="24">
        <v>0.65363838985291456</v>
      </c>
      <c r="H545" s="24">
        <v>0.28726698302668841</v>
      </c>
      <c r="I545" s="53">
        <v>2000.9738794867994</v>
      </c>
      <c r="J545" s="53">
        <v>5012.0782228270555</v>
      </c>
      <c r="K545" s="24">
        <v>0.5607710912871825</v>
      </c>
      <c r="L545" s="24">
        <v>0.89074479575793253</v>
      </c>
      <c r="M545" s="24">
        <v>0.8795610917574388</v>
      </c>
      <c r="O545" s="53">
        <v>3.9053097414241504</v>
      </c>
      <c r="P545" s="54">
        <v>19642.460069213335</v>
      </c>
      <c r="Q545" s="54">
        <v>4.3209166726223831</v>
      </c>
      <c r="R545" s="54">
        <v>39409.138638032491</v>
      </c>
      <c r="S545" s="54">
        <v>0.41560693119823267</v>
      </c>
      <c r="T545" s="54">
        <v>19766.678568819156</v>
      </c>
      <c r="V545" s="69">
        <f t="shared" si="50"/>
        <v>761419.48821561679</v>
      </c>
      <c r="W545" s="69">
        <f t="shared" si="51"/>
        <v>824774.19588644418</v>
      </c>
      <c r="X545" s="69">
        <f t="shared" si="48"/>
        <v>63354.707670827367</v>
      </c>
      <c r="Z545" s="68">
        <f t="shared" si="52"/>
        <v>0</v>
      </c>
      <c r="AA545" s="68">
        <f t="shared" si="53"/>
        <v>1</v>
      </c>
      <c r="AB545" s="68">
        <f t="shared" si="49"/>
        <v>1</v>
      </c>
    </row>
    <row r="546" spans="1:28" x14ac:dyDescent="0.25">
      <c r="A546">
        <v>541</v>
      </c>
      <c r="C546" s="24">
        <v>1.281349750302568E-10</v>
      </c>
      <c r="D546" s="24">
        <v>2.8784679372889643E-3</v>
      </c>
      <c r="E546" s="24">
        <v>4.0676080043430381E-35</v>
      </c>
      <c r="F546" s="24">
        <v>4.658783693933799E-6</v>
      </c>
      <c r="G546" s="24">
        <v>0.4116123158367625</v>
      </c>
      <c r="H546" s="24">
        <v>0.23636807263163107</v>
      </c>
      <c r="I546" s="53">
        <v>1493.5318345094508</v>
      </c>
      <c r="J546" s="53">
        <v>4964.0869003798389</v>
      </c>
      <c r="K546" s="24">
        <v>0.47463185740705394</v>
      </c>
      <c r="L546" s="24">
        <v>0.88543107893100759</v>
      </c>
      <c r="M546" s="24">
        <v>0.92222525177440196</v>
      </c>
      <c r="O546" s="53">
        <v>4.1431722528269184</v>
      </c>
      <c r="P546" s="54">
        <v>11096.178897058506</v>
      </c>
      <c r="Q546" s="54">
        <v>4.3007191768698618</v>
      </c>
      <c r="R546" s="54">
        <v>34402.849902104383</v>
      </c>
      <c r="S546" s="54">
        <v>0.15754692404294346</v>
      </c>
      <c r="T546" s="54">
        <v>23306.671005045879</v>
      </c>
      <c r="V546" s="69">
        <f t="shared" si="50"/>
        <v>817538.27166832518</v>
      </c>
      <c r="W546" s="69">
        <f t="shared" si="51"/>
        <v>825740.98547186796</v>
      </c>
      <c r="X546" s="69">
        <f t="shared" si="48"/>
        <v>8202.7138035428143</v>
      </c>
      <c r="Z546" s="68">
        <f t="shared" si="52"/>
        <v>0</v>
      </c>
      <c r="AA546" s="68">
        <f t="shared" si="53"/>
        <v>1</v>
      </c>
      <c r="AB546" s="68">
        <f t="shared" si="49"/>
        <v>1</v>
      </c>
    </row>
    <row r="547" spans="1:28" x14ac:dyDescent="0.25">
      <c r="A547">
        <v>542</v>
      </c>
      <c r="C547" s="24">
        <v>5.284649921432405E-3</v>
      </c>
      <c r="D547" s="24">
        <v>1.933273586859352E-3</v>
      </c>
      <c r="E547" s="24">
        <v>8.887764968434908E-10</v>
      </c>
      <c r="F547" s="24">
        <v>7.3926764786479195E-41</v>
      </c>
      <c r="G547" s="24">
        <v>0.72646711319614665</v>
      </c>
      <c r="H547" s="24">
        <v>0.42567665140217126</v>
      </c>
      <c r="I547" s="53">
        <v>2701.8136470126051</v>
      </c>
      <c r="J547" s="53">
        <v>4729.3253781481999</v>
      </c>
      <c r="K547" s="24">
        <v>0.6541555567406141</v>
      </c>
      <c r="L547" s="24">
        <v>0.97834911488450227</v>
      </c>
      <c r="M547" s="24">
        <v>0.89880459067491625</v>
      </c>
      <c r="O547" s="53">
        <v>4.2005191281109697</v>
      </c>
      <c r="P547" s="54">
        <v>20707.073063344586</v>
      </c>
      <c r="Q547" s="54">
        <v>4.6536752160771977</v>
      </c>
      <c r="R547" s="54">
        <v>63487.684924607624</v>
      </c>
      <c r="S547" s="54">
        <v>0.45315608796622797</v>
      </c>
      <c r="T547" s="54">
        <v>42780.611861263038</v>
      </c>
      <c r="V547" s="69">
        <f t="shared" si="50"/>
        <v>819396.7525588494</v>
      </c>
      <c r="W547" s="69">
        <f t="shared" si="51"/>
        <v>867247.35829083191</v>
      </c>
      <c r="X547" s="69">
        <f t="shared" si="48"/>
        <v>47850.605731982563</v>
      </c>
      <c r="Z547" s="68">
        <f t="shared" si="52"/>
        <v>0</v>
      </c>
      <c r="AA547" s="68">
        <f t="shared" si="53"/>
        <v>1</v>
      </c>
      <c r="AB547" s="68">
        <f t="shared" si="49"/>
        <v>1</v>
      </c>
    </row>
    <row r="548" spans="1:28" x14ac:dyDescent="0.25">
      <c r="A548">
        <v>543</v>
      </c>
      <c r="C548" s="24">
        <v>3.0004729677667581E-5</v>
      </c>
      <c r="D548" s="24">
        <v>1.5626122343355452E-4</v>
      </c>
      <c r="E548" s="24">
        <v>1.9639647228221568E-24</v>
      </c>
      <c r="F548" s="24">
        <v>7.0747359134318253E-22</v>
      </c>
      <c r="G548" s="24">
        <v>0.56609122620922103</v>
      </c>
      <c r="H548" s="24">
        <v>0.32024461554758565</v>
      </c>
      <c r="I548" s="53">
        <v>1891.8958422388434</v>
      </c>
      <c r="J548" s="53">
        <v>4515.0295101132924</v>
      </c>
      <c r="K548" s="24">
        <v>0.7053833157174616</v>
      </c>
      <c r="L548" s="24">
        <v>0.89504449465992852</v>
      </c>
      <c r="M548" s="24">
        <v>0.68005133869558387</v>
      </c>
      <c r="O548" s="53">
        <v>4.2421130095998745</v>
      </c>
      <c r="P548" s="54">
        <v>16337.84064778195</v>
      </c>
      <c r="Q548" s="54">
        <v>4.3859468437072922</v>
      </c>
      <c r="R548" s="54">
        <v>41473.109330774219</v>
      </c>
      <c r="S548" s="54">
        <v>0.14383383410741768</v>
      </c>
      <c r="T548" s="54">
        <v>25135.268682992268</v>
      </c>
      <c r="V548" s="69">
        <f t="shared" si="50"/>
        <v>832084.76127219293</v>
      </c>
      <c r="W548" s="69">
        <f t="shared" si="51"/>
        <v>835716.25941068423</v>
      </c>
      <c r="X548" s="69">
        <f t="shared" si="48"/>
        <v>3631.498138491268</v>
      </c>
      <c r="Z548" s="68">
        <f t="shared" si="52"/>
        <v>0</v>
      </c>
      <c r="AA548" s="68">
        <f t="shared" si="53"/>
        <v>1</v>
      </c>
      <c r="AB548" s="68">
        <f t="shared" si="49"/>
        <v>1</v>
      </c>
    </row>
    <row r="549" spans="1:28" x14ac:dyDescent="0.25">
      <c r="A549">
        <v>544</v>
      </c>
      <c r="C549" s="24">
        <v>6.05995982831595E-6</v>
      </c>
      <c r="D549" s="24">
        <v>5.3421774671056355E-3</v>
      </c>
      <c r="E549" s="24">
        <v>3.7096459597225514E-26</v>
      </c>
      <c r="F549" s="24">
        <v>1.0104044864543477E-25</v>
      </c>
      <c r="G549" s="24">
        <v>0.57631974969043553</v>
      </c>
      <c r="H549" s="24">
        <v>0.21823558158432321</v>
      </c>
      <c r="I549" s="53">
        <v>1815.7485843144834</v>
      </c>
      <c r="J549" s="53">
        <v>6031.2612402568311</v>
      </c>
      <c r="K549" s="24">
        <v>0.52685312075668567</v>
      </c>
      <c r="L549" s="24">
        <v>0.75230186309410174</v>
      </c>
      <c r="M549" s="24">
        <v>0.96057012345765636</v>
      </c>
      <c r="O549" s="53">
        <v>3.474347164505192</v>
      </c>
      <c r="P549" s="54">
        <v>16492.610291101613</v>
      </c>
      <c r="Q549" s="54">
        <v>3.7053236034902182</v>
      </c>
      <c r="R549" s="54">
        <v>37962.046360372566</v>
      </c>
      <c r="S549" s="54">
        <v>0.23097643898502618</v>
      </c>
      <c r="T549" s="54">
        <v>21469.436069270952</v>
      </c>
      <c r="V549" s="69">
        <f t="shared" si="50"/>
        <v>678376.82260993682</v>
      </c>
      <c r="W549" s="69">
        <f t="shared" si="51"/>
        <v>703102.67433767102</v>
      </c>
      <c r="X549" s="69">
        <f t="shared" si="48"/>
        <v>24725.851727734283</v>
      </c>
      <c r="Z549" s="68">
        <f t="shared" si="52"/>
        <v>0</v>
      </c>
      <c r="AA549" s="68">
        <f t="shared" si="53"/>
        <v>1</v>
      </c>
      <c r="AB549" s="68">
        <f t="shared" si="49"/>
        <v>1</v>
      </c>
    </row>
    <row r="550" spans="1:28" x14ac:dyDescent="0.25">
      <c r="A550">
        <v>545</v>
      </c>
      <c r="C550" s="24">
        <v>5.4110864582546103E-4</v>
      </c>
      <c r="D550" s="24">
        <v>2.8313151424689772E-4</v>
      </c>
      <c r="E550" s="24">
        <v>1.7056615692168098E-4</v>
      </c>
      <c r="F550" s="24">
        <v>2.9348199559187105E-4</v>
      </c>
      <c r="G550" s="24">
        <v>0.57497206320459948</v>
      </c>
      <c r="H550" s="24">
        <v>0.33835091884253587</v>
      </c>
      <c r="I550" s="53">
        <v>2124.8226704727394</v>
      </c>
      <c r="J550" s="53">
        <v>4606.9473952108438</v>
      </c>
      <c r="K550" s="24">
        <v>0.76820524249035071</v>
      </c>
      <c r="L550" s="24">
        <v>0.6586089704149527</v>
      </c>
      <c r="M550" s="24">
        <v>0.94038740203282101</v>
      </c>
      <c r="O550" s="53">
        <v>3.4323410253765481</v>
      </c>
      <c r="P550" s="54">
        <v>16113.090030090638</v>
      </c>
      <c r="Q550" s="54">
        <v>3.3480707021689713</v>
      </c>
      <c r="R550" s="54">
        <v>50817.298398129482</v>
      </c>
      <c r="S550" s="54">
        <v>-8.4270323207576769E-2</v>
      </c>
      <c r="T550" s="54">
        <v>34704.208368038846</v>
      </c>
      <c r="V550" s="69">
        <f t="shared" si="50"/>
        <v>670355.11504521896</v>
      </c>
      <c r="W550" s="69">
        <f t="shared" si="51"/>
        <v>618796.84203566471</v>
      </c>
      <c r="X550" s="69">
        <f t="shared" si="48"/>
        <v>-51558.273009554199</v>
      </c>
      <c r="Z550" s="68">
        <f t="shared" si="52"/>
        <v>1</v>
      </c>
      <c r="AA550" s="68">
        <f t="shared" si="53"/>
        <v>0</v>
      </c>
      <c r="AB550" s="68">
        <f t="shared" si="49"/>
        <v>0</v>
      </c>
    </row>
    <row r="551" spans="1:28" x14ac:dyDescent="0.25">
      <c r="A551">
        <v>546</v>
      </c>
      <c r="C551" s="24">
        <v>2.9240767173022568E-11</v>
      </c>
      <c r="D551" s="24">
        <v>9.7788366550960459E-3</v>
      </c>
      <c r="E551" s="24">
        <v>5.5278004396086544E-12</v>
      </c>
      <c r="F551" s="24">
        <v>1.108340407325276E-94</v>
      </c>
      <c r="G551" s="24">
        <v>0.63716923290898275</v>
      </c>
      <c r="H551" s="24">
        <v>0.18134855473572498</v>
      </c>
      <c r="I551" s="53">
        <v>1729.2851677273968</v>
      </c>
      <c r="J551" s="53">
        <v>6420.5337161458538</v>
      </c>
      <c r="K551" s="24">
        <v>0.53868796206927971</v>
      </c>
      <c r="L551" s="24">
        <v>0.76015818818381331</v>
      </c>
      <c r="M551" s="24">
        <v>0.73304349968092408</v>
      </c>
      <c r="O551" s="53">
        <v>3.4527108865950624</v>
      </c>
      <c r="P551" s="54">
        <v>20206.535675297309</v>
      </c>
      <c r="Q551" s="54">
        <v>3.7501925407285563</v>
      </c>
      <c r="R551" s="54">
        <v>31444.561124153406</v>
      </c>
      <c r="S551" s="54">
        <v>0.29748165413349392</v>
      </c>
      <c r="T551" s="54">
        <v>11238.025448856097</v>
      </c>
      <c r="V551" s="69">
        <f t="shared" si="50"/>
        <v>670335.64164371521</v>
      </c>
      <c r="W551" s="69">
        <f t="shared" si="51"/>
        <v>718593.94702155783</v>
      </c>
      <c r="X551" s="69">
        <f t="shared" si="48"/>
        <v>48258.305377842691</v>
      </c>
      <c r="Z551" s="68">
        <f t="shared" si="52"/>
        <v>0</v>
      </c>
      <c r="AA551" s="68">
        <f t="shared" si="53"/>
        <v>1</v>
      </c>
      <c r="AB551" s="68">
        <f t="shared" si="49"/>
        <v>1</v>
      </c>
    </row>
    <row r="552" spans="1:28" x14ac:dyDescent="0.25">
      <c r="A552">
        <v>547</v>
      </c>
      <c r="C552" s="24">
        <v>1.972980776062008E-5</v>
      </c>
      <c r="D552" s="24">
        <v>7.5010867219095223E-3</v>
      </c>
      <c r="E552" s="24">
        <v>9.8843155882377687E-13</v>
      </c>
      <c r="F552" s="24">
        <v>9.3562847778561054E-4</v>
      </c>
      <c r="G552" s="24">
        <v>0.54655942124037238</v>
      </c>
      <c r="H552" s="24">
        <v>0.39593346408151531</v>
      </c>
      <c r="I552" s="53">
        <v>2164.297564863331</v>
      </c>
      <c r="J552" s="53">
        <v>4650.17231820086</v>
      </c>
      <c r="K552" s="24">
        <v>0.4556077841665806</v>
      </c>
      <c r="L552" s="24">
        <v>0.6521010823727087</v>
      </c>
      <c r="M552" s="24">
        <v>0.87413419062091091</v>
      </c>
      <c r="O552" s="53">
        <v>3.0352492075419493</v>
      </c>
      <c r="P552" s="54">
        <v>16530.495689849224</v>
      </c>
      <c r="Q552" s="54">
        <v>3.140569158546358</v>
      </c>
      <c r="R552" s="54">
        <v>46977.386083824669</v>
      </c>
      <c r="S552" s="54">
        <v>0.10531995100440872</v>
      </c>
      <c r="T552" s="54">
        <v>30446.890393975445</v>
      </c>
      <c r="V552" s="69">
        <f t="shared" si="50"/>
        <v>590519.34581854055</v>
      </c>
      <c r="W552" s="69">
        <f t="shared" si="51"/>
        <v>581136.44562544697</v>
      </c>
      <c r="X552" s="69">
        <f t="shared" si="48"/>
        <v>-9382.9001930937011</v>
      </c>
      <c r="Z552" s="68">
        <f t="shared" si="52"/>
        <v>1</v>
      </c>
      <c r="AA552" s="68">
        <f t="shared" si="53"/>
        <v>0</v>
      </c>
      <c r="AB552" s="68">
        <f t="shared" si="49"/>
        <v>0</v>
      </c>
    </row>
    <row r="553" spans="1:28" x14ac:dyDescent="0.25">
      <c r="A553">
        <v>548</v>
      </c>
      <c r="C553" s="24">
        <v>1.1261207369175528E-5</v>
      </c>
      <c r="D553" s="24">
        <v>3.8414611712098211E-4</v>
      </c>
      <c r="E553" s="24">
        <v>1.8015883954318016E-14</v>
      </c>
      <c r="F553" s="24">
        <v>7.2908135617666403E-7</v>
      </c>
      <c r="G553" s="24">
        <v>0.59461698837455179</v>
      </c>
      <c r="H553" s="24">
        <v>0.32076747869914191</v>
      </c>
      <c r="I553" s="53">
        <v>2074.2671280446284</v>
      </c>
      <c r="J553" s="53">
        <v>6963.0609317759991</v>
      </c>
      <c r="K553" s="24">
        <v>0.5824577608108471</v>
      </c>
      <c r="L553" s="24">
        <v>0.89558219884731516</v>
      </c>
      <c r="M553" s="24">
        <v>0.76171770430514429</v>
      </c>
      <c r="O553" s="53">
        <v>4.0527465336042132</v>
      </c>
      <c r="P553" s="54">
        <v>16483.089844604699</v>
      </c>
      <c r="Q553" s="54">
        <v>4.3301929094250147</v>
      </c>
      <c r="R553" s="54">
        <v>35132.044908650401</v>
      </c>
      <c r="S553" s="54">
        <v>0.27744637582080145</v>
      </c>
      <c r="T553" s="54">
        <v>18648.955064045702</v>
      </c>
      <c r="V553" s="69">
        <f t="shared" si="50"/>
        <v>794066.21687623789</v>
      </c>
      <c r="W553" s="69">
        <f t="shared" si="51"/>
        <v>830906.53697635245</v>
      </c>
      <c r="X553" s="69">
        <f t="shared" si="48"/>
        <v>36840.320100114586</v>
      </c>
      <c r="Z553" s="68">
        <f t="shared" si="52"/>
        <v>0</v>
      </c>
      <c r="AA553" s="68">
        <f t="shared" si="53"/>
        <v>1</v>
      </c>
      <c r="AB553" s="68">
        <f t="shared" si="49"/>
        <v>1</v>
      </c>
    </row>
    <row r="554" spans="1:28" x14ac:dyDescent="0.25">
      <c r="A554">
        <v>549</v>
      </c>
      <c r="C554" s="24">
        <v>8.7367889487043054E-6</v>
      </c>
      <c r="D554" s="24">
        <v>2.2249501311845554E-2</v>
      </c>
      <c r="E554" s="24">
        <v>7.831348773139991E-18</v>
      </c>
      <c r="F554" s="24">
        <v>3.2615132816715686E-11</v>
      </c>
      <c r="G554" s="24">
        <v>0.68123806443413848</v>
      </c>
      <c r="H554" s="24">
        <v>0.37254561953370768</v>
      </c>
      <c r="I554" s="53">
        <v>2509.1494524824798</v>
      </c>
      <c r="J554" s="53">
        <v>4557.0301172561831</v>
      </c>
      <c r="K554" s="24">
        <v>0.65548662636876542</v>
      </c>
      <c r="L554" s="24">
        <v>0.97048340181843318</v>
      </c>
      <c r="M554" s="24">
        <v>0.90643453466406476</v>
      </c>
      <c r="O554" s="53">
        <v>4.2779918609637368</v>
      </c>
      <c r="P554" s="54">
        <v>19134.782040493985</v>
      </c>
      <c r="Q554" s="54">
        <v>4.6567155047886448</v>
      </c>
      <c r="R554" s="54">
        <v>48181.604379256089</v>
      </c>
      <c r="S554" s="54">
        <v>0.37872364382490797</v>
      </c>
      <c r="T554" s="54">
        <v>29046.822338762104</v>
      </c>
      <c r="V554" s="69">
        <f t="shared" si="50"/>
        <v>836463.5901522534</v>
      </c>
      <c r="W554" s="69">
        <f t="shared" si="51"/>
        <v>883161.49657847278</v>
      </c>
      <c r="X554" s="69">
        <f t="shared" si="48"/>
        <v>46697.906426219495</v>
      </c>
      <c r="Z554" s="68">
        <f t="shared" si="52"/>
        <v>0</v>
      </c>
      <c r="AA554" s="68">
        <f t="shared" si="53"/>
        <v>1</v>
      </c>
      <c r="AB554" s="68">
        <f t="shared" si="49"/>
        <v>1</v>
      </c>
    </row>
    <row r="555" spans="1:28" x14ac:dyDescent="0.25">
      <c r="A555">
        <v>550</v>
      </c>
      <c r="C555" s="24">
        <v>2.3549014457493467E-3</v>
      </c>
      <c r="D555" s="24">
        <v>3.4590701339302643E-2</v>
      </c>
      <c r="E555" s="24">
        <v>2.2282067371828518E-32</v>
      </c>
      <c r="F555" s="24">
        <v>1.2763707314826045E-25</v>
      </c>
      <c r="G555" s="24">
        <v>0.53058850541495195</v>
      </c>
      <c r="H555" s="24">
        <v>0.19748244815345661</v>
      </c>
      <c r="I555" s="53">
        <v>2092.3221138284653</v>
      </c>
      <c r="J555" s="53">
        <v>4093.0060012351923</v>
      </c>
      <c r="K555" s="24">
        <v>0.76330630185488246</v>
      </c>
      <c r="L555" s="24">
        <v>0.83839477935196638</v>
      </c>
      <c r="M555" s="24">
        <v>0.94019848698696529</v>
      </c>
      <c r="O555" s="53">
        <v>4.1126691191782303</v>
      </c>
      <c r="P555" s="54">
        <v>13960.860479203602</v>
      </c>
      <c r="Q555" s="54">
        <v>4.1943623921864361</v>
      </c>
      <c r="R555" s="54">
        <v>31388.339346739976</v>
      </c>
      <c r="S555" s="54">
        <v>8.1693273008205836E-2</v>
      </c>
      <c r="T555" s="54">
        <v>17427.478867536374</v>
      </c>
      <c r="V555" s="69">
        <f t="shared" si="50"/>
        <v>808572.9633564424</v>
      </c>
      <c r="W555" s="69">
        <f t="shared" si="51"/>
        <v>807484.13909054734</v>
      </c>
      <c r="X555" s="69">
        <f t="shared" si="48"/>
        <v>-1088.8242658952076</v>
      </c>
      <c r="Z555" s="68">
        <f t="shared" si="52"/>
        <v>1</v>
      </c>
      <c r="AA555" s="68">
        <f t="shared" si="53"/>
        <v>0</v>
      </c>
      <c r="AB555" s="68">
        <f t="shared" si="49"/>
        <v>0</v>
      </c>
    </row>
    <row r="556" spans="1:28" x14ac:dyDescent="0.25">
      <c r="A556">
        <v>551</v>
      </c>
      <c r="C556" s="24">
        <v>1.561161366347224E-7</v>
      </c>
      <c r="D556" s="24">
        <v>6.1090116194784105E-3</v>
      </c>
      <c r="E556" s="24">
        <v>3.8069694170417279E-6</v>
      </c>
      <c r="F556" s="24">
        <v>5.0131530344812401E-32</v>
      </c>
      <c r="G556" s="24">
        <v>0.51531116044349079</v>
      </c>
      <c r="H556" s="24">
        <v>0.2426203317179898</v>
      </c>
      <c r="I556" s="53">
        <v>1794.438919095358</v>
      </c>
      <c r="J556" s="53">
        <v>5653.110263321566</v>
      </c>
      <c r="K556" s="24">
        <v>0.78646964042061662</v>
      </c>
      <c r="L556" s="24">
        <v>0.89018823944787262</v>
      </c>
      <c r="M556" s="24">
        <v>0.82961123487882027</v>
      </c>
      <c r="O556" s="53">
        <v>4.3446487740908859</v>
      </c>
      <c r="P556" s="54">
        <v>17824.421037085289</v>
      </c>
      <c r="Q556" s="54">
        <v>4.4154570576309586</v>
      </c>
      <c r="R556" s="54">
        <v>30908.652652890818</v>
      </c>
      <c r="S556" s="54">
        <v>7.0808283540072736E-2</v>
      </c>
      <c r="T556" s="54">
        <v>13084.231615805529</v>
      </c>
      <c r="V556" s="69">
        <f t="shared" si="50"/>
        <v>851105.33378109196</v>
      </c>
      <c r="W556" s="69">
        <f t="shared" si="51"/>
        <v>852182.75887330098</v>
      </c>
      <c r="X556" s="69">
        <f t="shared" si="48"/>
        <v>1077.4250922090177</v>
      </c>
      <c r="Z556" s="68">
        <f t="shared" si="52"/>
        <v>0</v>
      </c>
      <c r="AA556" s="68">
        <f t="shared" si="53"/>
        <v>1</v>
      </c>
      <c r="AB556" s="68">
        <f t="shared" si="49"/>
        <v>1</v>
      </c>
    </row>
    <row r="557" spans="1:28" x14ac:dyDescent="0.25">
      <c r="A557">
        <v>552</v>
      </c>
      <c r="C557" s="24">
        <v>2.6025619978959784E-10</v>
      </c>
      <c r="D557" s="24">
        <v>1.1731181238608869E-3</v>
      </c>
      <c r="E557" s="24">
        <v>1.0161304315992048E-3</v>
      </c>
      <c r="F557" s="24">
        <v>6.8001271280593301E-11</v>
      </c>
      <c r="G557" s="24">
        <v>0.6122028201499895</v>
      </c>
      <c r="H557" s="24">
        <v>0.2079256520214019</v>
      </c>
      <c r="I557" s="53">
        <v>1958.1836539882058</v>
      </c>
      <c r="J557" s="53">
        <v>5867.7939602404331</v>
      </c>
      <c r="K557" s="24">
        <v>0.70308134567501024</v>
      </c>
      <c r="L557" s="24">
        <v>0.985529751996022</v>
      </c>
      <c r="M557" s="24">
        <v>0.55186418802619208</v>
      </c>
      <c r="O557" s="53">
        <v>4.5109157821463359</v>
      </c>
      <c r="P557" s="54">
        <v>14049.46740509645</v>
      </c>
      <c r="Q557" s="54">
        <v>4.8504897737430293</v>
      </c>
      <c r="R557" s="54">
        <v>30375.39389376872</v>
      </c>
      <c r="S557" s="54">
        <v>0.33957399159669333</v>
      </c>
      <c r="T557" s="54">
        <v>16325.92648867227</v>
      </c>
      <c r="V557" s="69">
        <f t="shared" si="50"/>
        <v>888133.68902417074</v>
      </c>
      <c r="W557" s="69">
        <f t="shared" si="51"/>
        <v>939722.56085483707</v>
      </c>
      <c r="X557" s="69">
        <f t="shared" si="48"/>
        <v>51588.871830666394</v>
      </c>
      <c r="Z557" s="68">
        <f t="shared" si="52"/>
        <v>0</v>
      </c>
      <c r="AA557" s="68">
        <f t="shared" si="53"/>
        <v>1</v>
      </c>
      <c r="AB557" s="68">
        <f t="shared" si="49"/>
        <v>1</v>
      </c>
    </row>
    <row r="558" spans="1:28" x14ac:dyDescent="0.25">
      <c r="A558">
        <v>553</v>
      </c>
      <c r="C558" s="24">
        <v>3.0669255955710394E-9</v>
      </c>
      <c r="D558" s="24">
        <v>5.6301054877243573E-3</v>
      </c>
      <c r="E558" s="24">
        <v>2.3877477772771272E-10</v>
      </c>
      <c r="F558" s="24">
        <v>2.4220393571972032E-5</v>
      </c>
      <c r="G558" s="24">
        <v>0.56707467685425128</v>
      </c>
      <c r="H558" s="24">
        <v>0.3024697459309228</v>
      </c>
      <c r="I558" s="53">
        <v>1881.5557291264906</v>
      </c>
      <c r="J558" s="53">
        <v>4398.8628459665124</v>
      </c>
      <c r="K558" s="24">
        <v>0.60445544556459807</v>
      </c>
      <c r="L558" s="24">
        <v>0.89049468032766788</v>
      </c>
      <c r="M558" s="24">
        <v>0.73988109759472365</v>
      </c>
      <c r="O558" s="53">
        <v>4.0997712052942381</v>
      </c>
      <c r="P558" s="54">
        <v>17658.477952759051</v>
      </c>
      <c r="Q558" s="54">
        <v>4.3230585602157658</v>
      </c>
      <c r="R558" s="54">
        <v>40183.697733326742</v>
      </c>
      <c r="S558" s="54">
        <v>0.22328735492152774</v>
      </c>
      <c r="T558" s="54">
        <v>22525.219780567691</v>
      </c>
      <c r="V558" s="69">
        <f t="shared" si="50"/>
        <v>802295.76310608862</v>
      </c>
      <c r="W558" s="69">
        <f t="shared" si="51"/>
        <v>824428.01430982642</v>
      </c>
      <c r="X558" s="69">
        <f t="shared" si="48"/>
        <v>22132.251203737855</v>
      </c>
      <c r="Z558" s="68">
        <f t="shared" si="52"/>
        <v>0</v>
      </c>
      <c r="AA558" s="68">
        <f t="shared" si="53"/>
        <v>1</v>
      </c>
      <c r="AB558" s="68">
        <f t="shared" si="49"/>
        <v>1</v>
      </c>
    </row>
    <row r="559" spans="1:28" x14ac:dyDescent="0.25">
      <c r="A559">
        <v>554</v>
      </c>
      <c r="C559" s="24">
        <v>8.1573069054530212E-4</v>
      </c>
      <c r="D559" s="24">
        <v>2.5089961965858737E-4</v>
      </c>
      <c r="E559" s="24">
        <v>4.5916368485166004E-9</v>
      </c>
      <c r="F559" s="24">
        <v>8.8414082688088333E-35</v>
      </c>
      <c r="G559" s="24">
        <v>0.52896788748927137</v>
      </c>
      <c r="H559" s="24">
        <v>0.32998703427107845</v>
      </c>
      <c r="I559" s="53">
        <v>1484.4320868733873</v>
      </c>
      <c r="J559" s="53">
        <v>5846.343721016794</v>
      </c>
      <c r="K559" s="24">
        <v>0.87366193813108961</v>
      </c>
      <c r="L559" s="24">
        <v>0.96274621042485853</v>
      </c>
      <c r="M559" s="24">
        <v>0.69590453263578478</v>
      </c>
      <c r="O559" s="53">
        <v>4.7160195963399136</v>
      </c>
      <c r="P559" s="54">
        <v>15535.332496165727</v>
      </c>
      <c r="Q559" s="54">
        <v>4.7695773690096184</v>
      </c>
      <c r="R559" s="54">
        <v>47981.439242573979</v>
      </c>
      <c r="S559" s="54">
        <v>5.355777266970474E-2</v>
      </c>
      <c r="T559" s="54">
        <v>32446.106746408252</v>
      </c>
      <c r="V559" s="69">
        <f t="shared" si="50"/>
        <v>927668.58677181695</v>
      </c>
      <c r="W559" s="69">
        <f t="shared" si="51"/>
        <v>905934.03455934976</v>
      </c>
      <c r="X559" s="69">
        <f t="shared" si="48"/>
        <v>-21734.552212467304</v>
      </c>
      <c r="Z559" s="68">
        <f t="shared" si="52"/>
        <v>1</v>
      </c>
      <c r="AA559" s="68">
        <f t="shared" si="53"/>
        <v>0</v>
      </c>
      <c r="AB559" s="68">
        <f t="shared" si="49"/>
        <v>0</v>
      </c>
    </row>
    <row r="560" spans="1:28" x14ac:dyDescent="0.25">
      <c r="A560">
        <v>555</v>
      </c>
      <c r="C560" s="24">
        <v>2.6452819765611208E-5</v>
      </c>
      <c r="D560" s="24">
        <v>4.2790162922724528E-3</v>
      </c>
      <c r="E560" s="24">
        <v>3.8794643315858262E-16</v>
      </c>
      <c r="F560" s="24">
        <v>2.7736364127783908E-5</v>
      </c>
      <c r="G560" s="24">
        <v>0.60785022727096272</v>
      </c>
      <c r="H560" s="24">
        <v>0.20645638974965996</v>
      </c>
      <c r="I560" s="53">
        <v>1823.3569422573935</v>
      </c>
      <c r="J560" s="53">
        <v>4961.6927329195078</v>
      </c>
      <c r="K560" s="24">
        <v>0.72515811619429016</v>
      </c>
      <c r="L560" s="24">
        <v>0.99169801787786183</v>
      </c>
      <c r="M560" s="24">
        <v>0.95606577693300498</v>
      </c>
      <c r="O560" s="53">
        <v>4.5796162160092528</v>
      </c>
      <c r="P560" s="54">
        <v>14692.599019794914</v>
      </c>
      <c r="Q560" s="54">
        <v>4.8880953409180989</v>
      </c>
      <c r="R560" s="54">
        <v>22181.505776876384</v>
      </c>
      <c r="S560" s="54">
        <v>0.3084791249088461</v>
      </c>
      <c r="T560" s="54">
        <v>7488.9067570814696</v>
      </c>
      <c r="V560" s="69">
        <f t="shared" si="50"/>
        <v>901230.64418205561</v>
      </c>
      <c r="W560" s="69">
        <f t="shared" si="51"/>
        <v>955437.56240674341</v>
      </c>
      <c r="X560" s="69">
        <f t="shared" si="48"/>
        <v>54206.918224687746</v>
      </c>
      <c r="Z560" s="68">
        <f t="shared" si="52"/>
        <v>0</v>
      </c>
      <c r="AA560" s="68">
        <f t="shared" si="53"/>
        <v>1</v>
      </c>
      <c r="AB560" s="68">
        <f t="shared" si="49"/>
        <v>1</v>
      </c>
    </row>
    <row r="561" spans="1:28" x14ac:dyDescent="0.25">
      <c r="A561">
        <v>556</v>
      </c>
      <c r="C561" s="24">
        <v>2.6732167659078207E-24</v>
      </c>
      <c r="D561" s="24">
        <v>3.4503902854642841E-4</v>
      </c>
      <c r="E561" s="24">
        <v>1.0261447233190837E-20</v>
      </c>
      <c r="F561" s="24">
        <v>1.2788876557478786E-19</v>
      </c>
      <c r="G561" s="24">
        <v>0.66819721397537224</v>
      </c>
      <c r="H561" s="24">
        <v>0.26465765761835636</v>
      </c>
      <c r="I561" s="53">
        <v>2084.3199377385313</v>
      </c>
      <c r="J561" s="53">
        <v>5512.6989670318799</v>
      </c>
      <c r="K561" s="24">
        <v>0.66114330401955779</v>
      </c>
      <c r="L561" s="24">
        <v>0.9437218726103378</v>
      </c>
      <c r="M561" s="24">
        <v>0.74271398794237509</v>
      </c>
      <c r="O561" s="53">
        <v>4.2253449046592095</v>
      </c>
      <c r="P561" s="54">
        <v>17928.311699503993</v>
      </c>
      <c r="Q561" s="54">
        <v>4.6166006520526199</v>
      </c>
      <c r="R561" s="54">
        <v>34260.073295549075</v>
      </c>
      <c r="S561" s="54">
        <v>0.3912557473934104</v>
      </c>
      <c r="T561" s="54">
        <v>16331.761596045082</v>
      </c>
      <c r="V561" s="69">
        <f t="shared" si="50"/>
        <v>827140.66923233785</v>
      </c>
      <c r="W561" s="69">
        <f t="shared" si="51"/>
        <v>889060.05711497494</v>
      </c>
      <c r="X561" s="69">
        <f t="shared" si="48"/>
        <v>61919.387882637006</v>
      </c>
      <c r="Z561" s="68">
        <f t="shared" si="52"/>
        <v>0</v>
      </c>
      <c r="AA561" s="68">
        <f t="shared" si="53"/>
        <v>1</v>
      </c>
      <c r="AB561" s="68">
        <f t="shared" si="49"/>
        <v>1</v>
      </c>
    </row>
    <row r="562" spans="1:28" x14ac:dyDescent="0.25">
      <c r="A562">
        <v>557</v>
      </c>
      <c r="C562" s="24">
        <v>1.6033146610730742E-2</v>
      </c>
      <c r="D562" s="24">
        <v>5.0876922634539527E-5</v>
      </c>
      <c r="E562" s="24">
        <v>2.5314204127815185E-27</v>
      </c>
      <c r="F562" s="24">
        <v>3.3871244951193535E-3</v>
      </c>
      <c r="G562" s="24">
        <v>0.61643961300425543</v>
      </c>
      <c r="H562" s="24">
        <v>0.20525814607910253</v>
      </c>
      <c r="I562" s="53">
        <v>2296.6492050973843</v>
      </c>
      <c r="J562" s="53">
        <v>5005.0342374662387</v>
      </c>
      <c r="K562" s="24">
        <v>0.75385965891552897</v>
      </c>
      <c r="L562" s="24">
        <v>0.9404608624892028</v>
      </c>
      <c r="M562" s="24">
        <v>0.8599261600911452</v>
      </c>
      <c r="O562" s="53">
        <v>4.4171992205813888</v>
      </c>
      <c r="P562" s="54">
        <v>20237.50167895199</v>
      </c>
      <c r="Q562" s="54">
        <v>4.6350978703136381</v>
      </c>
      <c r="R562" s="54">
        <v>36516.007281460494</v>
      </c>
      <c r="S562" s="54">
        <v>0.21789864973224926</v>
      </c>
      <c r="T562" s="54">
        <v>16278.505602508503</v>
      </c>
      <c r="V562" s="69">
        <f t="shared" si="50"/>
        <v>863202.34243732574</v>
      </c>
      <c r="W562" s="69">
        <f t="shared" si="51"/>
        <v>890503.56678126717</v>
      </c>
      <c r="X562" s="69">
        <f t="shared" si="48"/>
        <v>27301.224343941347</v>
      </c>
      <c r="Z562" s="68">
        <f t="shared" si="52"/>
        <v>0</v>
      </c>
      <c r="AA562" s="68">
        <f t="shared" si="53"/>
        <v>1</v>
      </c>
      <c r="AB562" s="68">
        <f t="shared" si="49"/>
        <v>1</v>
      </c>
    </row>
    <row r="563" spans="1:28" x14ac:dyDescent="0.25">
      <c r="A563">
        <v>558</v>
      </c>
      <c r="C563" s="24">
        <v>4.3162019154079843E-5</v>
      </c>
      <c r="D563" s="24">
        <v>1.601882452897608E-4</v>
      </c>
      <c r="E563" s="24">
        <v>1.4050543833867402E-16</v>
      </c>
      <c r="F563" s="24">
        <v>4.5925480089314506E-47</v>
      </c>
      <c r="G563" s="24">
        <v>0.52494204023584745</v>
      </c>
      <c r="H563" s="24">
        <v>0.27409475948476003</v>
      </c>
      <c r="I563" s="53">
        <v>1897.4119059016186</v>
      </c>
      <c r="J563" s="53">
        <v>4771.3845192345971</v>
      </c>
      <c r="K563" s="24">
        <v>0.55188841128014798</v>
      </c>
      <c r="L563" s="24">
        <v>0.90555543533082616</v>
      </c>
      <c r="M563" s="24">
        <v>0.93771473901771429</v>
      </c>
      <c r="O563" s="53">
        <v>4.1525625527710126</v>
      </c>
      <c r="P563" s="54">
        <v>14913.092568101451</v>
      </c>
      <c r="Q563" s="54">
        <v>4.3944753504374408</v>
      </c>
      <c r="R563" s="54">
        <v>43529.217566653475</v>
      </c>
      <c r="S563" s="54">
        <v>0.24191279766642815</v>
      </c>
      <c r="T563" s="54">
        <v>28616.124998552026</v>
      </c>
      <c r="V563" s="69">
        <f t="shared" si="50"/>
        <v>815599.41798610101</v>
      </c>
      <c r="W563" s="69">
        <f t="shared" si="51"/>
        <v>835365.85252083465</v>
      </c>
      <c r="X563" s="69">
        <f t="shared" si="48"/>
        <v>19766.434534733606</v>
      </c>
      <c r="Z563" s="68">
        <f t="shared" si="52"/>
        <v>0</v>
      </c>
      <c r="AA563" s="68">
        <f t="shared" si="53"/>
        <v>1</v>
      </c>
      <c r="AB563" s="68">
        <f t="shared" si="49"/>
        <v>1</v>
      </c>
    </row>
    <row r="564" spans="1:28" x14ac:dyDescent="0.25">
      <c r="A564">
        <v>559</v>
      </c>
      <c r="C564" s="24">
        <v>3.03649792262027E-8</v>
      </c>
      <c r="D564" s="24">
        <v>4.3227913525439898E-4</v>
      </c>
      <c r="E564" s="24">
        <v>9.7804869758633117E-9</v>
      </c>
      <c r="F564" s="24">
        <v>4.1994870727202205E-5</v>
      </c>
      <c r="G564" s="24">
        <v>0.59508994778601543</v>
      </c>
      <c r="H564" s="24">
        <v>0.24801718396953287</v>
      </c>
      <c r="I564" s="53">
        <v>1782.9797702256087</v>
      </c>
      <c r="J564" s="53">
        <v>5370.5270723432541</v>
      </c>
      <c r="K564" s="24">
        <v>0.45831553745908998</v>
      </c>
      <c r="L564" s="24">
        <v>0.81830571793961171</v>
      </c>
      <c r="M564" s="24">
        <v>0.64837306742394507</v>
      </c>
      <c r="O564" s="53">
        <v>3.6019411574753297</v>
      </c>
      <c r="P564" s="54">
        <v>25506.766665774598</v>
      </c>
      <c r="Q564" s="54">
        <v>3.9722392291243711</v>
      </c>
      <c r="R564" s="54">
        <v>37200.46514723108</v>
      </c>
      <c r="S564" s="54">
        <v>0.37029807164904138</v>
      </c>
      <c r="T564" s="54">
        <v>11693.698481456482</v>
      </c>
      <c r="V564" s="69">
        <f t="shared" si="50"/>
        <v>694881.46482929133</v>
      </c>
      <c r="W564" s="69">
        <f t="shared" si="51"/>
        <v>757247.38067764312</v>
      </c>
      <c r="X564" s="69">
        <f t="shared" si="48"/>
        <v>62365.915848351797</v>
      </c>
      <c r="Z564" s="68">
        <f t="shared" si="52"/>
        <v>0</v>
      </c>
      <c r="AA564" s="68">
        <f t="shared" si="53"/>
        <v>1</v>
      </c>
      <c r="AB564" s="68">
        <f t="shared" si="49"/>
        <v>1</v>
      </c>
    </row>
    <row r="565" spans="1:28" x14ac:dyDescent="0.25">
      <c r="A565">
        <v>560</v>
      </c>
      <c r="C565" s="24">
        <v>3.2265026096288674E-3</v>
      </c>
      <c r="D565" s="24">
        <v>2.4734165094183469E-3</v>
      </c>
      <c r="E565" s="24">
        <v>1.7619637970867075E-9</v>
      </c>
      <c r="F565" s="24">
        <v>3.1593764804327407E-7</v>
      </c>
      <c r="G565" s="24">
        <v>0.54494624658210711</v>
      </c>
      <c r="H565" s="24">
        <v>0.30174676377543019</v>
      </c>
      <c r="I565" s="53">
        <v>1822.8989353894374</v>
      </c>
      <c r="J565" s="53">
        <v>6230.4966549478486</v>
      </c>
      <c r="K565" s="24">
        <v>0.62072012001509447</v>
      </c>
      <c r="L565" s="24">
        <v>0.89471895613759189</v>
      </c>
      <c r="M565" s="24">
        <v>0.84464800856183431</v>
      </c>
      <c r="O565" s="53">
        <v>4.1598682460772922</v>
      </c>
      <c r="P565" s="54">
        <v>17656.749728502677</v>
      </c>
      <c r="Q565" s="54">
        <v>4.3546714882991617</v>
      </c>
      <c r="R565" s="54">
        <v>35106.843724673919</v>
      </c>
      <c r="S565" s="54">
        <v>0.19480324222186951</v>
      </c>
      <c r="T565" s="54">
        <v>17450.093996171243</v>
      </c>
      <c r="V565" s="69">
        <f t="shared" si="50"/>
        <v>814316.89948695572</v>
      </c>
      <c r="W565" s="69">
        <f t="shared" si="51"/>
        <v>835827.45393515844</v>
      </c>
      <c r="X565" s="69">
        <f t="shared" si="48"/>
        <v>21510.55444820266</v>
      </c>
      <c r="Z565" s="68">
        <f t="shared" si="52"/>
        <v>0</v>
      </c>
      <c r="AA565" s="68">
        <f t="shared" si="53"/>
        <v>1</v>
      </c>
      <c r="AB565" s="68">
        <f t="shared" si="49"/>
        <v>1</v>
      </c>
    </row>
    <row r="566" spans="1:28" x14ac:dyDescent="0.25">
      <c r="A566">
        <v>561</v>
      </c>
      <c r="C566" s="24">
        <v>1.8897210680639209E-2</v>
      </c>
      <c r="D566" s="24">
        <v>1.8686360447252884E-4</v>
      </c>
      <c r="E566" s="24">
        <v>5.3467913198751439E-26</v>
      </c>
      <c r="F566" s="24">
        <v>4.809202199120538E-25</v>
      </c>
      <c r="G566" s="24">
        <v>0.77995655928729346</v>
      </c>
      <c r="H566" s="24">
        <v>0.24468611062003187</v>
      </c>
      <c r="I566" s="53">
        <v>1875.456881015295</v>
      </c>
      <c r="J566" s="53">
        <v>4082.6426555726771</v>
      </c>
      <c r="K566" s="24">
        <v>0.72862248792757045</v>
      </c>
      <c r="L566" s="24">
        <v>0.88757200116410584</v>
      </c>
      <c r="M566" s="24">
        <v>0.78892243516299287</v>
      </c>
      <c r="O566" s="53">
        <v>4.0160760443916139</v>
      </c>
      <c r="P566" s="54">
        <v>27334.018276764768</v>
      </c>
      <c r="Q566" s="54">
        <v>4.3862988871157471</v>
      </c>
      <c r="R566" s="54">
        <v>31689.051093427861</v>
      </c>
      <c r="S566" s="54">
        <v>0.37022284272413319</v>
      </c>
      <c r="T566" s="54">
        <v>4355.0328166630934</v>
      </c>
      <c r="V566" s="69">
        <f t="shared" si="50"/>
        <v>775881.19060155796</v>
      </c>
      <c r="W566" s="69">
        <f t="shared" si="51"/>
        <v>845570.72632972163</v>
      </c>
      <c r="X566" s="69">
        <f t="shared" si="48"/>
        <v>69689.535728163552</v>
      </c>
      <c r="Z566" s="68">
        <f t="shared" si="52"/>
        <v>0</v>
      </c>
      <c r="AA566" s="68">
        <f t="shared" si="53"/>
        <v>1</v>
      </c>
      <c r="AB566" s="68">
        <f t="shared" si="49"/>
        <v>1</v>
      </c>
    </row>
    <row r="567" spans="1:28" x14ac:dyDescent="0.25">
      <c r="A567">
        <v>562</v>
      </c>
      <c r="C567" s="24">
        <v>4.4086052405532921E-6</v>
      </c>
      <c r="D567" s="24">
        <v>9.3271360984749623E-4</v>
      </c>
      <c r="E567" s="24">
        <v>9.8997421575609256E-17</v>
      </c>
      <c r="F567" s="24">
        <v>6.2083671537038754E-13</v>
      </c>
      <c r="G567" s="24">
        <v>0.65044523246066555</v>
      </c>
      <c r="H567" s="24">
        <v>0.2318620440342497</v>
      </c>
      <c r="I567" s="53">
        <v>2013.6438119903044</v>
      </c>
      <c r="J567" s="53">
        <v>4332.8078990352633</v>
      </c>
      <c r="K567" s="24">
        <v>0.75555009546841656</v>
      </c>
      <c r="L567" s="24">
        <v>0.94587572203699422</v>
      </c>
      <c r="M567" s="24">
        <v>0.8354753627081154</v>
      </c>
      <c r="O567" s="53">
        <v>4.4164525740907576</v>
      </c>
      <c r="P567" s="54">
        <v>16878.473101927699</v>
      </c>
      <c r="Q567" s="54">
        <v>4.6713375835256272</v>
      </c>
      <c r="R567" s="54">
        <v>34145.715753693614</v>
      </c>
      <c r="S567" s="54">
        <v>0.25488500943486958</v>
      </c>
      <c r="T567" s="54">
        <v>17267.242651765915</v>
      </c>
      <c r="V567" s="69">
        <f t="shared" si="50"/>
        <v>866412.04171622382</v>
      </c>
      <c r="W567" s="69">
        <f t="shared" si="51"/>
        <v>900121.80095143185</v>
      </c>
      <c r="X567" s="69">
        <f t="shared" si="48"/>
        <v>33709.759235207996</v>
      </c>
      <c r="Z567" s="68">
        <f t="shared" si="52"/>
        <v>0</v>
      </c>
      <c r="AA567" s="68">
        <f t="shared" si="53"/>
        <v>1</v>
      </c>
      <c r="AB567" s="68">
        <f t="shared" si="49"/>
        <v>1</v>
      </c>
    </row>
    <row r="568" spans="1:28" x14ac:dyDescent="0.25">
      <c r="A568">
        <v>563</v>
      </c>
      <c r="C568" s="24">
        <v>7.6866067960434936E-4</v>
      </c>
      <c r="D568" s="24">
        <v>3.9377128710459397E-3</v>
      </c>
      <c r="E568" s="24">
        <v>8.4320264081562514E-26</v>
      </c>
      <c r="F568" s="24">
        <v>1.3939683879441204E-28</v>
      </c>
      <c r="G568" s="24">
        <v>0.6654474440457625</v>
      </c>
      <c r="H568" s="24">
        <v>0.28021941168077569</v>
      </c>
      <c r="I568" s="53">
        <v>1426.2423502453505</v>
      </c>
      <c r="J568" s="53">
        <v>5418.5827416337779</v>
      </c>
      <c r="K568" s="24">
        <v>0.66091284767421232</v>
      </c>
      <c r="L568" s="24">
        <v>0.87068678478138994</v>
      </c>
      <c r="M568" s="24">
        <v>0.81613678324986738</v>
      </c>
      <c r="O568" s="53">
        <v>3.9902160843683467</v>
      </c>
      <c r="P568" s="54">
        <v>16156.514193746805</v>
      </c>
      <c r="Q568" s="54">
        <v>4.2705313053546154</v>
      </c>
      <c r="R568" s="54">
        <v>39245.578665494926</v>
      </c>
      <c r="S568" s="54">
        <v>0.28031522098626871</v>
      </c>
      <c r="T568" s="54">
        <v>23089.064471748119</v>
      </c>
      <c r="V568" s="69">
        <f t="shared" si="50"/>
        <v>781886.70267992245</v>
      </c>
      <c r="W568" s="69">
        <f t="shared" si="51"/>
        <v>814860.68240542815</v>
      </c>
      <c r="X568" s="69">
        <f t="shared" si="48"/>
        <v>32973.979725505626</v>
      </c>
      <c r="Z568" s="68">
        <f t="shared" si="52"/>
        <v>0</v>
      </c>
      <c r="AA568" s="68">
        <f t="shared" si="53"/>
        <v>1</v>
      </c>
      <c r="AB568" s="68">
        <f t="shared" si="49"/>
        <v>1</v>
      </c>
    </row>
    <row r="569" spans="1:28" x14ac:dyDescent="0.25">
      <c r="A569">
        <v>564</v>
      </c>
      <c r="C569" s="24">
        <v>3.5930758846220338E-26</v>
      </c>
      <c r="D569" s="24">
        <v>4.7078874796167917E-5</v>
      </c>
      <c r="E569" s="24">
        <v>6.0887769713155352E-27</v>
      </c>
      <c r="F569" s="24">
        <v>2.9170443942241484E-20</v>
      </c>
      <c r="G569" s="24">
        <v>0.47179992362282253</v>
      </c>
      <c r="H569" s="24">
        <v>0.3369184152907666</v>
      </c>
      <c r="I569" s="53">
        <v>2088.960835874037</v>
      </c>
      <c r="J569" s="53">
        <v>4698.1655710556824</v>
      </c>
      <c r="K569" s="24">
        <v>0.73888909695139193</v>
      </c>
      <c r="L569" s="24">
        <v>0.94174115724678698</v>
      </c>
      <c r="M569" s="24">
        <v>0.88200783475342848</v>
      </c>
      <c r="O569" s="53">
        <v>4.5317495940986188</v>
      </c>
      <c r="P569" s="54">
        <v>11315.74373542476</v>
      </c>
      <c r="Q569" s="54">
        <v>4.6060630234548254</v>
      </c>
      <c r="R569" s="54">
        <v>48015.765045624306</v>
      </c>
      <c r="S569" s="54">
        <v>7.4313429356206662E-2</v>
      </c>
      <c r="T569" s="54">
        <v>36700.021310199547</v>
      </c>
      <c r="V569" s="69">
        <f t="shared" si="50"/>
        <v>895034.17508429906</v>
      </c>
      <c r="W569" s="69">
        <f t="shared" si="51"/>
        <v>873196.83964534069</v>
      </c>
      <c r="X569" s="69">
        <f t="shared" si="48"/>
        <v>-21837.335438958216</v>
      </c>
      <c r="Z569" s="68">
        <f t="shared" si="52"/>
        <v>1</v>
      </c>
      <c r="AA569" s="68">
        <f t="shared" si="53"/>
        <v>0</v>
      </c>
      <c r="AB569" s="68">
        <f t="shared" si="49"/>
        <v>0</v>
      </c>
    </row>
    <row r="570" spans="1:28" x14ac:dyDescent="0.25">
      <c r="A570">
        <v>565</v>
      </c>
      <c r="C570" s="24">
        <v>4.249030962009561E-18</v>
      </c>
      <c r="D570" s="24">
        <v>1.0985196000447769E-3</v>
      </c>
      <c r="E570" s="24">
        <v>3.258137694224473E-18</v>
      </c>
      <c r="F570" s="24">
        <v>1.7519219408512754E-10</v>
      </c>
      <c r="G570" s="24">
        <v>0.56273606420362032</v>
      </c>
      <c r="H570" s="24">
        <v>0.3168040686491711</v>
      </c>
      <c r="I570" s="53">
        <v>2039.2051808130425</v>
      </c>
      <c r="J570" s="53">
        <v>3192.5370757689816</v>
      </c>
      <c r="K570" s="24">
        <v>0.60084238798620426</v>
      </c>
      <c r="L570" s="24">
        <v>0.92599641289513457</v>
      </c>
      <c r="M570" s="24">
        <v>0.84995148498804352</v>
      </c>
      <c r="O570" s="53">
        <v>4.2351398954609616</v>
      </c>
      <c r="P570" s="54">
        <v>18406.233001537028</v>
      </c>
      <c r="Q570" s="54">
        <v>4.479131540628198</v>
      </c>
      <c r="R570" s="54">
        <v>43079.697927222485</v>
      </c>
      <c r="S570" s="54">
        <v>0.24399164516723637</v>
      </c>
      <c r="T570" s="54">
        <v>24673.464925685457</v>
      </c>
      <c r="V570" s="69">
        <f t="shared" si="50"/>
        <v>828621.74609065533</v>
      </c>
      <c r="W570" s="69">
        <f t="shared" si="51"/>
        <v>852746.6101984171</v>
      </c>
      <c r="X570" s="69">
        <f t="shared" si="48"/>
        <v>24124.864107761819</v>
      </c>
      <c r="Z570" s="68">
        <f t="shared" si="52"/>
        <v>0</v>
      </c>
      <c r="AA570" s="68">
        <f t="shared" si="53"/>
        <v>1</v>
      </c>
      <c r="AB570" s="68">
        <f t="shared" si="49"/>
        <v>1</v>
      </c>
    </row>
    <row r="571" spans="1:28" x14ac:dyDescent="0.25">
      <c r="A571">
        <v>566</v>
      </c>
      <c r="C571" s="24">
        <v>6.6938672058717586E-6</v>
      </c>
      <c r="D571" s="24">
        <v>9.2005604785905248E-3</v>
      </c>
      <c r="E571" s="24">
        <v>1.9287604702219119E-39</v>
      </c>
      <c r="F571" s="24">
        <v>1.993830403109853E-3</v>
      </c>
      <c r="G571" s="24">
        <v>0.72426630290198424</v>
      </c>
      <c r="H571" s="24">
        <v>0.27569691997860402</v>
      </c>
      <c r="I571" s="53">
        <v>2129.2228984159278</v>
      </c>
      <c r="J571" s="53">
        <v>5253.8632965199849</v>
      </c>
      <c r="K571" s="24">
        <v>0.53707329060865694</v>
      </c>
      <c r="L571" s="24">
        <v>0.73585575952911098</v>
      </c>
      <c r="M571" s="24">
        <v>0.64444716540115021</v>
      </c>
      <c r="O571" s="53">
        <v>3.2611914936325683</v>
      </c>
      <c r="P571" s="54">
        <v>20676.093682597719</v>
      </c>
      <c r="Q571" s="54">
        <v>3.589012507983846</v>
      </c>
      <c r="R571" s="54">
        <v>29571.775018229429</v>
      </c>
      <c r="S571" s="54">
        <v>0.32782101435127764</v>
      </c>
      <c r="T571" s="54">
        <v>8895.6813356317107</v>
      </c>
      <c r="V571" s="69">
        <f t="shared" si="50"/>
        <v>631562.20504391589</v>
      </c>
      <c r="W571" s="69">
        <f t="shared" si="51"/>
        <v>688230.72657853982</v>
      </c>
      <c r="X571" s="69">
        <f t="shared" si="48"/>
        <v>56668.521534623811</v>
      </c>
      <c r="Z571" s="68">
        <f t="shared" si="52"/>
        <v>0</v>
      </c>
      <c r="AA571" s="68">
        <f t="shared" si="53"/>
        <v>1</v>
      </c>
      <c r="AB571" s="68">
        <f t="shared" si="49"/>
        <v>1</v>
      </c>
    </row>
    <row r="572" spans="1:28" x14ac:dyDescent="0.25">
      <c r="A572">
        <v>567</v>
      </c>
      <c r="C572" s="24">
        <v>8.9882603905922973E-12</v>
      </c>
      <c r="D572" s="24">
        <v>4.7819383363618684E-3</v>
      </c>
      <c r="E572" s="24">
        <v>3.3073520055099502E-28</v>
      </c>
      <c r="F572" s="24">
        <v>4.2045017845752082E-49</v>
      </c>
      <c r="G572" s="24">
        <v>0.66247842045193805</v>
      </c>
      <c r="H572" s="24">
        <v>0.26216240803249791</v>
      </c>
      <c r="I572" s="53">
        <v>1979.512171350457</v>
      </c>
      <c r="J572" s="53">
        <v>4490.2069753323876</v>
      </c>
      <c r="K572" s="24">
        <v>0.56332861290633951</v>
      </c>
      <c r="L572" s="24">
        <v>0.96720350424904711</v>
      </c>
      <c r="M572" s="24">
        <v>0.83552730195144487</v>
      </c>
      <c r="O572" s="53">
        <v>4.1444548687227405</v>
      </c>
      <c r="P572" s="54">
        <v>19795.731772189396</v>
      </c>
      <c r="Q572" s="54">
        <v>4.6887295797209916</v>
      </c>
      <c r="R572" s="54">
        <v>29879.123104482227</v>
      </c>
      <c r="S572" s="54">
        <v>0.54427471099825109</v>
      </c>
      <c r="T572" s="54">
        <v>10083.391332292831</v>
      </c>
      <c r="V572" s="69">
        <f t="shared" si="50"/>
        <v>809095.24197235866</v>
      </c>
      <c r="W572" s="69">
        <f t="shared" si="51"/>
        <v>907866.79283971607</v>
      </c>
      <c r="X572" s="69">
        <f t="shared" si="48"/>
        <v>98771.550867357393</v>
      </c>
      <c r="Z572" s="68">
        <f t="shared" si="52"/>
        <v>0</v>
      </c>
      <c r="AA572" s="68">
        <f t="shared" si="53"/>
        <v>1</v>
      </c>
      <c r="AB572" s="68">
        <f t="shared" si="49"/>
        <v>1</v>
      </c>
    </row>
    <row r="573" spans="1:28" x14ac:dyDescent="0.25">
      <c r="A573">
        <v>568</v>
      </c>
      <c r="C573" s="24">
        <v>1.0575855011095126E-11</v>
      </c>
      <c r="D573" s="24">
        <v>1.2938976282161008E-2</v>
      </c>
      <c r="E573" s="24">
        <v>1.373845410716085E-18</v>
      </c>
      <c r="F573" s="24">
        <v>1.8474242237052636E-49</v>
      </c>
      <c r="G573" s="24">
        <v>0.71335843190325798</v>
      </c>
      <c r="H573" s="24">
        <v>0.23628205265217295</v>
      </c>
      <c r="I573" s="53">
        <v>1827.8767266213363</v>
      </c>
      <c r="J573" s="53">
        <v>3303.3891655244524</v>
      </c>
      <c r="K573" s="24">
        <v>0.64902248188633149</v>
      </c>
      <c r="L573" s="24">
        <v>0.94573899062078604</v>
      </c>
      <c r="M573" s="24">
        <v>0.95087654313151759</v>
      </c>
      <c r="O573" s="53">
        <v>4.1266742240444163</v>
      </c>
      <c r="P573" s="54">
        <v>19624.341913447497</v>
      </c>
      <c r="Q573" s="54">
        <v>4.6373715387121095</v>
      </c>
      <c r="R573" s="54">
        <v>31414.988244603221</v>
      </c>
      <c r="S573" s="54">
        <v>0.51069731466769319</v>
      </c>
      <c r="T573" s="54">
        <v>11790.646331155724</v>
      </c>
      <c r="V573" s="69">
        <f t="shared" si="50"/>
        <v>805710.50289543578</v>
      </c>
      <c r="W573" s="69">
        <f t="shared" si="51"/>
        <v>896059.31949781859</v>
      </c>
      <c r="X573" s="69">
        <f t="shared" si="48"/>
        <v>90348.816602382925</v>
      </c>
      <c r="Z573" s="68">
        <f t="shared" si="52"/>
        <v>0</v>
      </c>
      <c r="AA573" s="68">
        <f t="shared" si="53"/>
        <v>1</v>
      </c>
      <c r="AB573" s="68">
        <f t="shared" si="49"/>
        <v>1</v>
      </c>
    </row>
    <row r="574" spans="1:28" x14ac:dyDescent="0.25">
      <c r="A574">
        <v>569</v>
      </c>
      <c r="C574" s="24">
        <v>6.5453416996819058E-5</v>
      </c>
      <c r="D574" s="24">
        <v>1.1813782470823525E-3</v>
      </c>
      <c r="E574" s="24">
        <v>2.3797546755410792E-7</v>
      </c>
      <c r="F574" s="24">
        <v>2.3292796263936268E-46</v>
      </c>
      <c r="G574" s="24">
        <v>0.6361709335883563</v>
      </c>
      <c r="H574" s="24">
        <v>0.36022766382959981</v>
      </c>
      <c r="I574" s="53">
        <v>1929.5981535813637</v>
      </c>
      <c r="J574" s="53">
        <v>4148.1201522893507</v>
      </c>
      <c r="K574" s="24">
        <v>0.70640098031879595</v>
      </c>
      <c r="L574" s="24">
        <v>0.91124375456792861</v>
      </c>
      <c r="M574" s="24">
        <v>0.62988179915493792</v>
      </c>
      <c r="O574" s="53">
        <v>4.2351885410020902</v>
      </c>
      <c r="P574" s="54">
        <v>21589.867570339895</v>
      </c>
      <c r="Q574" s="54">
        <v>4.4392734317575693</v>
      </c>
      <c r="R574" s="54">
        <v>42930.741453727416</v>
      </c>
      <c r="S574" s="54">
        <v>0.20408489075547909</v>
      </c>
      <c r="T574" s="54">
        <v>21340.873883387521</v>
      </c>
      <c r="V574" s="69">
        <f t="shared" si="50"/>
        <v>825447.84063007811</v>
      </c>
      <c r="W574" s="69">
        <f t="shared" si="51"/>
        <v>844923.94489778648</v>
      </c>
      <c r="X574" s="69">
        <f t="shared" si="48"/>
        <v>19476.104267708299</v>
      </c>
      <c r="Z574" s="68">
        <f t="shared" si="52"/>
        <v>0</v>
      </c>
      <c r="AA574" s="68">
        <f t="shared" si="53"/>
        <v>1</v>
      </c>
      <c r="AB574" s="68">
        <f t="shared" si="49"/>
        <v>1</v>
      </c>
    </row>
    <row r="575" spans="1:28" x14ac:dyDescent="0.25">
      <c r="A575">
        <v>570</v>
      </c>
      <c r="C575" s="24">
        <v>1.6095756734784421E-8</v>
      </c>
      <c r="D575" s="24">
        <v>1.5011114791086966E-3</v>
      </c>
      <c r="E575" s="24">
        <v>5.8538895952864323E-10</v>
      </c>
      <c r="F575" s="24">
        <v>6.0360918283741784E-22</v>
      </c>
      <c r="G575" s="24">
        <v>0.60118631027363867</v>
      </c>
      <c r="H575" s="24">
        <v>0.21513752704653466</v>
      </c>
      <c r="I575" s="53">
        <v>1919.7839231118521</v>
      </c>
      <c r="J575" s="53">
        <v>4756.8824643537655</v>
      </c>
      <c r="K575" s="24">
        <v>0.64849267940779887</v>
      </c>
      <c r="L575" s="24">
        <v>0.97974177388329697</v>
      </c>
      <c r="M575" s="24">
        <v>0.80039171171471835</v>
      </c>
      <c r="O575" s="53">
        <v>4.4385856832299302</v>
      </c>
      <c r="P575" s="54">
        <v>16523.602881356266</v>
      </c>
      <c r="Q575" s="54">
        <v>4.8063313774120751</v>
      </c>
      <c r="R575" s="54">
        <v>36318.684575861625</v>
      </c>
      <c r="S575" s="54">
        <v>0.36774569418214487</v>
      </c>
      <c r="T575" s="54">
        <v>19795.081694505359</v>
      </c>
      <c r="V575" s="69">
        <f t="shared" si="50"/>
        <v>871193.53376462974</v>
      </c>
      <c r="W575" s="69">
        <f t="shared" si="51"/>
        <v>924947.59090655332</v>
      </c>
      <c r="X575" s="69">
        <f t="shared" si="48"/>
        <v>53754.057141923615</v>
      </c>
      <c r="Z575" s="68">
        <f t="shared" si="52"/>
        <v>0</v>
      </c>
      <c r="AA575" s="68">
        <f t="shared" si="53"/>
        <v>1</v>
      </c>
      <c r="AB575" s="68">
        <f t="shared" si="49"/>
        <v>1</v>
      </c>
    </row>
    <row r="576" spans="1:28" x14ac:dyDescent="0.25">
      <c r="A576">
        <v>571</v>
      </c>
      <c r="C576" s="24">
        <v>4.825752795586391E-4</v>
      </c>
      <c r="D576" s="24">
        <v>3.6913378752867859E-5</v>
      </c>
      <c r="E576" s="24">
        <v>9.1706928717627534E-9</v>
      </c>
      <c r="F576" s="24">
        <v>8.3100756831377964E-8</v>
      </c>
      <c r="G576" s="24">
        <v>0.64509545190994255</v>
      </c>
      <c r="H576" s="24">
        <v>0.3177008103143405</v>
      </c>
      <c r="I576" s="53">
        <v>2208.7575173859595</v>
      </c>
      <c r="J576" s="53">
        <v>4995.3684591582942</v>
      </c>
      <c r="K576" s="24">
        <v>0.74293463711861918</v>
      </c>
      <c r="L576" s="24">
        <v>0.91370125227870536</v>
      </c>
      <c r="M576" s="24">
        <v>0.6826877569257358</v>
      </c>
      <c r="O576" s="53">
        <v>4.2917237942430653</v>
      </c>
      <c r="P576" s="54">
        <v>20075.848340167278</v>
      </c>
      <c r="Q576" s="54">
        <v>4.4891919055438692</v>
      </c>
      <c r="R576" s="54">
        <v>37106.338973332277</v>
      </c>
      <c r="S576" s="54">
        <v>0.19746811130080388</v>
      </c>
      <c r="T576" s="54">
        <v>17030.490633164998</v>
      </c>
      <c r="V576" s="69">
        <f t="shared" si="50"/>
        <v>838268.9105084457</v>
      </c>
      <c r="W576" s="69">
        <f t="shared" si="51"/>
        <v>860732.04213544156</v>
      </c>
      <c r="X576" s="69">
        <f t="shared" si="48"/>
        <v>22463.131626995775</v>
      </c>
      <c r="Z576" s="68">
        <f t="shared" si="52"/>
        <v>0</v>
      </c>
      <c r="AA576" s="68">
        <f t="shared" si="53"/>
        <v>1</v>
      </c>
      <c r="AB576" s="68">
        <f t="shared" si="49"/>
        <v>1</v>
      </c>
    </row>
    <row r="577" spans="1:28" x14ac:dyDescent="0.25">
      <c r="A577">
        <v>572</v>
      </c>
      <c r="C577" s="24">
        <v>2.2300132480819634E-2</v>
      </c>
      <c r="D577" s="24">
        <v>3.7924848841489611E-3</v>
      </c>
      <c r="E577" s="24">
        <v>3.5186357988676269E-24</v>
      </c>
      <c r="F577" s="24">
        <v>1.8045631176799581E-5</v>
      </c>
      <c r="G577" s="24">
        <v>0.63091058562899671</v>
      </c>
      <c r="H577" s="24">
        <v>0.27590361922409179</v>
      </c>
      <c r="I577" s="53">
        <v>1868.0682663578339</v>
      </c>
      <c r="J577" s="53">
        <v>4609.8631747581921</v>
      </c>
      <c r="K577" s="24">
        <v>0.66475992904421255</v>
      </c>
      <c r="L577" s="24">
        <v>0.7964717148517394</v>
      </c>
      <c r="M577" s="24">
        <v>0.98669523811485726</v>
      </c>
      <c r="O577" s="53">
        <v>3.8195040732462076</v>
      </c>
      <c r="P577" s="54">
        <v>16275.265675582832</v>
      </c>
      <c r="Q577" s="54">
        <v>3.9367632615863304</v>
      </c>
      <c r="R577" s="54">
        <v>41403.150203861653</v>
      </c>
      <c r="S577" s="54">
        <v>0.11725918834012283</v>
      </c>
      <c r="T577" s="54">
        <v>25127.884528278821</v>
      </c>
      <c r="V577" s="69">
        <f t="shared" si="50"/>
        <v>747625.5489736587</v>
      </c>
      <c r="W577" s="69">
        <f t="shared" si="51"/>
        <v>745949.50211340445</v>
      </c>
      <c r="X577" s="69">
        <f t="shared" si="48"/>
        <v>-1676.0468602542533</v>
      </c>
      <c r="Z577" s="68">
        <f t="shared" si="52"/>
        <v>1</v>
      </c>
      <c r="AA577" s="68">
        <f t="shared" si="53"/>
        <v>0</v>
      </c>
      <c r="AB577" s="68">
        <f t="shared" si="49"/>
        <v>0</v>
      </c>
    </row>
    <row r="578" spans="1:28" x14ac:dyDescent="0.25">
      <c r="A578">
        <v>573</v>
      </c>
      <c r="C578" s="24">
        <v>6.5380533454420137E-7</v>
      </c>
      <c r="D578" s="24">
        <v>1.0956447095138877E-2</v>
      </c>
      <c r="E578" s="24">
        <v>3.4471742800253159E-21</v>
      </c>
      <c r="F578" s="24">
        <v>5.349941028331731E-18</v>
      </c>
      <c r="G578" s="24">
        <v>0.52861526444314744</v>
      </c>
      <c r="H578" s="24">
        <v>0.14808836234119105</v>
      </c>
      <c r="I578" s="53">
        <v>1637.7789835295014</v>
      </c>
      <c r="J578" s="53">
        <v>5357.6231822430509</v>
      </c>
      <c r="K578" s="24">
        <v>0.56729992615447855</v>
      </c>
      <c r="L578" s="24">
        <v>0.98112802498595197</v>
      </c>
      <c r="M578" s="24">
        <v>0.98447523456995523</v>
      </c>
      <c r="O578" s="53">
        <v>4.4607244532557928</v>
      </c>
      <c r="P578" s="54">
        <v>16199.53872685589</v>
      </c>
      <c r="Q578" s="54">
        <v>4.833916996567706</v>
      </c>
      <c r="R578" s="54">
        <v>15653.708645131019</v>
      </c>
      <c r="S578" s="54">
        <v>0.37319254331191321</v>
      </c>
      <c r="T578" s="54">
        <v>-545.83008172487098</v>
      </c>
      <c r="V578" s="69">
        <f t="shared" si="50"/>
        <v>875945.35192430264</v>
      </c>
      <c r="W578" s="69">
        <f t="shared" si="51"/>
        <v>951129.69066841027</v>
      </c>
      <c r="X578" s="69">
        <f t="shared" si="48"/>
        <v>75184.338744107503</v>
      </c>
      <c r="Z578" s="68">
        <f t="shared" si="52"/>
        <v>0</v>
      </c>
      <c r="AA578" s="68">
        <f t="shared" si="53"/>
        <v>1</v>
      </c>
      <c r="AB578" s="68">
        <f t="shared" si="49"/>
        <v>1</v>
      </c>
    </row>
    <row r="579" spans="1:28" x14ac:dyDescent="0.25">
      <c r="A579">
        <v>574</v>
      </c>
      <c r="C579" s="24">
        <v>2.0607486598012148E-4</v>
      </c>
      <c r="D579" s="24">
        <v>5.2826585892016002E-4</v>
      </c>
      <c r="E579" s="24">
        <v>1.4955349617510105E-2</v>
      </c>
      <c r="F579" s="24">
        <v>1.8175745012062966E-18</v>
      </c>
      <c r="G579" s="24">
        <v>0.50017960170653075</v>
      </c>
      <c r="H579" s="24">
        <v>0.18058903913545576</v>
      </c>
      <c r="I579" s="53">
        <v>1511.5786406475099</v>
      </c>
      <c r="J579" s="53">
        <v>4982.9417031180265</v>
      </c>
      <c r="K579" s="24">
        <v>0.67576381484958603</v>
      </c>
      <c r="L579" s="24">
        <v>0.68167403083355216</v>
      </c>
      <c r="M579" s="24">
        <v>0.83248342923301155</v>
      </c>
      <c r="O579" s="53">
        <v>3.3206804306893307</v>
      </c>
      <c r="P579" s="54">
        <v>12933.770398644367</v>
      </c>
      <c r="Q579" s="54">
        <v>3.4075325617699193</v>
      </c>
      <c r="R579" s="54">
        <v>29076.295923685524</v>
      </c>
      <c r="S579" s="54">
        <v>8.6852131080588535E-2</v>
      </c>
      <c r="T579" s="54">
        <v>16142.525525041157</v>
      </c>
      <c r="V579" s="69">
        <f t="shared" si="50"/>
        <v>651202.31573922175</v>
      </c>
      <c r="W579" s="69">
        <f t="shared" si="51"/>
        <v>652430.21643029829</v>
      </c>
      <c r="X579" s="69">
        <f t="shared" si="48"/>
        <v>1227.9006910765493</v>
      </c>
      <c r="Z579" s="68">
        <f t="shared" si="52"/>
        <v>0</v>
      </c>
      <c r="AA579" s="68">
        <f t="shared" si="53"/>
        <v>1</v>
      </c>
      <c r="AB579" s="68">
        <f t="shared" si="49"/>
        <v>1</v>
      </c>
    </row>
    <row r="580" spans="1:28" x14ac:dyDescent="0.25">
      <c r="A580">
        <v>575</v>
      </c>
      <c r="C580" s="24">
        <v>1.299091609357228E-2</v>
      </c>
      <c r="D580" s="24">
        <v>3.2561794161963808E-3</v>
      </c>
      <c r="E580" s="24">
        <v>3.1076929793191297E-20</v>
      </c>
      <c r="F580" s="24">
        <v>3.2194405665830407E-51</v>
      </c>
      <c r="G580" s="24">
        <v>0.60361203286513554</v>
      </c>
      <c r="H580" s="24">
        <v>0.14837017910340011</v>
      </c>
      <c r="I580" s="53">
        <v>2378.8749998388826</v>
      </c>
      <c r="J580" s="53">
        <v>5051.5036914694801</v>
      </c>
      <c r="K580" s="24">
        <v>0.62425034824306724</v>
      </c>
      <c r="L580" s="24">
        <v>0.77298765094817212</v>
      </c>
      <c r="M580" s="24">
        <v>0.93186811408478776</v>
      </c>
      <c r="O580" s="53">
        <v>3.6753340087257458</v>
      </c>
      <c r="P580" s="54">
        <v>18364.87098201269</v>
      </c>
      <c r="Q580" s="54">
        <v>3.8419587850500632</v>
      </c>
      <c r="R580" s="54">
        <v>20525.745705718677</v>
      </c>
      <c r="S580" s="54">
        <v>0.16662477632431738</v>
      </c>
      <c r="T580" s="54">
        <v>2160.874723705987</v>
      </c>
      <c r="V580" s="69">
        <f t="shared" si="50"/>
        <v>716701.93076313648</v>
      </c>
      <c r="W580" s="69">
        <f t="shared" si="51"/>
        <v>747866.01130429399</v>
      </c>
      <c r="X580" s="69">
        <f t="shared" si="48"/>
        <v>31164.080541157491</v>
      </c>
      <c r="Z580" s="68">
        <f t="shared" si="52"/>
        <v>0</v>
      </c>
      <c r="AA580" s="68">
        <f t="shared" si="53"/>
        <v>1</v>
      </c>
      <c r="AB580" s="68">
        <f t="shared" si="49"/>
        <v>1</v>
      </c>
    </row>
    <row r="581" spans="1:28" x14ac:dyDescent="0.25">
      <c r="A581">
        <v>576</v>
      </c>
      <c r="C581" s="24">
        <v>5.5309230600193065E-11</v>
      </c>
      <c r="D581" s="24">
        <v>1.3734807129965887E-3</v>
      </c>
      <c r="E581" s="24">
        <v>1.3001009773563332E-3</v>
      </c>
      <c r="F581" s="24">
        <v>1.8453552328807506E-15</v>
      </c>
      <c r="G581" s="24">
        <v>0.65074234055423197</v>
      </c>
      <c r="H581" s="24">
        <v>0.35693568747766657</v>
      </c>
      <c r="I581" s="53">
        <v>1788.1768165346077</v>
      </c>
      <c r="J581" s="53">
        <v>4533.2913661166167</v>
      </c>
      <c r="K581" s="24">
        <v>0.70559893450607625</v>
      </c>
      <c r="L581" s="24">
        <v>0.97971070596253151</v>
      </c>
      <c r="M581" s="24">
        <v>0.92666470693166958</v>
      </c>
      <c r="O581" s="53">
        <v>4.4351901863276666</v>
      </c>
      <c r="P581" s="54">
        <v>17716.402748029712</v>
      </c>
      <c r="Q581" s="54">
        <v>4.7467840953611233</v>
      </c>
      <c r="R581" s="54">
        <v>63343.467866027517</v>
      </c>
      <c r="S581" s="54">
        <v>0.31159390903345674</v>
      </c>
      <c r="T581" s="54">
        <v>45627.065117997801</v>
      </c>
      <c r="V581" s="69">
        <f t="shared" si="50"/>
        <v>869321.63451750367</v>
      </c>
      <c r="W581" s="69">
        <f t="shared" si="51"/>
        <v>886013.35120619717</v>
      </c>
      <c r="X581" s="69">
        <f t="shared" si="48"/>
        <v>16691.716688693545</v>
      </c>
      <c r="Z581" s="68">
        <f t="shared" si="52"/>
        <v>0</v>
      </c>
      <c r="AA581" s="68">
        <f t="shared" si="53"/>
        <v>1</v>
      </c>
      <c r="AB581" s="68">
        <f t="shared" si="49"/>
        <v>1</v>
      </c>
    </row>
    <row r="582" spans="1:28" x14ac:dyDescent="0.25">
      <c r="A582">
        <v>577</v>
      </c>
      <c r="C582" s="24">
        <v>1.2479504312156896E-6</v>
      </c>
      <c r="D582" s="24">
        <v>4.1265369748014757E-3</v>
      </c>
      <c r="E582" s="24">
        <v>7.673322777963765E-20</v>
      </c>
      <c r="F582" s="24">
        <v>2.1332130647953952E-45</v>
      </c>
      <c r="G582" s="24">
        <v>0.60465509116500149</v>
      </c>
      <c r="H582" s="24">
        <v>0.2024532275668518</v>
      </c>
      <c r="I582" s="53">
        <v>2259.2440946396619</v>
      </c>
      <c r="J582" s="53">
        <v>4875.1846009715373</v>
      </c>
      <c r="K582" s="24">
        <v>0.66339634469868536</v>
      </c>
      <c r="L582" s="24">
        <v>0.9275598104867433</v>
      </c>
      <c r="M582" s="24">
        <v>0.87085900132733296</v>
      </c>
      <c r="O582" s="53">
        <v>4.2664315459921607</v>
      </c>
      <c r="P582" s="54">
        <v>15167.066577957885</v>
      </c>
      <c r="Q582" s="54">
        <v>4.5693728802928586</v>
      </c>
      <c r="R582" s="54">
        <v>29194.949130522447</v>
      </c>
      <c r="S582" s="54">
        <v>0.30294133430069792</v>
      </c>
      <c r="T582" s="54">
        <v>14027.882552564563</v>
      </c>
      <c r="V582" s="69">
        <f t="shared" si="50"/>
        <v>838119.24262047419</v>
      </c>
      <c r="W582" s="69">
        <f t="shared" si="51"/>
        <v>884679.62692804926</v>
      </c>
      <c r="X582" s="69">
        <f t="shared" si="48"/>
        <v>46560.384307575019</v>
      </c>
      <c r="Z582" s="68">
        <f t="shared" si="52"/>
        <v>0</v>
      </c>
      <c r="AA582" s="68">
        <f t="shared" si="53"/>
        <v>1</v>
      </c>
      <c r="AB582" s="68">
        <f t="shared" si="49"/>
        <v>1</v>
      </c>
    </row>
    <row r="583" spans="1:28" x14ac:dyDescent="0.25">
      <c r="A583">
        <v>578</v>
      </c>
      <c r="C583" s="24">
        <v>9.5994418356444027E-10</v>
      </c>
      <c r="D583" s="24">
        <v>1.4900778135018555E-3</v>
      </c>
      <c r="E583" s="24">
        <v>1.5830685207892659E-3</v>
      </c>
      <c r="F583" s="24">
        <v>5.8523685816919134E-40</v>
      </c>
      <c r="G583" s="24">
        <v>0.47882786133482047</v>
      </c>
      <c r="H583" s="24">
        <v>0.2686326441953123</v>
      </c>
      <c r="I583" s="53">
        <v>1376.5346331943629</v>
      </c>
      <c r="J583" s="53">
        <v>5327.8394858100264</v>
      </c>
      <c r="K583" s="24">
        <v>0.61346434512201931</v>
      </c>
      <c r="L583" s="24">
        <v>0.82276117497177015</v>
      </c>
      <c r="M583" s="24">
        <v>0.89008053420933009</v>
      </c>
      <c r="O583" s="53">
        <v>3.9160967222539993</v>
      </c>
      <c r="P583" s="54">
        <v>13153.347594916315</v>
      </c>
      <c r="Q583" s="54">
        <v>4.0376737575825894</v>
      </c>
      <c r="R583" s="54">
        <v>46213.43511571909</v>
      </c>
      <c r="S583" s="54">
        <v>0.1215770353285901</v>
      </c>
      <c r="T583" s="54">
        <v>33060.087520802772</v>
      </c>
      <c r="V583" s="69">
        <f t="shared" si="50"/>
        <v>770065.99685588351</v>
      </c>
      <c r="W583" s="69">
        <f t="shared" si="51"/>
        <v>761321.31640079874</v>
      </c>
      <c r="X583" s="69">
        <f t="shared" ref="X583:X646" si="54">S583*cRatio-T583</f>
        <v>-8744.6804550847519</v>
      </c>
      <c r="Z583" s="68">
        <f t="shared" si="52"/>
        <v>1</v>
      </c>
      <c r="AA583" s="68">
        <f t="shared" si="53"/>
        <v>0</v>
      </c>
      <c r="AB583" s="68">
        <f t="shared" ref="AB583:AB646" si="55">IF(X583&gt;0,1,0)</f>
        <v>0</v>
      </c>
    </row>
    <row r="584" spans="1:28" x14ac:dyDescent="0.25">
      <c r="A584">
        <v>579</v>
      </c>
      <c r="C584" s="24">
        <v>1.0759085739601106E-6</v>
      </c>
      <c r="D584" s="24">
        <v>5.3618169919821945E-4</v>
      </c>
      <c r="E584" s="24">
        <v>1.4787956759571927E-15</v>
      </c>
      <c r="F584" s="24">
        <v>5.4720132584308562E-32</v>
      </c>
      <c r="G584" s="24">
        <v>0.58992344114945028</v>
      </c>
      <c r="H584" s="24">
        <v>0.38252450937490867</v>
      </c>
      <c r="I584" s="53">
        <v>2397.0123258084618</v>
      </c>
      <c r="J584" s="53">
        <v>4898.9752384108169</v>
      </c>
      <c r="K584" s="24">
        <v>0.78580831772364057</v>
      </c>
      <c r="L584" s="24">
        <v>0.99032472568082008</v>
      </c>
      <c r="M584" s="24">
        <v>0.99642056634691878</v>
      </c>
      <c r="O584" s="53">
        <v>4.6784329285864024</v>
      </c>
      <c r="P584" s="54">
        <v>15830.439251151458</v>
      </c>
      <c r="Q584" s="54">
        <v>4.8259871249363604</v>
      </c>
      <c r="R584" s="54">
        <v>54930.457004602045</v>
      </c>
      <c r="S584" s="54">
        <v>0.14755419634995803</v>
      </c>
      <c r="T584" s="54">
        <v>39100.017753450586</v>
      </c>
      <c r="V584" s="69">
        <f t="shared" si="50"/>
        <v>919856.14646612911</v>
      </c>
      <c r="W584" s="69">
        <f t="shared" si="51"/>
        <v>910266.96798267006</v>
      </c>
      <c r="X584" s="69">
        <f t="shared" si="54"/>
        <v>-9589.178483458978</v>
      </c>
      <c r="Z584" s="68">
        <f t="shared" si="52"/>
        <v>1</v>
      </c>
      <c r="AA584" s="68">
        <f t="shared" si="53"/>
        <v>0</v>
      </c>
      <c r="AB584" s="68">
        <f t="shared" si="55"/>
        <v>0</v>
      </c>
    </row>
    <row r="585" spans="1:28" x14ac:dyDescent="0.25">
      <c r="A585">
        <v>580</v>
      </c>
      <c r="C585" s="24">
        <v>1.3955881511075185E-3</v>
      </c>
      <c r="D585" s="24">
        <v>2.0820972530917192E-3</v>
      </c>
      <c r="E585" s="24">
        <v>1.7398619212016797E-9</v>
      </c>
      <c r="F585" s="24">
        <v>1.912320530624467E-26</v>
      </c>
      <c r="G585" s="24">
        <v>0.48784751539010285</v>
      </c>
      <c r="H585" s="24">
        <v>0.28559138776332427</v>
      </c>
      <c r="I585" s="53">
        <v>1602.2355850234544</v>
      </c>
      <c r="J585" s="53">
        <v>5846.6034132886462</v>
      </c>
      <c r="K585" s="24">
        <v>0.49646685310402944</v>
      </c>
      <c r="L585" s="24">
        <v>0.82018172925554889</v>
      </c>
      <c r="M585" s="24">
        <v>0.85851658475795234</v>
      </c>
      <c r="O585" s="53">
        <v>3.8015022418889317</v>
      </c>
      <c r="P585" s="54">
        <v>14016.257089777666</v>
      </c>
      <c r="Q585" s="54">
        <v>3.9722605622784348</v>
      </c>
      <c r="R585" s="54">
        <v>34273.077060471274</v>
      </c>
      <c r="S585" s="54">
        <v>0.17075832038950312</v>
      </c>
      <c r="T585" s="54">
        <v>20256.819970693607</v>
      </c>
      <c r="V585" s="69">
        <f t="shared" si="50"/>
        <v>746284.1912880087</v>
      </c>
      <c r="W585" s="69">
        <f t="shared" si="51"/>
        <v>760179.03539521573</v>
      </c>
      <c r="X585" s="69">
        <f t="shared" si="54"/>
        <v>13894.84410720702</v>
      </c>
      <c r="Z585" s="68">
        <f t="shared" si="52"/>
        <v>0</v>
      </c>
      <c r="AA585" s="68">
        <f t="shared" si="53"/>
        <v>1</v>
      </c>
      <c r="AB585" s="68">
        <f t="shared" si="55"/>
        <v>1</v>
      </c>
    </row>
    <row r="586" spans="1:28" x14ac:dyDescent="0.25">
      <c r="A586">
        <v>581</v>
      </c>
      <c r="C586" s="24">
        <v>1.8799305764616558E-9</v>
      </c>
      <c r="D586" s="24">
        <v>3.5503592166074145E-4</v>
      </c>
      <c r="E586" s="24">
        <v>1.215673862412723E-15</v>
      </c>
      <c r="F586" s="24">
        <v>1.8540724511240114E-14</v>
      </c>
      <c r="G586" s="24">
        <v>0.518394678901277</v>
      </c>
      <c r="H586" s="24">
        <v>0.2602873325915176</v>
      </c>
      <c r="I586" s="53">
        <v>2028.8553081908992</v>
      </c>
      <c r="J586" s="53">
        <v>5074.0142226595408</v>
      </c>
      <c r="K586" s="24">
        <v>0.66318083445308762</v>
      </c>
      <c r="L586" s="24">
        <v>0.71249730684102253</v>
      </c>
      <c r="M586" s="24">
        <v>0.86993786687712105</v>
      </c>
      <c r="O586" s="53">
        <v>3.5113901296402714</v>
      </c>
      <c r="P586" s="54">
        <v>14140.667865611804</v>
      </c>
      <c r="Q586" s="54">
        <v>3.545505241673975</v>
      </c>
      <c r="R586" s="54">
        <v>43301.162101623289</v>
      </c>
      <c r="S586" s="54">
        <v>3.4115112033703543E-2</v>
      </c>
      <c r="T586" s="54">
        <v>29160.494236011487</v>
      </c>
      <c r="V586" s="69">
        <f t="shared" ref="V586:V649" si="56">O586*cRatio-P586</f>
        <v>688137.35806244239</v>
      </c>
      <c r="W586" s="69">
        <f t="shared" ref="W586:W649" si="57">Q586*cRatio-R586</f>
        <v>665799.8862331718</v>
      </c>
      <c r="X586" s="69">
        <f t="shared" si="54"/>
        <v>-22337.471829270777</v>
      </c>
      <c r="Z586" s="68">
        <f t="shared" ref="Z586:Z649" si="58">IF(MAX(V586:W586)=V586,1,0)</f>
        <v>1</v>
      </c>
      <c r="AA586" s="68">
        <f t="shared" ref="AA586:AA649" si="59">IF(MAX(V586:W586)=W586,1,0)</f>
        <v>0</v>
      </c>
      <c r="AB586" s="68">
        <f t="shared" si="55"/>
        <v>0</v>
      </c>
    </row>
    <row r="587" spans="1:28" x14ac:dyDescent="0.25">
      <c r="A587">
        <v>582</v>
      </c>
      <c r="C587" s="24">
        <v>5.4409366048331353E-3</v>
      </c>
      <c r="D587" s="24">
        <v>7.3726825501156945E-3</v>
      </c>
      <c r="E587" s="24">
        <v>6.3844770922232826E-32</v>
      </c>
      <c r="F587" s="24">
        <v>3.4226655857283461E-6</v>
      </c>
      <c r="G587" s="24">
        <v>0.52320650652782019</v>
      </c>
      <c r="H587" s="24">
        <v>0.21380029050937577</v>
      </c>
      <c r="I587" s="53">
        <v>1630.5869420549457</v>
      </c>
      <c r="J587" s="53">
        <v>5778.5436187845025</v>
      </c>
      <c r="K587" s="24">
        <v>0.5989063736135215</v>
      </c>
      <c r="L587" s="24">
        <v>0.89191486490087013</v>
      </c>
      <c r="M587" s="24">
        <v>0.9344327802365926</v>
      </c>
      <c r="O587" s="53">
        <v>4.1525639484483525</v>
      </c>
      <c r="P587" s="54">
        <v>15429.248599789118</v>
      </c>
      <c r="Q587" s="54">
        <v>4.3817956117911478</v>
      </c>
      <c r="R587" s="54">
        <v>29185.237718861616</v>
      </c>
      <c r="S587" s="54">
        <v>0.22923166334279532</v>
      </c>
      <c r="T587" s="54">
        <v>13755.989119072497</v>
      </c>
      <c r="V587" s="69">
        <f t="shared" si="56"/>
        <v>815083.54108988144</v>
      </c>
      <c r="W587" s="69">
        <f t="shared" si="57"/>
        <v>847173.88463936793</v>
      </c>
      <c r="X587" s="69">
        <f t="shared" si="54"/>
        <v>32090.34354948657</v>
      </c>
      <c r="Z587" s="68">
        <f t="shared" si="58"/>
        <v>0</v>
      </c>
      <c r="AA587" s="68">
        <f t="shared" si="59"/>
        <v>1</v>
      </c>
      <c r="AB587" s="68">
        <f t="shared" si="55"/>
        <v>1</v>
      </c>
    </row>
    <row r="588" spans="1:28" x14ac:dyDescent="0.25">
      <c r="A588">
        <v>583</v>
      </c>
      <c r="C588" s="24">
        <v>3.2786970387221892E-4</v>
      </c>
      <c r="D588" s="24">
        <v>1.2295953885141383E-4</v>
      </c>
      <c r="E588" s="24">
        <v>3.3191634463136666E-7</v>
      </c>
      <c r="F588" s="24">
        <v>7.2164496600635175E-15</v>
      </c>
      <c r="G588" s="24">
        <v>0.55559179431311267</v>
      </c>
      <c r="H588" s="24">
        <v>0.29003417054460312</v>
      </c>
      <c r="I588" s="53">
        <v>2186.5025338095065</v>
      </c>
      <c r="J588" s="53">
        <v>5353.6599134804574</v>
      </c>
      <c r="K588" s="24">
        <v>0.47334323827341357</v>
      </c>
      <c r="L588" s="24">
        <v>0.87296112349299548</v>
      </c>
      <c r="M588" s="24">
        <v>0.78532354886172828</v>
      </c>
      <c r="O588" s="53">
        <v>3.8914090272303592</v>
      </c>
      <c r="P588" s="54">
        <v>18397.307021965895</v>
      </c>
      <c r="Q588" s="54">
        <v>4.2018196634857476</v>
      </c>
      <c r="R588" s="54">
        <v>42185.034289683943</v>
      </c>
      <c r="S588" s="54">
        <v>0.31041063625538845</v>
      </c>
      <c r="T588" s="54">
        <v>23787.727267718048</v>
      </c>
      <c r="V588" s="69">
        <f t="shared" si="56"/>
        <v>759884.49842410593</v>
      </c>
      <c r="W588" s="69">
        <f t="shared" si="57"/>
        <v>798178.89840746566</v>
      </c>
      <c r="X588" s="69">
        <f t="shared" si="54"/>
        <v>38294.399983359646</v>
      </c>
      <c r="Z588" s="68">
        <f t="shared" si="58"/>
        <v>0</v>
      </c>
      <c r="AA588" s="68">
        <f t="shared" si="59"/>
        <v>1</v>
      </c>
      <c r="AB588" s="68">
        <f t="shared" si="55"/>
        <v>1</v>
      </c>
    </row>
    <row r="589" spans="1:28" x14ac:dyDescent="0.25">
      <c r="A589">
        <v>584</v>
      </c>
      <c r="C589" s="24">
        <v>4.1214901987531576E-9</v>
      </c>
      <c r="D589" s="24">
        <v>1.8205764914936973E-3</v>
      </c>
      <c r="E589" s="24">
        <v>3.8830827442382088E-11</v>
      </c>
      <c r="F589" s="24">
        <v>9.7171136697683789E-36</v>
      </c>
      <c r="G589" s="24">
        <v>0.51262633169710514</v>
      </c>
      <c r="H589" s="24">
        <v>0.28326814621477148</v>
      </c>
      <c r="I589" s="53">
        <v>1749.5558691012668</v>
      </c>
      <c r="J589" s="53">
        <v>5917.5102751935146</v>
      </c>
      <c r="K589" s="24">
        <v>0.72578083050833653</v>
      </c>
      <c r="L589" s="24">
        <v>0.77325522937280056</v>
      </c>
      <c r="M589" s="24">
        <v>0.78420726659320716</v>
      </c>
      <c r="O589" s="53">
        <v>3.8181095977615551</v>
      </c>
      <c r="P589" s="54">
        <v>16421.226612133327</v>
      </c>
      <c r="Q589" s="54">
        <v>3.8476755660984008</v>
      </c>
      <c r="R589" s="54">
        <v>40160.127298194442</v>
      </c>
      <c r="S589" s="54">
        <v>2.9565968336845661E-2</v>
      </c>
      <c r="T589" s="54">
        <v>23738.900686061115</v>
      </c>
      <c r="V589" s="69">
        <f t="shared" si="56"/>
        <v>747200.69294017775</v>
      </c>
      <c r="W589" s="69">
        <f t="shared" si="57"/>
        <v>729374.9859214857</v>
      </c>
      <c r="X589" s="69">
        <f t="shared" si="54"/>
        <v>-17825.707018691981</v>
      </c>
      <c r="Z589" s="68">
        <f t="shared" si="58"/>
        <v>1</v>
      </c>
      <c r="AA589" s="68">
        <f t="shared" si="59"/>
        <v>0</v>
      </c>
      <c r="AB589" s="68">
        <f t="shared" si="55"/>
        <v>0</v>
      </c>
    </row>
    <row r="590" spans="1:28" x14ac:dyDescent="0.25">
      <c r="A590">
        <v>585</v>
      </c>
      <c r="C590" s="24">
        <v>3.9417598117236663E-2</v>
      </c>
      <c r="D590" s="24">
        <v>9.8186941422233609E-3</v>
      </c>
      <c r="E590" s="24">
        <v>1.2065597883148454E-23</v>
      </c>
      <c r="F590" s="24">
        <v>2.3867541276700877E-10</v>
      </c>
      <c r="G590" s="24">
        <v>0.51454822618829288</v>
      </c>
      <c r="H590" s="24">
        <v>0.20624868231381099</v>
      </c>
      <c r="I590" s="53">
        <v>2222.5142276415963</v>
      </c>
      <c r="J590" s="53">
        <v>5105.6475011625253</v>
      </c>
      <c r="K590" s="24">
        <v>0.52889038286800782</v>
      </c>
      <c r="L590" s="24">
        <v>0.83564156478048524</v>
      </c>
      <c r="M590" s="24">
        <v>0.89939556993810654</v>
      </c>
      <c r="O590" s="53">
        <v>3.8853925677188088</v>
      </c>
      <c r="P590" s="54">
        <v>15626.288349526892</v>
      </c>
      <c r="Q590" s="54">
        <v>4.1022695498604813</v>
      </c>
      <c r="R590" s="54">
        <v>39812.780149698439</v>
      </c>
      <c r="S590" s="54">
        <v>0.2168769821416725</v>
      </c>
      <c r="T590" s="54">
        <v>24186.491800171549</v>
      </c>
      <c r="V590" s="69">
        <f t="shared" si="56"/>
        <v>761452.22519423487</v>
      </c>
      <c r="W590" s="69">
        <f t="shared" si="57"/>
        <v>780641.12982239772</v>
      </c>
      <c r="X590" s="69">
        <f t="shared" si="54"/>
        <v>19188.904628162949</v>
      </c>
      <c r="Z590" s="68">
        <f t="shared" si="58"/>
        <v>0</v>
      </c>
      <c r="AA590" s="68">
        <f t="shared" si="59"/>
        <v>1</v>
      </c>
      <c r="AB590" s="68">
        <f t="shared" si="55"/>
        <v>1</v>
      </c>
    </row>
    <row r="591" spans="1:28" x14ac:dyDescent="0.25">
      <c r="A591">
        <v>586</v>
      </c>
      <c r="C591" s="24">
        <v>1.1365746031089497E-5</v>
      </c>
      <c r="D591" s="24">
        <v>9.9558401417041927E-4</v>
      </c>
      <c r="E591" s="24">
        <v>5.2743941748292097E-20</v>
      </c>
      <c r="F591" s="24">
        <v>1.02663214596177E-8</v>
      </c>
      <c r="G591" s="24">
        <v>0.55092816483959794</v>
      </c>
      <c r="H591" s="24">
        <v>0.18893045626370197</v>
      </c>
      <c r="I591" s="53">
        <v>1691.7149292515701</v>
      </c>
      <c r="J591" s="53">
        <v>5041.9676581095791</v>
      </c>
      <c r="K591" s="24">
        <v>0.62715222770635159</v>
      </c>
      <c r="L591" s="24">
        <v>0.96938065230431825</v>
      </c>
      <c r="M591" s="24">
        <v>0.86966812701893448</v>
      </c>
      <c r="O591" s="53">
        <v>4.448351885651646</v>
      </c>
      <c r="P591" s="54">
        <v>14197.380001960979</v>
      </c>
      <c r="Q591" s="54">
        <v>4.7666202596470431</v>
      </c>
      <c r="R591" s="54">
        <v>25943.919624350969</v>
      </c>
      <c r="S591" s="54">
        <v>0.31826837399539709</v>
      </c>
      <c r="T591" s="54">
        <v>11746.53962238999</v>
      </c>
      <c r="V591" s="69">
        <f t="shared" si="56"/>
        <v>875472.99712836812</v>
      </c>
      <c r="W591" s="69">
        <f t="shared" si="57"/>
        <v>927380.1323050576</v>
      </c>
      <c r="X591" s="69">
        <f t="shared" si="54"/>
        <v>51907.135176689429</v>
      </c>
      <c r="Z591" s="68">
        <f t="shared" si="58"/>
        <v>0</v>
      </c>
      <c r="AA591" s="68">
        <f t="shared" si="59"/>
        <v>1</v>
      </c>
      <c r="AB591" s="68">
        <f t="shared" si="55"/>
        <v>1</v>
      </c>
    </row>
    <row r="592" spans="1:28" x14ac:dyDescent="0.25">
      <c r="A592">
        <v>587</v>
      </c>
      <c r="C592" s="24">
        <v>2.927415823840529E-2</v>
      </c>
      <c r="D592" s="24">
        <v>2.336367081066867E-6</v>
      </c>
      <c r="E592" s="24">
        <v>1.2954466832582057E-8</v>
      </c>
      <c r="F592" s="24">
        <v>1.7940743196771341E-51</v>
      </c>
      <c r="G592" s="24">
        <v>0.54388453066417008</v>
      </c>
      <c r="H592" s="24">
        <v>0.36294111090554226</v>
      </c>
      <c r="I592" s="53">
        <v>2309.0714374154518</v>
      </c>
      <c r="J592" s="53">
        <v>6405.7307654181031</v>
      </c>
      <c r="K592" s="24">
        <v>0.65341353250082412</v>
      </c>
      <c r="L592" s="24">
        <v>0.90621670680879984</v>
      </c>
      <c r="M592" s="24">
        <v>0.83304238948632814</v>
      </c>
      <c r="O592" s="53">
        <v>4.2258320586053735</v>
      </c>
      <c r="P592" s="54">
        <v>17530.846624820024</v>
      </c>
      <c r="Q592" s="54">
        <v>4.3879639649149631</v>
      </c>
      <c r="R592" s="54">
        <v>62566.973594948424</v>
      </c>
      <c r="S592" s="54">
        <v>0.16213190630958962</v>
      </c>
      <c r="T592" s="54">
        <v>45036.126970128404</v>
      </c>
      <c r="V592" s="69">
        <f t="shared" si="56"/>
        <v>827635.56509625469</v>
      </c>
      <c r="W592" s="69">
        <f t="shared" si="57"/>
        <v>815025.81938804418</v>
      </c>
      <c r="X592" s="69">
        <f t="shared" si="54"/>
        <v>-12609.745708210477</v>
      </c>
      <c r="Z592" s="68">
        <f t="shared" si="58"/>
        <v>1</v>
      </c>
      <c r="AA592" s="68">
        <f t="shared" si="59"/>
        <v>0</v>
      </c>
      <c r="AB592" s="68">
        <f t="shared" si="55"/>
        <v>0</v>
      </c>
    </row>
    <row r="593" spans="1:28" x14ac:dyDescent="0.25">
      <c r="A593">
        <v>588</v>
      </c>
      <c r="C593" s="24">
        <v>9.147652087855862E-2</v>
      </c>
      <c r="D593" s="24">
        <v>2.4434307104781097E-4</v>
      </c>
      <c r="E593" s="24">
        <v>1.7059196542676701E-13</v>
      </c>
      <c r="F593" s="24">
        <v>1.8642865029505629E-12</v>
      </c>
      <c r="G593" s="24">
        <v>0.43691955729522536</v>
      </c>
      <c r="H593" s="24">
        <v>0.32050017972580558</v>
      </c>
      <c r="I593" s="53">
        <v>2215.0684663226361</v>
      </c>
      <c r="J593" s="53">
        <v>6834.7636793845031</v>
      </c>
      <c r="K593" s="24">
        <v>0.67250924044846006</v>
      </c>
      <c r="L593" s="24">
        <v>0.98196591201973715</v>
      </c>
      <c r="M593" s="24">
        <v>0.85907378074680141</v>
      </c>
      <c r="O593" s="53">
        <v>4.5889527031725006</v>
      </c>
      <c r="P593" s="54">
        <v>17982.092904123831</v>
      </c>
      <c r="Q593" s="54">
        <v>4.7641613277143033</v>
      </c>
      <c r="R593" s="54">
        <v>47105.956986515477</v>
      </c>
      <c r="S593" s="54">
        <v>0.17520862454180275</v>
      </c>
      <c r="T593" s="54">
        <v>29123.864082391647</v>
      </c>
      <c r="V593" s="69">
        <f t="shared" si="56"/>
        <v>899808.44773037627</v>
      </c>
      <c r="W593" s="69">
        <f t="shared" si="57"/>
        <v>905726.30855634529</v>
      </c>
      <c r="X593" s="69">
        <f t="shared" si="54"/>
        <v>5917.8608259689026</v>
      </c>
      <c r="Z593" s="68">
        <f t="shared" si="58"/>
        <v>0</v>
      </c>
      <c r="AA593" s="68">
        <f t="shared" si="59"/>
        <v>1</v>
      </c>
      <c r="AB593" s="68">
        <f t="shared" si="55"/>
        <v>1</v>
      </c>
    </row>
    <row r="594" spans="1:28" x14ac:dyDescent="0.25">
      <c r="A594">
        <v>589</v>
      </c>
      <c r="C594" s="24">
        <v>1.5084557621731776E-2</v>
      </c>
      <c r="D594" s="24">
        <v>3.1692690345850316E-3</v>
      </c>
      <c r="E594" s="24">
        <v>1.2620048066794194E-75</v>
      </c>
      <c r="F594" s="24">
        <v>1.0328255801717035E-5</v>
      </c>
      <c r="G594" s="24">
        <v>0.67412116728692717</v>
      </c>
      <c r="H594" s="24">
        <v>0.21822653346954057</v>
      </c>
      <c r="I594" s="53">
        <v>1833.4747526245199</v>
      </c>
      <c r="J594" s="53">
        <v>4386.53895778274</v>
      </c>
      <c r="K594" s="24">
        <v>0.49992164693114216</v>
      </c>
      <c r="L594" s="24">
        <v>0.93371898713539114</v>
      </c>
      <c r="M594" s="24">
        <v>0.90468021265688725</v>
      </c>
      <c r="O594" s="53">
        <v>3.891831084875331</v>
      </c>
      <c r="P594" s="54">
        <v>22711.429912553365</v>
      </c>
      <c r="Q594" s="54">
        <v>4.5469494074209926</v>
      </c>
      <c r="R594" s="54">
        <v>27965.595136172458</v>
      </c>
      <c r="S594" s="54">
        <v>0.6551183225456616</v>
      </c>
      <c r="T594" s="54">
        <v>5254.165223619093</v>
      </c>
      <c r="V594" s="69">
        <f t="shared" si="56"/>
        <v>755654.78706251283</v>
      </c>
      <c r="W594" s="69">
        <f t="shared" si="57"/>
        <v>881424.28634802601</v>
      </c>
      <c r="X594" s="69">
        <f t="shared" si="54"/>
        <v>125769.49928551321</v>
      </c>
      <c r="Z594" s="68">
        <f t="shared" si="58"/>
        <v>0</v>
      </c>
      <c r="AA594" s="68">
        <f t="shared" si="59"/>
        <v>1</v>
      </c>
      <c r="AB594" s="68">
        <f t="shared" si="55"/>
        <v>1</v>
      </c>
    </row>
    <row r="595" spans="1:28" x14ac:dyDescent="0.25">
      <c r="A595">
        <v>590</v>
      </c>
      <c r="C595" s="24">
        <v>5.6712421227883064E-7</v>
      </c>
      <c r="D595" s="24">
        <v>1.5820737346748645E-4</v>
      </c>
      <c r="E595" s="24">
        <v>2.1900601332447422E-9</v>
      </c>
      <c r="F595" s="24">
        <v>2.3295961216598899E-40</v>
      </c>
      <c r="G595" s="24">
        <v>0.55232107882878001</v>
      </c>
      <c r="H595" s="24">
        <v>0.27804269075953947</v>
      </c>
      <c r="I595" s="53">
        <v>2710.8566179117661</v>
      </c>
      <c r="J595" s="53">
        <v>5048.823967692505</v>
      </c>
      <c r="K595" s="24">
        <v>0.55692697143965542</v>
      </c>
      <c r="L595" s="24">
        <v>0.87426349639679912</v>
      </c>
      <c r="M595" s="24">
        <v>0.81795464851733879</v>
      </c>
      <c r="O595" s="53">
        <v>3.9999287142734863</v>
      </c>
      <c r="P595" s="54">
        <v>15679.02842608953</v>
      </c>
      <c r="Q595" s="54">
        <v>4.2492498766037929</v>
      </c>
      <c r="R595" s="54">
        <v>40967.233072812538</v>
      </c>
      <c r="S595" s="54">
        <v>0.24932116233030666</v>
      </c>
      <c r="T595" s="54">
        <v>25288.20464672301</v>
      </c>
      <c r="V595" s="69">
        <f t="shared" si="56"/>
        <v>784306.71442860772</v>
      </c>
      <c r="W595" s="69">
        <f t="shared" si="57"/>
        <v>808882.74224794598</v>
      </c>
      <c r="X595" s="69">
        <f t="shared" si="54"/>
        <v>24576.02781933832</v>
      </c>
      <c r="Z595" s="68">
        <f t="shared" si="58"/>
        <v>0</v>
      </c>
      <c r="AA595" s="68">
        <f t="shared" si="59"/>
        <v>1</v>
      </c>
      <c r="AB595" s="68">
        <f t="shared" si="55"/>
        <v>1</v>
      </c>
    </row>
    <row r="596" spans="1:28" x14ac:dyDescent="0.25">
      <c r="A596">
        <v>591</v>
      </c>
      <c r="C596" s="24">
        <v>4.2466986082546176E-2</v>
      </c>
      <c r="D596" s="24">
        <v>2.7988695787812823E-3</v>
      </c>
      <c r="E596" s="24">
        <v>6.0972505729894877E-6</v>
      </c>
      <c r="F596" s="24">
        <v>6.1469843214992389E-30</v>
      </c>
      <c r="G596" s="24">
        <v>0.54674527516552085</v>
      </c>
      <c r="H596" s="24">
        <v>0.36669893996471614</v>
      </c>
      <c r="I596" s="53">
        <v>2294.9248040648672</v>
      </c>
      <c r="J596" s="53">
        <v>5079.3576927835229</v>
      </c>
      <c r="K596" s="24">
        <v>0.74113615718217651</v>
      </c>
      <c r="L596" s="24">
        <v>0.75077881407979818</v>
      </c>
      <c r="M596" s="24">
        <v>0.78457952628397076</v>
      </c>
      <c r="O596" s="53">
        <v>3.7549928796157905</v>
      </c>
      <c r="P596" s="54">
        <v>18331.574318224128</v>
      </c>
      <c r="Q596" s="54">
        <v>3.7490087115853363</v>
      </c>
      <c r="R596" s="54">
        <v>36285.510692973752</v>
      </c>
      <c r="S596" s="54">
        <v>-5.9841680304542066E-3</v>
      </c>
      <c r="T596" s="54">
        <v>17953.936374749625</v>
      </c>
      <c r="V596" s="69">
        <f t="shared" si="56"/>
        <v>732667.00160493399</v>
      </c>
      <c r="W596" s="69">
        <f t="shared" si="57"/>
        <v>713516.23162409349</v>
      </c>
      <c r="X596" s="69">
        <f t="shared" si="54"/>
        <v>-19150.769980840465</v>
      </c>
      <c r="Z596" s="68">
        <f t="shared" si="58"/>
        <v>1</v>
      </c>
      <c r="AA596" s="68">
        <f t="shared" si="59"/>
        <v>0</v>
      </c>
      <c r="AB596" s="68">
        <f t="shared" si="55"/>
        <v>0</v>
      </c>
    </row>
    <row r="597" spans="1:28" x14ac:dyDescent="0.25">
      <c r="A597">
        <v>592</v>
      </c>
      <c r="C597" s="24">
        <v>3.4115964265023502E-3</v>
      </c>
      <c r="D597" s="24">
        <v>2.1269188207972967E-3</v>
      </c>
      <c r="E597" s="24">
        <v>2.8496266346600407E-8</v>
      </c>
      <c r="F597" s="24">
        <v>1.0856701367544514E-33</v>
      </c>
      <c r="G597" s="24">
        <v>0.59055487618991787</v>
      </c>
      <c r="H597" s="24">
        <v>0.36325484153527754</v>
      </c>
      <c r="I597" s="53">
        <v>1678.0040052764698</v>
      </c>
      <c r="J597" s="53">
        <v>6125.5115581385935</v>
      </c>
      <c r="K597" s="24">
        <v>0.69486203647359734</v>
      </c>
      <c r="L597" s="24">
        <v>0.92703184062238886</v>
      </c>
      <c r="M597" s="24">
        <v>0.9265969402920744</v>
      </c>
      <c r="O597" s="53">
        <v>4.3243334174384414</v>
      </c>
      <c r="P597" s="54">
        <v>20934.046735714546</v>
      </c>
      <c r="Q597" s="54">
        <v>4.5035406444159012</v>
      </c>
      <c r="R597" s="54">
        <v>58135.617687000755</v>
      </c>
      <c r="S597" s="54">
        <v>0.17920722697745983</v>
      </c>
      <c r="T597" s="54">
        <v>37201.570951286209</v>
      </c>
      <c r="V597" s="69">
        <f t="shared" si="56"/>
        <v>843932.63675197377</v>
      </c>
      <c r="W597" s="69">
        <f t="shared" si="57"/>
        <v>842572.51119617943</v>
      </c>
      <c r="X597" s="69">
        <f t="shared" si="54"/>
        <v>-1360.1255557942422</v>
      </c>
      <c r="Z597" s="68">
        <f t="shared" si="58"/>
        <v>1</v>
      </c>
      <c r="AA597" s="68">
        <f t="shared" si="59"/>
        <v>0</v>
      </c>
      <c r="AB597" s="68">
        <f t="shared" si="55"/>
        <v>0</v>
      </c>
    </row>
    <row r="598" spans="1:28" x14ac:dyDescent="0.25">
      <c r="A598">
        <v>593</v>
      </c>
      <c r="C598" s="24">
        <v>5.3322857337224128E-6</v>
      </c>
      <c r="D598" s="24">
        <v>5.0133096349627379E-4</v>
      </c>
      <c r="E598" s="24">
        <v>1.5017099262271461E-2</v>
      </c>
      <c r="F598" s="24">
        <v>2.6348538614316008E-78</v>
      </c>
      <c r="G598" s="24">
        <v>0.69431308208085152</v>
      </c>
      <c r="H598" s="24">
        <v>0.3609450381437983</v>
      </c>
      <c r="I598" s="53">
        <v>1709.4534931481332</v>
      </c>
      <c r="J598" s="53">
        <v>4600.2259716166864</v>
      </c>
      <c r="K598" s="24">
        <v>0.64862081086926993</v>
      </c>
      <c r="L598" s="24">
        <v>0.99271200243679891</v>
      </c>
      <c r="M598" s="24">
        <v>0.93099874785163939</v>
      </c>
      <c r="O598" s="53">
        <v>4.1571750849259068</v>
      </c>
      <c r="P598" s="54">
        <v>23653.98039250794</v>
      </c>
      <c r="Q598" s="54">
        <v>4.7701894020671629</v>
      </c>
      <c r="R598" s="54">
        <v>55306.123190812992</v>
      </c>
      <c r="S598" s="54">
        <v>0.61301431714125609</v>
      </c>
      <c r="T598" s="54">
        <v>31652.142798305053</v>
      </c>
      <c r="V598" s="69">
        <f t="shared" si="56"/>
        <v>807781.03659267339</v>
      </c>
      <c r="W598" s="69">
        <f t="shared" si="57"/>
        <v>898731.75722261961</v>
      </c>
      <c r="X598" s="69">
        <f t="shared" si="54"/>
        <v>90950.720629946169</v>
      </c>
      <c r="Z598" s="68">
        <f t="shared" si="58"/>
        <v>0</v>
      </c>
      <c r="AA598" s="68">
        <f t="shared" si="59"/>
        <v>1</v>
      </c>
      <c r="AB598" s="68">
        <f t="shared" si="55"/>
        <v>1</v>
      </c>
    </row>
    <row r="599" spans="1:28" x14ac:dyDescent="0.25">
      <c r="A599">
        <v>594</v>
      </c>
      <c r="C599" s="24">
        <v>1.0090828842013178E-4</v>
      </c>
      <c r="D599" s="24">
        <v>5.8803534784832919E-5</v>
      </c>
      <c r="E599" s="24">
        <v>6.1228906306224962E-17</v>
      </c>
      <c r="F599" s="24">
        <v>4.3298697960381105E-15</v>
      </c>
      <c r="G599" s="24">
        <v>0.76641324458416848</v>
      </c>
      <c r="H599" s="24">
        <v>0.20041358807488907</v>
      </c>
      <c r="I599" s="53">
        <v>2137.948641411585</v>
      </c>
      <c r="J599" s="53">
        <v>5833.8453612597123</v>
      </c>
      <c r="K599" s="24">
        <v>0.55213538682215502</v>
      </c>
      <c r="L599" s="24">
        <v>0.78008871656507239</v>
      </c>
      <c r="M599" s="24">
        <v>0.85183564963190694</v>
      </c>
      <c r="O599" s="53">
        <v>3.3503711172889474</v>
      </c>
      <c r="P599" s="54">
        <v>21534.316963327146</v>
      </c>
      <c r="Q599" s="54">
        <v>3.8433513969869049</v>
      </c>
      <c r="R599" s="54">
        <v>24769.867473493789</v>
      </c>
      <c r="S599" s="54">
        <v>0.49298027969795744</v>
      </c>
      <c r="T599" s="54">
        <v>3235.5505101666422</v>
      </c>
      <c r="V599" s="69">
        <f t="shared" si="56"/>
        <v>648539.9064944624</v>
      </c>
      <c r="W599" s="69">
        <f t="shared" si="57"/>
        <v>743900.41192388721</v>
      </c>
      <c r="X599" s="69">
        <f t="shared" si="54"/>
        <v>95360.50542942484</v>
      </c>
      <c r="Z599" s="68">
        <f t="shared" si="58"/>
        <v>0</v>
      </c>
      <c r="AA599" s="68">
        <f t="shared" si="59"/>
        <v>1</v>
      </c>
      <c r="AB599" s="68">
        <f t="shared" si="55"/>
        <v>1</v>
      </c>
    </row>
    <row r="600" spans="1:28" x14ac:dyDescent="0.25">
      <c r="A600">
        <v>595</v>
      </c>
      <c r="C600" s="24">
        <v>4.5458099137350994E-3</v>
      </c>
      <c r="D600" s="24">
        <v>7.3047104598254232E-4</v>
      </c>
      <c r="E600" s="24">
        <v>1.5992140380838293E-6</v>
      </c>
      <c r="F600" s="24">
        <v>1.3767698092692626E-10</v>
      </c>
      <c r="G600" s="24">
        <v>0.57877750321450439</v>
      </c>
      <c r="H600" s="24">
        <v>0.22722158084309629</v>
      </c>
      <c r="I600" s="53">
        <v>1923.9514862593173</v>
      </c>
      <c r="J600" s="53">
        <v>4725.1727532857531</v>
      </c>
      <c r="K600" s="24">
        <v>0.61064336797386032</v>
      </c>
      <c r="L600" s="24">
        <v>0.58149841461646345</v>
      </c>
      <c r="M600" s="24">
        <v>0.88672427882218963</v>
      </c>
      <c r="O600" s="53">
        <v>2.9571671686617931</v>
      </c>
      <c r="P600" s="54">
        <v>14453.99643877061</v>
      </c>
      <c r="Q600" s="54">
        <v>2.917414227664989</v>
      </c>
      <c r="R600" s="54">
        <v>31367.779212863534</v>
      </c>
      <c r="S600" s="54">
        <v>-3.9752940996804043E-2</v>
      </c>
      <c r="T600" s="54">
        <v>16913.782774092924</v>
      </c>
      <c r="V600" s="69">
        <f t="shared" si="56"/>
        <v>576979.43729358807</v>
      </c>
      <c r="W600" s="69">
        <f t="shared" si="57"/>
        <v>552115.06632013433</v>
      </c>
      <c r="X600" s="69">
        <f t="shared" si="54"/>
        <v>-24864.370973453733</v>
      </c>
      <c r="Z600" s="68">
        <f t="shared" si="58"/>
        <v>1</v>
      </c>
      <c r="AA600" s="68">
        <f t="shared" si="59"/>
        <v>0</v>
      </c>
      <c r="AB600" s="68">
        <f t="shared" si="55"/>
        <v>0</v>
      </c>
    </row>
    <row r="601" spans="1:28" x14ac:dyDescent="0.25">
      <c r="A601">
        <v>596</v>
      </c>
      <c r="C601" s="24">
        <v>7.5540650722371984E-9</v>
      </c>
      <c r="D601" s="24">
        <v>1.4496614165521171E-3</v>
      </c>
      <c r="E601" s="24">
        <v>6.8942097035296969E-28</v>
      </c>
      <c r="F601" s="24">
        <v>1.5144714934467451E-5</v>
      </c>
      <c r="G601" s="24">
        <v>0.59420560276286571</v>
      </c>
      <c r="H601" s="24">
        <v>0.29690966279520548</v>
      </c>
      <c r="I601" s="53">
        <v>1765.7053254626874</v>
      </c>
      <c r="J601" s="53">
        <v>4140.0696990467759</v>
      </c>
      <c r="K601" s="24">
        <v>0.52302271733685279</v>
      </c>
      <c r="L601" s="24">
        <v>0.86239609298065167</v>
      </c>
      <c r="M601" s="24">
        <v>0.93574973949163498</v>
      </c>
      <c r="O601" s="53">
        <v>3.8518475451392282</v>
      </c>
      <c r="P601" s="54">
        <v>15019.353857959211</v>
      </c>
      <c r="Q601" s="54">
        <v>4.169603814110574</v>
      </c>
      <c r="R601" s="54">
        <v>34335.424663093683</v>
      </c>
      <c r="S601" s="54">
        <v>0.31775626897134579</v>
      </c>
      <c r="T601" s="54">
        <v>19316.07080513447</v>
      </c>
      <c r="V601" s="69">
        <f t="shared" si="56"/>
        <v>755350.15516988654</v>
      </c>
      <c r="W601" s="69">
        <f t="shared" si="57"/>
        <v>799585.33815902111</v>
      </c>
      <c r="X601" s="69">
        <f t="shared" si="54"/>
        <v>44235.182989134686</v>
      </c>
      <c r="Z601" s="68">
        <f t="shared" si="58"/>
        <v>0</v>
      </c>
      <c r="AA601" s="68">
        <f t="shared" si="59"/>
        <v>1</v>
      </c>
      <c r="AB601" s="68">
        <f t="shared" si="55"/>
        <v>1</v>
      </c>
    </row>
    <row r="602" spans="1:28" x14ac:dyDescent="0.25">
      <c r="A602">
        <v>597</v>
      </c>
      <c r="C602" s="24">
        <v>3.1106794064493792E-3</v>
      </c>
      <c r="D602" s="24">
        <v>1.3251862975418628E-4</v>
      </c>
      <c r="E602" s="24">
        <v>3.8059379203758681E-8</v>
      </c>
      <c r="F602" s="24">
        <v>5.4738680817682113E-26</v>
      </c>
      <c r="G602" s="24">
        <v>0.4557787304730978</v>
      </c>
      <c r="H602" s="24">
        <v>0.258064254113887</v>
      </c>
      <c r="I602" s="53">
        <v>1644.3454176487837</v>
      </c>
      <c r="J602" s="53">
        <v>3693.1683018106423</v>
      </c>
      <c r="K602" s="24">
        <v>0.81230907192157897</v>
      </c>
      <c r="L602" s="24">
        <v>0.92981389065784437</v>
      </c>
      <c r="M602" s="24">
        <v>0.87407700526686916</v>
      </c>
      <c r="O602" s="53">
        <v>4.5512645147638047</v>
      </c>
      <c r="P602" s="54">
        <v>11623.046166163283</v>
      </c>
      <c r="Q602" s="54">
        <v>4.6081987298724734</v>
      </c>
      <c r="R602" s="54">
        <v>37909.873838744228</v>
      </c>
      <c r="S602" s="54">
        <v>5.6934215108668695E-2</v>
      </c>
      <c r="T602" s="54">
        <v>26286.827672580945</v>
      </c>
      <c r="V602" s="69">
        <f t="shared" si="56"/>
        <v>898629.85678659764</v>
      </c>
      <c r="W602" s="69">
        <f t="shared" si="57"/>
        <v>883729.87213575048</v>
      </c>
      <c r="X602" s="69">
        <f t="shared" si="54"/>
        <v>-14899.984650847206</v>
      </c>
      <c r="Z602" s="68">
        <f t="shared" si="58"/>
        <v>1</v>
      </c>
      <c r="AA602" s="68">
        <f t="shared" si="59"/>
        <v>0</v>
      </c>
      <c r="AB602" s="68">
        <f t="shared" si="55"/>
        <v>0</v>
      </c>
    </row>
    <row r="603" spans="1:28" x14ac:dyDescent="0.25">
      <c r="A603">
        <v>598</v>
      </c>
      <c r="C603" s="24">
        <v>1.5477956486675826E-4</v>
      </c>
      <c r="D603" s="24">
        <v>5.3519514336985985E-3</v>
      </c>
      <c r="E603" s="24">
        <v>1.348626596741398E-3</v>
      </c>
      <c r="F603" s="24">
        <v>6.4932998760092175E-6</v>
      </c>
      <c r="G603" s="24">
        <v>0.67663090720164165</v>
      </c>
      <c r="H603" s="24">
        <v>0.30820307913763578</v>
      </c>
      <c r="I603" s="53">
        <v>2177.1172482156453</v>
      </c>
      <c r="J603" s="53">
        <v>4010.1361714207378</v>
      </c>
      <c r="K603" s="24">
        <v>0.48850548689129891</v>
      </c>
      <c r="L603" s="24">
        <v>0.94701314577469708</v>
      </c>
      <c r="M603" s="24">
        <v>0.66323110680289965</v>
      </c>
      <c r="O603" s="53">
        <v>3.8986433124256674</v>
      </c>
      <c r="P603" s="54">
        <v>17203.294720870788</v>
      </c>
      <c r="Q603" s="54">
        <v>4.5213213661562097</v>
      </c>
      <c r="R603" s="54">
        <v>39853.160955027583</v>
      </c>
      <c r="S603" s="54">
        <v>0.6226780537305423</v>
      </c>
      <c r="T603" s="54">
        <v>22649.866234156794</v>
      </c>
      <c r="V603" s="69">
        <f t="shared" si="56"/>
        <v>762525.36776426272</v>
      </c>
      <c r="W603" s="69">
        <f t="shared" si="57"/>
        <v>864411.11227621441</v>
      </c>
      <c r="X603" s="69">
        <f t="shared" si="54"/>
        <v>101885.74451195166</v>
      </c>
      <c r="Z603" s="68">
        <f t="shared" si="58"/>
        <v>0</v>
      </c>
      <c r="AA603" s="68">
        <f t="shared" si="59"/>
        <v>1</v>
      </c>
      <c r="AB603" s="68">
        <f t="shared" si="55"/>
        <v>1</v>
      </c>
    </row>
    <row r="604" spans="1:28" x14ac:dyDescent="0.25">
      <c r="A604">
        <v>599</v>
      </c>
      <c r="C604" s="24">
        <v>6.4678628648451308E-5</v>
      </c>
      <c r="D604" s="24">
        <v>3.8764782216588076E-6</v>
      </c>
      <c r="E604" s="24">
        <v>1.221979978316412E-6</v>
      </c>
      <c r="F604" s="24">
        <v>8.2668080053376802E-39</v>
      </c>
      <c r="G604" s="24">
        <v>0.53368439181317295</v>
      </c>
      <c r="H604" s="24">
        <v>0.41365841393972425</v>
      </c>
      <c r="I604" s="53">
        <v>2109.2880053673916</v>
      </c>
      <c r="J604" s="53">
        <v>5988.9594563122964</v>
      </c>
      <c r="K604" s="24">
        <v>0.64393709543930566</v>
      </c>
      <c r="L604" s="24">
        <v>0.904779351067034</v>
      </c>
      <c r="M604" s="24">
        <v>0.87393846555850163</v>
      </c>
      <c r="O604" s="53">
        <v>4.238268801446373</v>
      </c>
      <c r="P604" s="54">
        <v>13980.236881594717</v>
      </c>
      <c r="Q604" s="54">
        <v>4.3421029843260097</v>
      </c>
      <c r="R604" s="54">
        <v>54621.861806752269</v>
      </c>
      <c r="S604" s="54">
        <v>0.10383418287963675</v>
      </c>
      <c r="T604" s="54">
        <v>40641.62492515755</v>
      </c>
      <c r="V604" s="69">
        <f t="shared" si="56"/>
        <v>833673.52340767987</v>
      </c>
      <c r="W604" s="69">
        <f t="shared" si="57"/>
        <v>813798.73505844967</v>
      </c>
      <c r="X604" s="69">
        <f t="shared" si="54"/>
        <v>-19874.788349230199</v>
      </c>
      <c r="Z604" s="68">
        <f t="shared" si="58"/>
        <v>1</v>
      </c>
      <c r="AA604" s="68">
        <f t="shared" si="59"/>
        <v>0</v>
      </c>
      <c r="AB604" s="68">
        <f t="shared" si="55"/>
        <v>0</v>
      </c>
    </row>
    <row r="605" spans="1:28" x14ac:dyDescent="0.25">
      <c r="A605">
        <v>600</v>
      </c>
      <c r="C605" s="24">
        <v>1.0531442440900129E-10</v>
      </c>
      <c r="D605" s="24">
        <v>1.0698163158465192E-3</v>
      </c>
      <c r="E605" s="24">
        <v>1.0012515035301191E-43</v>
      </c>
      <c r="F605" s="24">
        <v>1.8444650470704143E-26</v>
      </c>
      <c r="G605" s="24">
        <v>0.54621412540432035</v>
      </c>
      <c r="H605" s="24">
        <v>0.23817195836580018</v>
      </c>
      <c r="I605" s="53">
        <v>1517.8433763192443</v>
      </c>
      <c r="J605" s="53">
        <v>4699.6988840042986</v>
      </c>
      <c r="K605" s="24">
        <v>0.64929846917166856</v>
      </c>
      <c r="L605" s="24">
        <v>0.64158206711791621</v>
      </c>
      <c r="M605" s="24">
        <v>0.96143758732258555</v>
      </c>
      <c r="O605" s="53">
        <v>3.2167468471445955</v>
      </c>
      <c r="P605" s="54">
        <v>15427.093484769197</v>
      </c>
      <c r="Q605" s="54">
        <v>3.2124263924891805</v>
      </c>
      <c r="R605" s="54">
        <v>35544.174191596379</v>
      </c>
      <c r="S605" s="54">
        <v>-4.3204546554149736E-3</v>
      </c>
      <c r="T605" s="54">
        <v>20117.080706827182</v>
      </c>
      <c r="V605" s="69">
        <f t="shared" si="56"/>
        <v>627922.27594414982</v>
      </c>
      <c r="W605" s="69">
        <f t="shared" si="57"/>
        <v>606941.10430623975</v>
      </c>
      <c r="X605" s="69">
        <f t="shared" si="54"/>
        <v>-20981.171637910178</v>
      </c>
      <c r="Z605" s="68">
        <f t="shared" si="58"/>
        <v>1</v>
      </c>
      <c r="AA605" s="68">
        <f t="shared" si="59"/>
        <v>0</v>
      </c>
      <c r="AB605" s="68">
        <f t="shared" si="55"/>
        <v>0</v>
      </c>
    </row>
    <row r="606" spans="1:28" x14ac:dyDescent="0.25">
      <c r="A606">
        <v>601</v>
      </c>
      <c r="C606" s="24">
        <v>1.5310765217325955E-8</v>
      </c>
      <c r="D606" s="24">
        <v>7.6782785296362066E-3</v>
      </c>
      <c r="E606" s="24">
        <v>4.8240880588392792E-82</v>
      </c>
      <c r="F606" s="24">
        <v>5.8148560756678303E-20</v>
      </c>
      <c r="G606" s="24">
        <v>0.56289746387303574</v>
      </c>
      <c r="H606" s="24">
        <v>0.37409150546613723</v>
      </c>
      <c r="I606" s="53">
        <v>1831.149561484086</v>
      </c>
      <c r="J606" s="53">
        <v>5543.3980241777508</v>
      </c>
      <c r="K606" s="24">
        <v>0.66836342484907796</v>
      </c>
      <c r="L606" s="24">
        <v>0.71353003960920036</v>
      </c>
      <c r="M606" s="24">
        <v>0.93114173956731827</v>
      </c>
      <c r="O606" s="53">
        <v>3.5127720669017206</v>
      </c>
      <c r="P606" s="54">
        <v>15771.111298127054</v>
      </c>
      <c r="Q606" s="54">
        <v>3.5526167321335569</v>
      </c>
      <c r="R606" s="54">
        <v>73303.485181086347</v>
      </c>
      <c r="S606" s="54">
        <v>3.9844665231836274E-2</v>
      </c>
      <c r="T606" s="54">
        <v>57532.373882959291</v>
      </c>
      <c r="V606" s="69">
        <f t="shared" si="56"/>
        <v>686783.30208221707</v>
      </c>
      <c r="W606" s="69">
        <f t="shared" si="57"/>
        <v>637219.86124562507</v>
      </c>
      <c r="X606" s="69">
        <f t="shared" si="54"/>
        <v>-49563.440836592039</v>
      </c>
      <c r="Z606" s="68">
        <f t="shared" si="58"/>
        <v>1</v>
      </c>
      <c r="AA606" s="68">
        <f t="shared" si="59"/>
        <v>0</v>
      </c>
      <c r="AB606" s="68">
        <f t="shared" si="55"/>
        <v>0</v>
      </c>
    </row>
    <row r="607" spans="1:28" x14ac:dyDescent="0.25">
      <c r="A607">
        <v>602</v>
      </c>
      <c r="C607" s="24">
        <v>5.4507225957400909E-6</v>
      </c>
      <c r="D607" s="24">
        <v>1.0708730067667155E-5</v>
      </c>
      <c r="E607" s="24">
        <v>2.7749549027267852E-26</v>
      </c>
      <c r="F607" s="24">
        <v>3.5884517579631847E-11</v>
      </c>
      <c r="G607" s="24">
        <v>0.54374801934512151</v>
      </c>
      <c r="H607" s="24">
        <v>0.18437511261978068</v>
      </c>
      <c r="I607" s="53">
        <v>2118.5596053679265</v>
      </c>
      <c r="J607" s="53">
        <v>4917.1250886624603</v>
      </c>
      <c r="K607" s="24">
        <v>0.67403786067583804</v>
      </c>
      <c r="L607" s="24">
        <v>0.86104838455821031</v>
      </c>
      <c r="M607" s="24">
        <v>0.95322797710598783</v>
      </c>
      <c r="O607" s="53">
        <v>4.0929660961878067</v>
      </c>
      <c r="P607" s="54">
        <v>16444.505731867419</v>
      </c>
      <c r="Q607" s="54">
        <v>4.2629822663510915</v>
      </c>
      <c r="R607" s="54">
        <v>28311.428622084044</v>
      </c>
      <c r="S607" s="54">
        <v>0.17001617016328474</v>
      </c>
      <c r="T607" s="54">
        <v>11866.922890216625</v>
      </c>
      <c r="V607" s="69">
        <f t="shared" si="56"/>
        <v>802148.71350569394</v>
      </c>
      <c r="W607" s="69">
        <f t="shared" si="57"/>
        <v>824285.02464813425</v>
      </c>
      <c r="X607" s="69">
        <f t="shared" si="54"/>
        <v>22136.311142440321</v>
      </c>
      <c r="Z607" s="68">
        <f t="shared" si="58"/>
        <v>0</v>
      </c>
      <c r="AA607" s="68">
        <f t="shared" si="59"/>
        <v>1</v>
      </c>
      <c r="AB607" s="68">
        <f t="shared" si="55"/>
        <v>1</v>
      </c>
    </row>
    <row r="608" spans="1:28" x14ac:dyDescent="0.25">
      <c r="A608">
        <v>603</v>
      </c>
      <c r="C608" s="24">
        <v>5.8828547244421658E-3</v>
      </c>
      <c r="D608" s="24">
        <v>1.9399730936785027E-4</v>
      </c>
      <c r="E608" s="24">
        <v>9.160625210538044E-27</v>
      </c>
      <c r="F608" s="24">
        <v>9.138876477798874E-8</v>
      </c>
      <c r="G608" s="24">
        <v>0.53806112295629305</v>
      </c>
      <c r="H608" s="24">
        <v>0.15865741833737945</v>
      </c>
      <c r="I608" s="53">
        <v>2610.8348558395023</v>
      </c>
      <c r="J608" s="53">
        <v>5329.4096038510033</v>
      </c>
      <c r="K608" s="24">
        <v>0.32445010789462192</v>
      </c>
      <c r="L608" s="24">
        <v>0.92678602880995142</v>
      </c>
      <c r="M608" s="24">
        <v>0.89756269251362775</v>
      </c>
      <c r="O608" s="53">
        <v>3.9625298185784987</v>
      </c>
      <c r="P608" s="54">
        <v>15207.374336529609</v>
      </c>
      <c r="Q608" s="54">
        <v>4.5203222728254442</v>
      </c>
      <c r="R608" s="54">
        <v>25871.072408573509</v>
      </c>
      <c r="S608" s="54">
        <v>0.55779245424694546</v>
      </c>
      <c r="T608" s="54">
        <v>10663.698072043901</v>
      </c>
      <c r="V608" s="69">
        <f t="shared" si="56"/>
        <v>777298.58937917009</v>
      </c>
      <c r="W608" s="69">
        <f t="shared" si="57"/>
        <v>878193.38215651538</v>
      </c>
      <c r="X608" s="69">
        <f t="shared" si="54"/>
        <v>100894.7927773452</v>
      </c>
      <c r="Z608" s="68">
        <f t="shared" si="58"/>
        <v>0</v>
      </c>
      <c r="AA608" s="68">
        <f t="shared" si="59"/>
        <v>1</v>
      </c>
      <c r="AB608" s="68">
        <f t="shared" si="55"/>
        <v>1</v>
      </c>
    </row>
    <row r="609" spans="1:28" x14ac:dyDescent="0.25">
      <c r="A609">
        <v>604</v>
      </c>
      <c r="C609" s="24">
        <v>1.4060060230531593E-9</v>
      </c>
      <c r="D609" s="24">
        <v>2.4341967448459506E-4</v>
      </c>
      <c r="E609" s="24">
        <v>1.9602681800301447E-4</v>
      </c>
      <c r="F609" s="24">
        <v>2.9507688131890243E-20</v>
      </c>
      <c r="G609" s="24">
        <v>0.62127971062520304</v>
      </c>
      <c r="H609" s="24">
        <v>0.25388003452829899</v>
      </c>
      <c r="I609" s="53">
        <v>2078.5269322692466</v>
      </c>
      <c r="J609" s="53">
        <v>5009.4386954547535</v>
      </c>
      <c r="K609" s="24">
        <v>0.60170583290480495</v>
      </c>
      <c r="L609" s="24">
        <v>0.67793297244664041</v>
      </c>
      <c r="M609" s="24">
        <v>0.72885878890307598</v>
      </c>
      <c r="O609" s="53">
        <v>3.2749591122642623</v>
      </c>
      <c r="P609" s="54">
        <v>14894.994098790306</v>
      </c>
      <c r="Q609" s="54">
        <v>3.3638320607806853</v>
      </c>
      <c r="R609" s="54">
        <v>25440.629257262393</v>
      </c>
      <c r="S609" s="54">
        <v>8.8872948516423023E-2</v>
      </c>
      <c r="T609" s="54">
        <v>10545.635158472087</v>
      </c>
      <c r="V609" s="69">
        <f t="shared" si="56"/>
        <v>640096.82835406216</v>
      </c>
      <c r="W609" s="69">
        <f t="shared" si="57"/>
        <v>647325.78289887472</v>
      </c>
      <c r="X609" s="69">
        <f t="shared" si="54"/>
        <v>7228.9545448125173</v>
      </c>
      <c r="Z609" s="68">
        <f t="shared" si="58"/>
        <v>0</v>
      </c>
      <c r="AA609" s="68">
        <f t="shared" si="59"/>
        <v>1</v>
      </c>
      <c r="AB609" s="68">
        <f t="shared" si="55"/>
        <v>1</v>
      </c>
    </row>
    <row r="610" spans="1:28" x14ac:dyDescent="0.25">
      <c r="A610">
        <v>605</v>
      </c>
      <c r="C610" s="24">
        <v>1.7773998604690666E-5</v>
      </c>
      <c r="D610" s="24">
        <v>2.6842658629571137E-3</v>
      </c>
      <c r="E610" s="24">
        <v>2.1158630403306233E-12</v>
      </c>
      <c r="F610" s="24">
        <v>1.4635646137286125E-77</v>
      </c>
      <c r="G610" s="24">
        <v>0.60172205012610247</v>
      </c>
      <c r="H610" s="24">
        <v>0.22049417850297703</v>
      </c>
      <c r="I610" s="53">
        <v>2020.7886999222417</v>
      </c>
      <c r="J610" s="53">
        <v>5545.191061935675</v>
      </c>
      <c r="K610" s="24">
        <v>0.56813005688385587</v>
      </c>
      <c r="L610" s="24">
        <v>0.95895694355254957</v>
      </c>
      <c r="M610" s="24">
        <v>0.83452050297729063</v>
      </c>
      <c r="O610" s="53">
        <v>4.2508770031899008</v>
      </c>
      <c r="P610" s="54">
        <v>15736.956871939045</v>
      </c>
      <c r="Q610" s="54">
        <v>4.6822700864455067</v>
      </c>
      <c r="R610" s="54">
        <v>37786.087742899705</v>
      </c>
      <c r="S610" s="54">
        <v>0.43139308325560588</v>
      </c>
      <c r="T610" s="54">
        <v>22049.13087096066</v>
      </c>
      <c r="V610" s="69">
        <f t="shared" si="56"/>
        <v>834438.44376604119</v>
      </c>
      <c r="W610" s="69">
        <f t="shared" si="57"/>
        <v>898667.92954620172</v>
      </c>
      <c r="X610" s="69">
        <f t="shared" si="54"/>
        <v>64229.485780160518</v>
      </c>
      <c r="Z610" s="68">
        <f t="shared" si="58"/>
        <v>0</v>
      </c>
      <c r="AA610" s="68">
        <f t="shared" si="59"/>
        <v>1</v>
      </c>
      <c r="AB610" s="68">
        <f t="shared" si="55"/>
        <v>1</v>
      </c>
    </row>
    <row r="611" spans="1:28" x14ac:dyDescent="0.25">
      <c r="A611">
        <v>606</v>
      </c>
      <c r="C611" s="24">
        <v>8.8703953104085631E-4</v>
      </c>
      <c r="D611" s="24">
        <v>4.9751856023058094E-3</v>
      </c>
      <c r="E611" s="24">
        <v>2.8144973018839892E-9</v>
      </c>
      <c r="F611" s="24">
        <v>1.4085745307360345E-24</v>
      </c>
      <c r="G611" s="24">
        <v>0.6368553473471813</v>
      </c>
      <c r="H611" s="24">
        <v>0.28115352904787982</v>
      </c>
      <c r="I611" s="53">
        <v>1838.3351442918924</v>
      </c>
      <c r="J611" s="53">
        <v>4934.4253852283673</v>
      </c>
      <c r="K611" s="24">
        <v>0.67910490992829775</v>
      </c>
      <c r="L611" s="24">
        <v>0.97379264740009197</v>
      </c>
      <c r="M611" s="24">
        <v>0.96219513680895852</v>
      </c>
      <c r="O611" s="53">
        <v>4.4062063203878612</v>
      </c>
      <c r="P611" s="54">
        <v>22534.313109306804</v>
      </c>
      <c r="Q611" s="54">
        <v>4.7535381523938787</v>
      </c>
      <c r="R611" s="54">
        <v>42684.623513582803</v>
      </c>
      <c r="S611" s="54">
        <v>0.34733183200601747</v>
      </c>
      <c r="T611" s="54">
        <v>20150.310404275999</v>
      </c>
      <c r="V611" s="69">
        <f t="shared" si="56"/>
        <v>858706.95096826542</v>
      </c>
      <c r="W611" s="69">
        <f t="shared" si="57"/>
        <v>908023.00696519297</v>
      </c>
      <c r="X611" s="69">
        <f t="shared" si="54"/>
        <v>49316.055996927505</v>
      </c>
      <c r="Z611" s="68">
        <f t="shared" si="58"/>
        <v>0</v>
      </c>
      <c r="AA611" s="68">
        <f t="shared" si="59"/>
        <v>1</v>
      </c>
      <c r="AB611" s="68">
        <f t="shared" si="55"/>
        <v>1</v>
      </c>
    </row>
    <row r="612" spans="1:28" x14ac:dyDescent="0.25">
      <c r="A612">
        <v>607</v>
      </c>
      <c r="C612" s="24">
        <v>1.3738050183864647E-4</v>
      </c>
      <c r="D612" s="24">
        <v>1.0388405275348144E-4</v>
      </c>
      <c r="E612" s="24">
        <v>1.2864891707820014E-5</v>
      </c>
      <c r="F612" s="24">
        <v>4.9953374769984293E-12</v>
      </c>
      <c r="G612" s="24">
        <v>0.5901291866553493</v>
      </c>
      <c r="H612" s="24">
        <v>0.33370425847402252</v>
      </c>
      <c r="I612" s="53">
        <v>2090.1368738941987</v>
      </c>
      <c r="J612" s="53">
        <v>5984.2949200468902</v>
      </c>
      <c r="K612" s="24">
        <v>0.61130720228537649</v>
      </c>
      <c r="L612" s="24">
        <v>0.75871334267361257</v>
      </c>
      <c r="M612" s="24">
        <v>0.66806598341025325</v>
      </c>
      <c r="O612" s="53">
        <v>3.5963235924998052</v>
      </c>
      <c r="P612" s="54">
        <v>18291.87626171187</v>
      </c>
      <c r="Q612" s="54">
        <v>3.7199824413355564</v>
      </c>
      <c r="R612" s="54">
        <v>58689.481320130086</v>
      </c>
      <c r="S612" s="54">
        <v>0.12365884883575129</v>
      </c>
      <c r="T612" s="54">
        <v>40397.605058418216</v>
      </c>
      <c r="V612" s="69">
        <f t="shared" si="56"/>
        <v>700972.84223824926</v>
      </c>
      <c r="W612" s="69">
        <f t="shared" si="57"/>
        <v>685307.00694698119</v>
      </c>
      <c r="X612" s="69">
        <f t="shared" si="54"/>
        <v>-15665.835291267958</v>
      </c>
      <c r="Z612" s="68">
        <f t="shared" si="58"/>
        <v>1</v>
      </c>
      <c r="AA612" s="68">
        <f t="shared" si="59"/>
        <v>0</v>
      </c>
      <c r="AB612" s="68">
        <f t="shared" si="55"/>
        <v>0</v>
      </c>
    </row>
    <row r="613" spans="1:28" x14ac:dyDescent="0.25">
      <c r="A613">
        <v>608</v>
      </c>
      <c r="C613" s="24">
        <v>1.0084408972313996E-3</v>
      </c>
      <c r="D613" s="24">
        <v>6.7714770736975946E-4</v>
      </c>
      <c r="E613" s="24">
        <v>6.7579275508933279E-13</v>
      </c>
      <c r="F613" s="24">
        <v>2.0160725899419494E-21</v>
      </c>
      <c r="G613" s="24">
        <v>0.58643031059701745</v>
      </c>
      <c r="H613" s="24">
        <v>0.24217189251739746</v>
      </c>
      <c r="I613" s="53">
        <v>2042.7149826328236</v>
      </c>
      <c r="J613" s="53">
        <v>6099.6339769997294</v>
      </c>
      <c r="K613" s="24">
        <v>0.61685054690567231</v>
      </c>
      <c r="L613" s="24">
        <v>0.96090210302475554</v>
      </c>
      <c r="M613" s="24">
        <v>0.90744531988743016</v>
      </c>
      <c r="O613" s="53">
        <v>4.3500108067467993</v>
      </c>
      <c r="P613" s="54">
        <v>17084.919248395996</v>
      </c>
      <c r="Q613" s="54">
        <v>4.6944332463555911</v>
      </c>
      <c r="R613" s="54">
        <v>28525.464310387117</v>
      </c>
      <c r="S613" s="54">
        <v>0.34442243960879182</v>
      </c>
      <c r="T613" s="54">
        <v>11440.545061991121</v>
      </c>
      <c r="V613" s="69">
        <f t="shared" si="56"/>
        <v>852917.24210096395</v>
      </c>
      <c r="W613" s="69">
        <f t="shared" si="57"/>
        <v>910361.18496073107</v>
      </c>
      <c r="X613" s="69">
        <f t="shared" si="54"/>
        <v>57443.942859767245</v>
      </c>
      <c r="Z613" s="68">
        <f t="shared" si="58"/>
        <v>0</v>
      </c>
      <c r="AA613" s="68">
        <f t="shared" si="59"/>
        <v>1</v>
      </c>
      <c r="AB613" s="68">
        <f t="shared" si="55"/>
        <v>1</v>
      </c>
    </row>
    <row r="614" spans="1:28" x14ac:dyDescent="0.25">
      <c r="A614">
        <v>609</v>
      </c>
      <c r="C614" s="24">
        <v>3.5127077596288636E-3</v>
      </c>
      <c r="D614" s="24">
        <v>5.4734328086296672E-4</v>
      </c>
      <c r="E614" s="24">
        <v>1.8014989500159118E-10</v>
      </c>
      <c r="F614" s="24">
        <v>2.7692903115574067E-15</v>
      </c>
      <c r="G614" s="24">
        <v>0.60336213328606236</v>
      </c>
      <c r="H614" s="24">
        <v>0.35082841796500508</v>
      </c>
      <c r="I614" s="53">
        <v>1659.5680384987377</v>
      </c>
      <c r="J614" s="53">
        <v>4660.8711995182721</v>
      </c>
      <c r="K614" s="24">
        <v>0.74442345471125271</v>
      </c>
      <c r="L614" s="24">
        <v>0.87451463002155283</v>
      </c>
      <c r="M614" s="24">
        <v>0.85960412071859338</v>
      </c>
      <c r="O614" s="53">
        <v>4.1900283307040906</v>
      </c>
      <c r="P614" s="54">
        <v>18287.839137536834</v>
      </c>
      <c r="Q614" s="54">
        <v>4.3025861962719993</v>
      </c>
      <c r="R614" s="54">
        <v>42127.189912845577</v>
      </c>
      <c r="S614" s="54">
        <v>0.1125578655679087</v>
      </c>
      <c r="T614" s="54">
        <v>23839.350775308743</v>
      </c>
      <c r="V614" s="69">
        <f t="shared" si="56"/>
        <v>819717.82700328133</v>
      </c>
      <c r="W614" s="69">
        <f t="shared" si="57"/>
        <v>818390.04934155429</v>
      </c>
      <c r="X614" s="69">
        <f t="shared" si="54"/>
        <v>-1327.7776617270029</v>
      </c>
      <c r="Z614" s="68">
        <f t="shared" si="58"/>
        <v>1</v>
      </c>
      <c r="AA614" s="68">
        <f t="shared" si="59"/>
        <v>0</v>
      </c>
      <c r="AB614" s="68">
        <f t="shared" si="55"/>
        <v>0</v>
      </c>
    </row>
    <row r="615" spans="1:28" x14ac:dyDescent="0.25">
      <c r="A615">
        <v>610</v>
      </c>
      <c r="C615" s="24">
        <v>6.2523520152235612E-5</v>
      </c>
      <c r="D615" s="24">
        <v>1.0660703773500848E-4</v>
      </c>
      <c r="E615" s="24">
        <v>1.6443202984661731E-5</v>
      </c>
      <c r="F615" s="24">
        <v>1.5189772373106301E-17</v>
      </c>
      <c r="G615" s="24">
        <v>0.57740945628964868</v>
      </c>
      <c r="H615" s="24">
        <v>0.32182387094217146</v>
      </c>
      <c r="I615" s="53">
        <v>2441.9850763729778</v>
      </c>
      <c r="J615" s="53">
        <v>5055.2863777871571</v>
      </c>
      <c r="K615" s="24">
        <v>0.67189098688396565</v>
      </c>
      <c r="L615" s="24">
        <v>0.87556624251700577</v>
      </c>
      <c r="M615" s="24">
        <v>0.87849759461051913</v>
      </c>
      <c r="O615" s="53">
        <v>4.1172746392334858</v>
      </c>
      <c r="P615" s="54">
        <v>17762.451986963901</v>
      </c>
      <c r="Q615" s="54">
        <v>4.2815142518318368</v>
      </c>
      <c r="R615" s="54">
        <v>48522.613033027992</v>
      </c>
      <c r="S615" s="54">
        <v>0.16423961259835096</v>
      </c>
      <c r="T615" s="54">
        <v>30760.161046064091</v>
      </c>
      <c r="V615" s="69">
        <f t="shared" si="56"/>
        <v>805692.4758597333</v>
      </c>
      <c r="W615" s="69">
        <f t="shared" si="57"/>
        <v>807780.23733333941</v>
      </c>
      <c r="X615" s="69">
        <f t="shared" si="54"/>
        <v>2087.7614736060968</v>
      </c>
      <c r="Z615" s="68">
        <f t="shared" si="58"/>
        <v>0</v>
      </c>
      <c r="AA615" s="68">
        <f t="shared" si="59"/>
        <v>1</v>
      </c>
      <c r="AB615" s="68">
        <f t="shared" si="55"/>
        <v>1</v>
      </c>
    </row>
    <row r="616" spans="1:28" x14ac:dyDescent="0.25">
      <c r="A616">
        <v>611</v>
      </c>
      <c r="C616" s="24">
        <v>1.3083129790258941E-4</v>
      </c>
      <c r="D616" s="24">
        <v>6.3534592724776573E-3</v>
      </c>
      <c r="E616" s="24">
        <v>2.2726221893254461E-7</v>
      </c>
      <c r="F616" s="24">
        <v>8.5469356125522644E-5</v>
      </c>
      <c r="G616" s="24">
        <v>0.48789815405947512</v>
      </c>
      <c r="H616" s="24">
        <v>0.24022500617455722</v>
      </c>
      <c r="I616" s="53">
        <v>2432.2592426200058</v>
      </c>
      <c r="J616" s="53">
        <v>5533.936089355936</v>
      </c>
      <c r="K616" s="24">
        <v>0.7016786793563401</v>
      </c>
      <c r="L616" s="24">
        <v>0.84741649227141536</v>
      </c>
      <c r="M616" s="24">
        <v>0.79899532791822547</v>
      </c>
      <c r="O616" s="53">
        <v>4.1020195530773815</v>
      </c>
      <c r="P616" s="54">
        <v>16753.968678010886</v>
      </c>
      <c r="Q616" s="54">
        <v>4.1886969058324013</v>
      </c>
      <c r="R616" s="54">
        <v>40313.610352657117</v>
      </c>
      <c r="S616" s="54">
        <v>8.6677352755019754E-2</v>
      </c>
      <c r="T616" s="54">
        <v>23559.641674646231</v>
      </c>
      <c r="V616" s="69">
        <f t="shared" si="56"/>
        <v>803649.94193746545</v>
      </c>
      <c r="W616" s="69">
        <f t="shared" si="57"/>
        <v>797425.7708138231</v>
      </c>
      <c r="X616" s="69">
        <f t="shared" si="54"/>
        <v>-6224.1711236422816</v>
      </c>
      <c r="Z616" s="68">
        <f t="shared" si="58"/>
        <v>1</v>
      </c>
      <c r="AA616" s="68">
        <f t="shared" si="59"/>
        <v>0</v>
      </c>
      <c r="AB616" s="68">
        <f t="shared" si="55"/>
        <v>0</v>
      </c>
    </row>
    <row r="617" spans="1:28" x14ac:dyDescent="0.25">
      <c r="A617">
        <v>612</v>
      </c>
      <c r="C617" s="24">
        <v>6.3257813005380692E-3</v>
      </c>
      <c r="D617" s="24">
        <v>5.0958761990286261E-3</v>
      </c>
      <c r="E617" s="24">
        <v>1.1561074320098896E-10</v>
      </c>
      <c r="F617" s="24">
        <v>5.0892623448817176E-13</v>
      </c>
      <c r="G617" s="24">
        <v>0.63049571266327442</v>
      </c>
      <c r="H617" s="24">
        <v>0.30894664833485075</v>
      </c>
      <c r="I617" s="53">
        <v>2328.4318895040442</v>
      </c>
      <c r="J617" s="53">
        <v>5469.3746964387565</v>
      </c>
      <c r="K617" s="24">
        <v>0.79387409299227218</v>
      </c>
      <c r="L617" s="24">
        <v>0.81647751288562909</v>
      </c>
      <c r="M617" s="24">
        <v>0.86633200051605275</v>
      </c>
      <c r="O617" s="53">
        <v>4.0506177210576295</v>
      </c>
      <c r="P617" s="54">
        <v>20278.276540716593</v>
      </c>
      <c r="Q617" s="54">
        <v>4.0739850398406325</v>
      </c>
      <c r="R617" s="54">
        <v>46253.132547365392</v>
      </c>
      <c r="S617" s="54">
        <v>2.3367318783003022E-2</v>
      </c>
      <c r="T617" s="54">
        <v>25974.856006648799</v>
      </c>
      <c r="V617" s="69">
        <f t="shared" si="56"/>
        <v>789845.26767080929</v>
      </c>
      <c r="W617" s="69">
        <f t="shared" si="57"/>
        <v>768543.87542076118</v>
      </c>
      <c r="X617" s="69">
        <f t="shared" si="54"/>
        <v>-21301.392250048193</v>
      </c>
      <c r="Z617" s="68">
        <f t="shared" si="58"/>
        <v>1</v>
      </c>
      <c r="AA617" s="68">
        <f t="shared" si="59"/>
        <v>0</v>
      </c>
      <c r="AB617" s="68">
        <f t="shared" si="55"/>
        <v>0</v>
      </c>
    </row>
    <row r="618" spans="1:28" x14ac:dyDescent="0.25">
      <c r="A618">
        <v>613</v>
      </c>
      <c r="C618" s="24">
        <v>1.2421678018116561E-6</v>
      </c>
      <c r="D618" s="24">
        <v>1.5607458406777797E-3</v>
      </c>
      <c r="E618" s="24">
        <v>2.449754651482613E-24</v>
      </c>
      <c r="F618" s="24">
        <v>1.605827693040851E-10</v>
      </c>
      <c r="G618" s="24">
        <v>0.58352618560151681</v>
      </c>
      <c r="H618" s="24">
        <v>0.4003516899864531</v>
      </c>
      <c r="I618" s="53">
        <v>1666.300493414805</v>
      </c>
      <c r="J618" s="53">
        <v>4149.4009696731246</v>
      </c>
      <c r="K618" s="24">
        <v>0.45684725314288066</v>
      </c>
      <c r="L618" s="24">
        <v>0.96068509172119387</v>
      </c>
      <c r="M618" s="24">
        <v>0.83385591701803363</v>
      </c>
      <c r="O618" s="53">
        <v>4.1452512450135997</v>
      </c>
      <c r="P618" s="54">
        <v>15955.851239446338</v>
      </c>
      <c r="Q618" s="54">
        <v>4.4690684066620285</v>
      </c>
      <c r="R618" s="54">
        <v>78520.527374781144</v>
      </c>
      <c r="S618" s="54">
        <v>0.32381716164842889</v>
      </c>
      <c r="T618" s="54">
        <v>62564.676135334805</v>
      </c>
      <c r="V618" s="69">
        <f t="shared" si="56"/>
        <v>813094.39776327356</v>
      </c>
      <c r="W618" s="69">
        <f t="shared" si="57"/>
        <v>815293.15395762445</v>
      </c>
      <c r="X618" s="69">
        <f t="shared" si="54"/>
        <v>2198.7561943509718</v>
      </c>
      <c r="Z618" s="68">
        <f t="shared" si="58"/>
        <v>0</v>
      </c>
      <c r="AA618" s="68">
        <f t="shared" si="59"/>
        <v>1</v>
      </c>
      <c r="AB618" s="68">
        <f t="shared" si="55"/>
        <v>1</v>
      </c>
    </row>
    <row r="619" spans="1:28" x14ac:dyDescent="0.25">
      <c r="A619">
        <v>614</v>
      </c>
      <c r="C619" s="24">
        <v>1.982665337965317E-3</v>
      </c>
      <c r="D619" s="24">
        <v>3.4000442739060135E-4</v>
      </c>
      <c r="E619" s="24">
        <v>5.9513287027690431E-5</v>
      </c>
      <c r="F619" s="24">
        <v>7.059695349957984E-4</v>
      </c>
      <c r="G619" s="24">
        <v>0.60438064235530176</v>
      </c>
      <c r="H619" s="24">
        <v>0.28544642922085572</v>
      </c>
      <c r="I619" s="53">
        <v>2190.8912153695255</v>
      </c>
      <c r="J619" s="53">
        <v>4483.41451415968</v>
      </c>
      <c r="K619" s="24">
        <v>0.77451054525349183</v>
      </c>
      <c r="L619" s="24">
        <v>0.79134158263012555</v>
      </c>
      <c r="M619" s="24">
        <v>0.6699242431012945</v>
      </c>
      <c r="O619" s="53">
        <v>3.9304530569025311</v>
      </c>
      <c r="P619" s="54">
        <v>18306.022503092277</v>
      </c>
      <c r="Q619" s="54">
        <v>3.9461337959350642</v>
      </c>
      <c r="R619" s="54">
        <v>34439.656910366612</v>
      </c>
      <c r="S619" s="54">
        <v>1.5680739032533086E-2</v>
      </c>
      <c r="T619" s="54">
        <v>16133.634407274334</v>
      </c>
      <c r="V619" s="69">
        <f t="shared" si="56"/>
        <v>767784.58887741389</v>
      </c>
      <c r="W619" s="69">
        <f t="shared" si="57"/>
        <v>754787.10227664618</v>
      </c>
      <c r="X619" s="69">
        <f t="shared" si="54"/>
        <v>-12997.486600767717</v>
      </c>
      <c r="Z619" s="68">
        <f t="shared" si="58"/>
        <v>1</v>
      </c>
      <c r="AA619" s="68">
        <f t="shared" si="59"/>
        <v>0</v>
      </c>
      <c r="AB619" s="68">
        <f t="shared" si="55"/>
        <v>0</v>
      </c>
    </row>
    <row r="620" spans="1:28" x14ac:dyDescent="0.25">
      <c r="A620">
        <v>615</v>
      </c>
      <c r="C620" s="24">
        <v>1.8937672631304747E-2</v>
      </c>
      <c r="D620" s="24">
        <v>3.3798386172172457E-3</v>
      </c>
      <c r="E620" s="24">
        <v>5.7966364486183863E-8</v>
      </c>
      <c r="F620" s="24">
        <v>1.4731082464969347E-8</v>
      </c>
      <c r="G620" s="24">
        <v>0.64922409981620288</v>
      </c>
      <c r="H620" s="24">
        <v>0.24339440144587909</v>
      </c>
      <c r="I620" s="53">
        <v>1517.1721018118803</v>
      </c>
      <c r="J620" s="53">
        <v>6073.9438550195509</v>
      </c>
      <c r="K620" s="24">
        <v>0.73226028976098778</v>
      </c>
      <c r="L620" s="24">
        <v>0.9514727292524201</v>
      </c>
      <c r="M620" s="24">
        <v>0.63973319216595792</v>
      </c>
      <c r="O620" s="53">
        <v>4.3418411417909111</v>
      </c>
      <c r="P620" s="54">
        <v>22671.293426530101</v>
      </c>
      <c r="Q620" s="54">
        <v>4.6803895102023585</v>
      </c>
      <c r="R620" s="54">
        <v>36628.666145851501</v>
      </c>
      <c r="S620" s="54">
        <v>0.33854836841144742</v>
      </c>
      <c r="T620" s="54">
        <v>13957.3727193214</v>
      </c>
      <c r="V620" s="69">
        <f t="shared" si="56"/>
        <v>845696.93493165215</v>
      </c>
      <c r="W620" s="69">
        <f t="shared" si="57"/>
        <v>899449.23589462019</v>
      </c>
      <c r="X620" s="69">
        <f t="shared" si="54"/>
        <v>53752.300962968089</v>
      </c>
      <c r="Z620" s="68">
        <f t="shared" si="58"/>
        <v>0</v>
      </c>
      <c r="AA620" s="68">
        <f t="shared" si="59"/>
        <v>1</v>
      </c>
      <c r="AB620" s="68">
        <f t="shared" si="55"/>
        <v>1</v>
      </c>
    </row>
    <row r="621" spans="1:28" x14ac:dyDescent="0.25">
      <c r="A621">
        <v>616</v>
      </c>
      <c r="C621" s="24">
        <v>7.0175692639917742E-4</v>
      </c>
      <c r="D621" s="24">
        <v>1.3705740966078905E-2</v>
      </c>
      <c r="E621" s="24">
        <v>4.7881684809625291E-5</v>
      </c>
      <c r="F621" s="24">
        <v>5.2910971102195735E-18</v>
      </c>
      <c r="G621" s="24">
        <v>0.55845190030637648</v>
      </c>
      <c r="H621" s="24">
        <v>0.33724549985329044</v>
      </c>
      <c r="I621" s="53">
        <v>1940.7689483187014</v>
      </c>
      <c r="J621" s="53">
        <v>4372.6219400647051</v>
      </c>
      <c r="K621" s="24">
        <v>0.85273163108159045</v>
      </c>
      <c r="L621" s="24">
        <v>0.87356125316298416</v>
      </c>
      <c r="M621" s="24">
        <v>0.94091245599549778</v>
      </c>
      <c r="O621" s="53">
        <v>4.3429395803349244</v>
      </c>
      <c r="P621" s="54">
        <v>16333.505769549631</v>
      </c>
      <c r="Q621" s="54">
        <v>4.3635117132371661</v>
      </c>
      <c r="R621" s="54">
        <v>51330.562726393044</v>
      </c>
      <c r="S621" s="54">
        <v>2.0572132902241691E-2</v>
      </c>
      <c r="T621" s="54">
        <v>34997.056956843415</v>
      </c>
      <c r="V621" s="69">
        <f t="shared" si="56"/>
        <v>852254.41029743524</v>
      </c>
      <c r="W621" s="69">
        <f t="shared" si="57"/>
        <v>821371.77992104029</v>
      </c>
      <c r="X621" s="69">
        <f t="shared" si="54"/>
        <v>-30882.630376395078</v>
      </c>
      <c r="Z621" s="68">
        <f t="shared" si="58"/>
        <v>1</v>
      </c>
      <c r="AA621" s="68">
        <f t="shared" si="59"/>
        <v>0</v>
      </c>
      <c r="AB621" s="68">
        <f t="shared" si="55"/>
        <v>0</v>
      </c>
    </row>
    <row r="622" spans="1:28" x14ac:dyDescent="0.25">
      <c r="A622">
        <v>617</v>
      </c>
      <c r="C622" s="24">
        <v>7.683493860312085E-4</v>
      </c>
      <c r="D622" s="24">
        <v>7.3844090178178719E-5</v>
      </c>
      <c r="E622" s="24">
        <v>3.5892174756313206E-19</v>
      </c>
      <c r="F622" s="24">
        <v>8.6747379113294443E-7</v>
      </c>
      <c r="G622" s="24">
        <v>0.47242844386192318</v>
      </c>
      <c r="H622" s="24">
        <v>0.25285796460554499</v>
      </c>
      <c r="I622" s="53">
        <v>2085.1143890584867</v>
      </c>
      <c r="J622" s="53">
        <v>4925.3810024833165</v>
      </c>
      <c r="K622" s="24">
        <v>0.56981070354578678</v>
      </c>
      <c r="L622" s="24">
        <v>0.95752694557903051</v>
      </c>
      <c r="M622" s="24">
        <v>0.93867940640952252</v>
      </c>
      <c r="O622" s="53">
        <v>4.4485008263766996</v>
      </c>
      <c r="P622" s="54">
        <v>14253.790728487631</v>
      </c>
      <c r="Q622" s="54">
        <v>4.6565402940378586</v>
      </c>
      <c r="R622" s="54">
        <v>35481.751144653885</v>
      </c>
      <c r="S622" s="54">
        <v>0.20803946766115899</v>
      </c>
      <c r="T622" s="54">
        <v>21227.960416166254</v>
      </c>
      <c r="V622" s="69">
        <f t="shared" si="56"/>
        <v>875446.37454685231</v>
      </c>
      <c r="W622" s="69">
        <f t="shared" si="57"/>
        <v>895826.30766291788</v>
      </c>
      <c r="X622" s="69">
        <f t="shared" si="54"/>
        <v>20379.933116065546</v>
      </c>
      <c r="Z622" s="68">
        <f t="shared" si="58"/>
        <v>0</v>
      </c>
      <c r="AA622" s="68">
        <f t="shared" si="59"/>
        <v>1</v>
      </c>
      <c r="AB622" s="68">
        <f t="shared" si="55"/>
        <v>1</v>
      </c>
    </row>
    <row r="623" spans="1:28" x14ac:dyDescent="0.25">
      <c r="A623">
        <v>618</v>
      </c>
      <c r="C623" s="24">
        <v>3.2214408518723403E-7</v>
      </c>
      <c r="D623" s="24">
        <v>1.0205858226504003E-3</v>
      </c>
      <c r="E623" s="24">
        <v>4.6139256185601217E-37</v>
      </c>
      <c r="F623" s="24">
        <v>4.2018273957474812E-26</v>
      </c>
      <c r="G623" s="24">
        <v>0.5914653554914604</v>
      </c>
      <c r="H623" s="24">
        <v>0.28956276193417141</v>
      </c>
      <c r="I623" s="53">
        <v>2405.9090539251279</v>
      </c>
      <c r="J623" s="53">
        <v>5824.2164529934162</v>
      </c>
      <c r="K623" s="24">
        <v>0.54397024903787994</v>
      </c>
      <c r="L623" s="24">
        <v>0.96310047458753978</v>
      </c>
      <c r="M623" s="24">
        <v>0.95274561715545492</v>
      </c>
      <c r="O623" s="53">
        <v>4.2526203940474554</v>
      </c>
      <c r="P623" s="54">
        <v>20292.259864954391</v>
      </c>
      <c r="Q623" s="54">
        <v>4.6449510854365972</v>
      </c>
      <c r="R623" s="54">
        <v>40238.017664220322</v>
      </c>
      <c r="S623" s="54">
        <v>0.39233069138914178</v>
      </c>
      <c r="T623" s="54">
        <v>19945.757799265932</v>
      </c>
      <c r="V623" s="69">
        <f t="shared" si="56"/>
        <v>830231.81894453673</v>
      </c>
      <c r="W623" s="69">
        <f t="shared" si="57"/>
        <v>888752.19942309917</v>
      </c>
      <c r="X623" s="69">
        <f t="shared" si="54"/>
        <v>58520.380478562423</v>
      </c>
      <c r="Z623" s="68">
        <f t="shared" si="58"/>
        <v>0</v>
      </c>
      <c r="AA623" s="68">
        <f t="shared" si="59"/>
        <v>1</v>
      </c>
      <c r="AB623" s="68">
        <f t="shared" si="55"/>
        <v>1</v>
      </c>
    </row>
    <row r="624" spans="1:28" x14ac:dyDescent="0.25">
      <c r="A624">
        <v>619</v>
      </c>
      <c r="C624" s="24">
        <v>5.6984629723146879E-9</v>
      </c>
      <c r="D624" s="24">
        <v>2.6189465611194937E-4</v>
      </c>
      <c r="E624" s="24">
        <v>1.5626374399944034E-13</v>
      </c>
      <c r="F624" s="24">
        <v>8.8497008114201237E-31</v>
      </c>
      <c r="G624" s="24">
        <v>0.51643260713482297</v>
      </c>
      <c r="H624" s="24">
        <v>0.21436681669485813</v>
      </c>
      <c r="I624" s="53">
        <v>1585.3783173067436</v>
      </c>
      <c r="J624" s="53">
        <v>5185.9664998783046</v>
      </c>
      <c r="K624" s="24">
        <v>0.65305898555446917</v>
      </c>
      <c r="L624" s="24">
        <v>0.75482679280741283</v>
      </c>
      <c r="M624" s="24">
        <v>0.77768340336763542</v>
      </c>
      <c r="O624" s="53">
        <v>3.6694420140855959</v>
      </c>
      <c r="P624" s="54">
        <v>13535.012769399988</v>
      </c>
      <c r="Q624" s="54">
        <v>3.7464143254073394</v>
      </c>
      <c r="R624" s="54">
        <v>30607.971091649426</v>
      </c>
      <c r="S624" s="54">
        <v>7.6972311321743536E-2</v>
      </c>
      <c r="T624" s="54">
        <v>17072.95832224944</v>
      </c>
      <c r="V624" s="69">
        <f t="shared" si="56"/>
        <v>720353.39004771912</v>
      </c>
      <c r="W624" s="69">
        <f t="shared" si="57"/>
        <v>718674.89398981852</v>
      </c>
      <c r="X624" s="69">
        <f t="shared" si="54"/>
        <v>-1678.4960579007329</v>
      </c>
      <c r="Z624" s="68">
        <f t="shared" si="58"/>
        <v>1</v>
      </c>
      <c r="AA624" s="68">
        <f t="shared" si="59"/>
        <v>0</v>
      </c>
      <c r="AB624" s="68">
        <f t="shared" si="55"/>
        <v>0</v>
      </c>
    </row>
    <row r="625" spans="1:28" x14ac:dyDescent="0.25">
      <c r="A625">
        <v>620</v>
      </c>
      <c r="C625" s="24">
        <v>2.756555130997548E-5</v>
      </c>
      <c r="D625" s="24">
        <v>1.4910170739700357E-3</v>
      </c>
      <c r="E625" s="24">
        <v>8.6543820016396919E-14</v>
      </c>
      <c r="F625" s="24">
        <v>4.626824479103675E-10</v>
      </c>
      <c r="G625" s="24">
        <v>0.63376957044288595</v>
      </c>
      <c r="H625" s="24">
        <v>0.25192730190163704</v>
      </c>
      <c r="I625" s="53">
        <v>1999.3242471364151</v>
      </c>
      <c r="J625" s="53">
        <v>6450.0609031487347</v>
      </c>
      <c r="K625" s="24">
        <v>0.63702697554934484</v>
      </c>
      <c r="L625" s="24">
        <v>0.76519721870605384</v>
      </c>
      <c r="M625" s="24">
        <v>0.90814888383733272</v>
      </c>
      <c r="O625" s="53">
        <v>3.6269006890912743</v>
      </c>
      <c r="P625" s="54">
        <v>16682.953493938818</v>
      </c>
      <c r="Q625" s="54">
        <v>3.7841949569378817</v>
      </c>
      <c r="R625" s="54">
        <v>27539.99680228428</v>
      </c>
      <c r="S625" s="54">
        <v>0.15729426784660738</v>
      </c>
      <c r="T625" s="54">
        <v>10857.043308345463</v>
      </c>
      <c r="V625" s="69">
        <f t="shared" si="56"/>
        <v>708697.1843243161</v>
      </c>
      <c r="W625" s="69">
        <f t="shared" si="57"/>
        <v>729298.99458529206</v>
      </c>
      <c r="X625" s="69">
        <f t="shared" si="54"/>
        <v>20601.810260976014</v>
      </c>
      <c r="Z625" s="68">
        <f t="shared" si="58"/>
        <v>0</v>
      </c>
      <c r="AA625" s="68">
        <f t="shared" si="59"/>
        <v>1</v>
      </c>
      <c r="AB625" s="68">
        <f t="shared" si="55"/>
        <v>1</v>
      </c>
    </row>
    <row r="626" spans="1:28" x14ac:dyDescent="0.25">
      <c r="A626">
        <v>621</v>
      </c>
      <c r="C626" s="24">
        <v>3.1774913374692515E-3</v>
      </c>
      <c r="D626" s="24">
        <v>1.219320351328878E-3</v>
      </c>
      <c r="E626" s="24">
        <v>8.0212947395352785E-11</v>
      </c>
      <c r="F626" s="24">
        <v>6.7074856779925085E-10</v>
      </c>
      <c r="G626" s="24">
        <v>0.59368721423430681</v>
      </c>
      <c r="H626" s="24">
        <v>0.32307328231409571</v>
      </c>
      <c r="I626" s="53">
        <v>3027.8421344609578</v>
      </c>
      <c r="J626" s="53">
        <v>5658.4779157269168</v>
      </c>
      <c r="K626" s="24">
        <v>0.76321036290094446</v>
      </c>
      <c r="L626" s="24">
        <v>0.7795764674122494</v>
      </c>
      <c r="M626" s="24">
        <v>0.69888071629640791</v>
      </c>
      <c r="O626" s="53">
        <v>3.8734313463595327</v>
      </c>
      <c r="P626" s="54">
        <v>18748.980925499091</v>
      </c>
      <c r="Q626" s="54">
        <v>3.8894412188990195</v>
      </c>
      <c r="R626" s="54">
        <v>48462.638854411416</v>
      </c>
      <c r="S626" s="54">
        <v>1.6009872539486825E-2</v>
      </c>
      <c r="T626" s="54">
        <v>29713.657928912326</v>
      </c>
      <c r="V626" s="69">
        <f t="shared" si="56"/>
        <v>755937.28834640747</v>
      </c>
      <c r="W626" s="69">
        <f t="shared" si="57"/>
        <v>729425.60492539243</v>
      </c>
      <c r="X626" s="69">
        <f t="shared" si="54"/>
        <v>-26511.683421014961</v>
      </c>
      <c r="Z626" s="68">
        <f t="shared" si="58"/>
        <v>1</v>
      </c>
      <c r="AA626" s="68">
        <f t="shared" si="59"/>
        <v>0</v>
      </c>
      <c r="AB626" s="68">
        <f t="shared" si="55"/>
        <v>0</v>
      </c>
    </row>
    <row r="627" spans="1:28" x14ac:dyDescent="0.25">
      <c r="A627">
        <v>622</v>
      </c>
      <c r="C627" s="24">
        <v>7.445179071742563E-9</v>
      </c>
      <c r="D627" s="24">
        <v>2.1857189381166986E-3</v>
      </c>
      <c r="E627" s="24">
        <v>5.9560584218474979E-30</v>
      </c>
      <c r="F627" s="24">
        <v>8.3863923187227925E-23</v>
      </c>
      <c r="G627" s="24">
        <v>0.69135180973405252</v>
      </c>
      <c r="H627" s="24">
        <v>0.23185274347758356</v>
      </c>
      <c r="I627" s="53">
        <v>1917.7231703848461</v>
      </c>
      <c r="J627" s="53">
        <v>6804.7236977756329</v>
      </c>
      <c r="K627" s="24">
        <v>0.63504157089551794</v>
      </c>
      <c r="L627" s="24">
        <v>0.90711424039344335</v>
      </c>
      <c r="M627" s="24">
        <v>0.93892650974172831</v>
      </c>
      <c r="O627" s="53">
        <v>4.0223995146130163</v>
      </c>
      <c r="P627" s="54">
        <v>21359.37212903806</v>
      </c>
      <c r="Q627" s="54">
        <v>4.4539308115917935</v>
      </c>
      <c r="R627" s="54">
        <v>29723.720022333306</v>
      </c>
      <c r="S627" s="54">
        <v>0.43153129697877723</v>
      </c>
      <c r="T627" s="54">
        <v>8364.3478932952457</v>
      </c>
      <c r="V627" s="69">
        <f t="shared" si="56"/>
        <v>783120.53079356521</v>
      </c>
      <c r="W627" s="69">
        <f t="shared" si="57"/>
        <v>861062.44229602534</v>
      </c>
      <c r="X627" s="69">
        <f t="shared" si="54"/>
        <v>77941.911502460207</v>
      </c>
      <c r="Z627" s="68">
        <f t="shared" si="58"/>
        <v>0</v>
      </c>
      <c r="AA627" s="68">
        <f t="shared" si="59"/>
        <v>1</v>
      </c>
      <c r="AB627" s="68">
        <f t="shared" si="55"/>
        <v>1</v>
      </c>
    </row>
    <row r="628" spans="1:28" x14ac:dyDescent="0.25">
      <c r="A628">
        <v>623</v>
      </c>
      <c r="C628" s="24">
        <v>1.4335442829787593E-6</v>
      </c>
      <c r="D628" s="24">
        <v>9.4945108014684047E-4</v>
      </c>
      <c r="E628" s="24">
        <v>6.6186744223500593E-30</v>
      </c>
      <c r="F628" s="24">
        <v>8.4840328587623115E-58</v>
      </c>
      <c r="G628" s="24">
        <v>0.64893748185487476</v>
      </c>
      <c r="H628" s="24">
        <v>0.28736526544795704</v>
      </c>
      <c r="I628" s="53">
        <v>1551.728920663998</v>
      </c>
      <c r="J628" s="53">
        <v>4174.1959691221973</v>
      </c>
      <c r="K628" s="24">
        <v>0.69107555786189168</v>
      </c>
      <c r="L628" s="24">
        <v>0.87299297901289896</v>
      </c>
      <c r="M628" s="24">
        <v>0.61496410892630848</v>
      </c>
      <c r="O628" s="53">
        <v>4.0673874627312427</v>
      </c>
      <c r="P628" s="54">
        <v>19690.240868482768</v>
      </c>
      <c r="Q628" s="54">
        <v>4.2901711239781184</v>
      </c>
      <c r="R628" s="54">
        <v>44483.826639359278</v>
      </c>
      <c r="S628" s="54">
        <v>0.22278366124687565</v>
      </c>
      <c r="T628" s="54">
        <v>24793.585770876511</v>
      </c>
      <c r="V628" s="69">
        <f t="shared" si="56"/>
        <v>793787.25167776586</v>
      </c>
      <c r="W628" s="69">
        <f t="shared" si="57"/>
        <v>813550.39815626445</v>
      </c>
      <c r="X628" s="69">
        <f t="shared" si="54"/>
        <v>19763.146478498616</v>
      </c>
      <c r="Z628" s="68">
        <f t="shared" si="58"/>
        <v>0</v>
      </c>
      <c r="AA628" s="68">
        <f t="shared" si="59"/>
        <v>1</v>
      </c>
      <c r="AB628" s="68">
        <f t="shared" si="55"/>
        <v>1</v>
      </c>
    </row>
    <row r="629" spans="1:28" x14ac:dyDescent="0.25">
      <c r="A629">
        <v>624</v>
      </c>
      <c r="C629" s="24">
        <v>1.0544818177438131E-4</v>
      </c>
      <c r="D629" s="24">
        <v>1.8246454977780546E-3</v>
      </c>
      <c r="E629" s="24">
        <v>6.5726687948798803E-62</v>
      </c>
      <c r="F629" s="24">
        <v>6.0482631094325863E-20</v>
      </c>
      <c r="G629" s="24">
        <v>0.51365714382555072</v>
      </c>
      <c r="H629" s="24">
        <v>0.39131650839346344</v>
      </c>
      <c r="I629" s="53">
        <v>1976.4555203389589</v>
      </c>
      <c r="J629" s="53">
        <v>6389.9037017821229</v>
      </c>
      <c r="K629" s="24">
        <v>0.72917890317634027</v>
      </c>
      <c r="L629" s="24">
        <v>0.78368118596372638</v>
      </c>
      <c r="M629" s="24">
        <v>0.853832398529909</v>
      </c>
      <c r="O629" s="53">
        <v>3.8629615331825775</v>
      </c>
      <c r="P629" s="54">
        <v>14336.366179568107</v>
      </c>
      <c r="Q629" s="54">
        <v>3.8846059721059119</v>
      </c>
      <c r="R629" s="54">
        <v>49162.448828411369</v>
      </c>
      <c r="S629" s="54">
        <v>2.1644438923334341E-2</v>
      </c>
      <c r="T629" s="54">
        <v>34826.082648843265</v>
      </c>
      <c r="V629" s="69">
        <f t="shared" si="56"/>
        <v>758255.94045694743</v>
      </c>
      <c r="W629" s="69">
        <f t="shared" si="57"/>
        <v>727758.74559277098</v>
      </c>
      <c r="X629" s="69">
        <f t="shared" si="54"/>
        <v>-30497.194864176396</v>
      </c>
      <c r="Z629" s="68">
        <f t="shared" si="58"/>
        <v>1</v>
      </c>
      <c r="AA629" s="68">
        <f t="shared" si="59"/>
        <v>0</v>
      </c>
      <c r="AB629" s="68">
        <f t="shared" si="55"/>
        <v>0</v>
      </c>
    </row>
    <row r="630" spans="1:28" x14ac:dyDescent="0.25">
      <c r="A630">
        <v>625</v>
      </c>
      <c r="C630" s="24">
        <v>4.3023859564230715E-3</v>
      </c>
      <c r="D630" s="24">
        <v>4.6483200820963688E-3</v>
      </c>
      <c r="E630" s="24">
        <v>7.634572100682073E-37</v>
      </c>
      <c r="F630" s="24">
        <v>1.1288003885834286E-5</v>
      </c>
      <c r="G630" s="24">
        <v>0.6299589400451977</v>
      </c>
      <c r="H630" s="24">
        <v>0.21550706871536884</v>
      </c>
      <c r="I630" s="53">
        <v>1771.7745506393958</v>
      </c>
      <c r="J630" s="53">
        <v>7490.5743569079859</v>
      </c>
      <c r="K630" s="24">
        <v>0.43399883253497845</v>
      </c>
      <c r="L630" s="24">
        <v>0.94523019056924273</v>
      </c>
      <c r="M630" s="24">
        <v>0.54406283336373051</v>
      </c>
      <c r="O630" s="53">
        <v>3.9260062971473957</v>
      </c>
      <c r="P630" s="54">
        <v>20227.84997320058</v>
      </c>
      <c r="Q630" s="54">
        <v>4.5744798322647044</v>
      </c>
      <c r="R630" s="54">
        <v>24456.159590963172</v>
      </c>
      <c r="S630" s="54">
        <v>0.64847353511730876</v>
      </c>
      <c r="T630" s="54">
        <v>4228.3096177625921</v>
      </c>
      <c r="V630" s="69">
        <f t="shared" si="56"/>
        <v>764973.40945627855</v>
      </c>
      <c r="W630" s="69">
        <f t="shared" si="57"/>
        <v>890439.80686197767</v>
      </c>
      <c r="X630" s="69">
        <f t="shared" si="54"/>
        <v>125466.39740569916</v>
      </c>
      <c r="Z630" s="68">
        <f t="shared" si="58"/>
        <v>0</v>
      </c>
      <c r="AA630" s="68">
        <f t="shared" si="59"/>
        <v>1</v>
      </c>
      <c r="AB630" s="68">
        <f t="shared" si="55"/>
        <v>1</v>
      </c>
    </row>
    <row r="631" spans="1:28" x14ac:dyDescent="0.25">
      <c r="A631">
        <v>626</v>
      </c>
      <c r="C631" s="24">
        <v>7.1247942106467951E-6</v>
      </c>
      <c r="D631" s="24">
        <v>1.549716521410005E-3</v>
      </c>
      <c r="E631" s="24">
        <v>3.2392599088612045E-22</v>
      </c>
      <c r="F631" s="24">
        <v>5.4229842838537934E-11</v>
      </c>
      <c r="G631" s="24">
        <v>0.73111959919361857</v>
      </c>
      <c r="H631" s="24">
        <v>0.33295498439493787</v>
      </c>
      <c r="I631" s="53">
        <v>1912.0894851283115</v>
      </c>
      <c r="J631" s="53">
        <v>4972.9707211018458</v>
      </c>
      <c r="K631" s="24">
        <v>0.3948421623274877</v>
      </c>
      <c r="L631" s="24">
        <v>0.81989205693842648</v>
      </c>
      <c r="M631" s="24">
        <v>0.90210939153720648</v>
      </c>
      <c r="O631" s="53">
        <v>3.1851435811030488</v>
      </c>
      <c r="P631" s="54">
        <v>22615.43893513894</v>
      </c>
      <c r="Q631" s="54">
        <v>3.8890252331203352</v>
      </c>
      <c r="R631" s="54">
        <v>48973.33265611394</v>
      </c>
      <c r="S631" s="54">
        <v>0.70388165201728636</v>
      </c>
      <c r="T631" s="54">
        <v>26357.893720975</v>
      </c>
      <c r="V631" s="69">
        <f t="shared" si="56"/>
        <v>614413.27728547074</v>
      </c>
      <c r="W631" s="69">
        <f t="shared" si="57"/>
        <v>728831.71396795311</v>
      </c>
      <c r="X631" s="69">
        <f t="shared" si="54"/>
        <v>114418.43668248228</v>
      </c>
      <c r="Z631" s="68">
        <f t="shared" si="58"/>
        <v>0</v>
      </c>
      <c r="AA631" s="68">
        <f t="shared" si="59"/>
        <v>1</v>
      </c>
      <c r="AB631" s="68">
        <f t="shared" si="55"/>
        <v>1</v>
      </c>
    </row>
    <row r="632" spans="1:28" x14ac:dyDescent="0.25">
      <c r="A632">
        <v>627</v>
      </c>
      <c r="C632" s="24">
        <v>2.2233351814080482E-3</v>
      </c>
      <c r="D632" s="24">
        <v>3.2328696091612485E-3</v>
      </c>
      <c r="E632" s="24">
        <v>1.1566085583509865E-32</v>
      </c>
      <c r="F632" s="24">
        <v>9.3675949535471141E-30</v>
      </c>
      <c r="G632" s="24">
        <v>0.58516373663891386</v>
      </c>
      <c r="H632" s="24">
        <v>0.28636801018567626</v>
      </c>
      <c r="I632" s="53">
        <v>2193.6043374195142</v>
      </c>
      <c r="J632" s="53">
        <v>5677.7684118748512</v>
      </c>
      <c r="K632" s="24">
        <v>0.59983419590916676</v>
      </c>
      <c r="L632" s="24">
        <v>0.98704780380537804</v>
      </c>
      <c r="M632" s="24">
        <v>0.77204330670548349</v>
      </c>
      <c r="O632" s="53">
        <v>4.422266530355512</v>
      </c>
      <c r="P632" s="54">
        <v>16431.221028628774</v>
      </c>
      <c r="Q632" s="54">
        <v>4.7756762981025789</v>
      </c>
      <c r="R632" s="54">
        <v>48608.613712608902</v>
      </c>
      <c r="S632" s="54">
        <v>0.35340976774706689</v>
      </c>
      <c r="T632" s="54">
        <v>32177.392683980128</v>
      </c>
      <c r="V632" s="69">
        <f t="shared" si="56"/>
        <v>868022.08504247363</v>
      </c>
      <c r="W632" s="69">
        <f t="shared" si="57"/>
        <v>906526.64590790682</v>
      </c>
      <c r="X632" s="69">
        <f t="shared" si="54"/>
        <v>38504.560865433246</v>
      </c>
      <c r="Z632" s="68">
        <f t="shared" si="58"/>
        <v>0</v>
      </c>
      <c r="AA632" s="68">
        <f t="shared" si="59"/>
        <v>1</v>
      </c>
      <c r="AB632" s="68">
        <f t="shared" si="55"/>
        <v>1</v>
      </c>
    </row>
    <row r="633" spans="1:28" x14ac:dyDescent="0.25">
      <c r="A633">
        <v>628</v>
      </c>
      <c r="C633" s="24">
        <v>2.8983271089858755E-6</v>
      </c>
      <c r="D633" s="24">
        <v>4.2462382726862202E-3</v>
      </c>
      <c r="E633" s="24">
        <v>3.8464342821953323E-11</v>
      </c>
      <c r="F633" s="24">
        <v>2.7180435450074369E-16</v>
      </c>
      <c r="G633" s="24">
        <v>0.52551397581002834</v>
      </c>
      <c r="H633" s="24">
        <v>0.27795199279796678</v>
      </c>
      <c r="I633" s="53">
        <v>2218.4443853040843</v>
      </c>
      <c r="J633" s="53">
        <v>6383.8851049165096</v>
      </c>
      <c r="K633" s="24">
        <v>0.47296627322366913</v>
      </c>
      <c r="L633" s="24">
        <v>0.90159288908958946</v>
      </c>
      <c r="M633" s="24">
        <v>0.60481392462459349</v>
      </c>
      <c r="O633" s="53">
        <v>4.0522612346333142</v>
      </c>
      <c r="P633" s="54">
        <v>15138.177729527131</v>
      </c>
      <c r="Q633" s="54">
        <v>4.3351828090102495</v>
      </c>
      <c r="R633" s="54">
        <v>38556.927440980457</v>
      </c>
      <c r="S633" s="54">
        <v>0.28292157437693533</v>
      </c>
      <c r="T633" s="54">
        <v>23418.749711453325</v>
      </c>
      <c r="V633" s="69">
        <f t="shared" si="56"/>
        <v>795314.06919713574</v>
      </c>
      <c r="W633" s="69">
        <f t="shared" si="57"/>
        <v>828479.63436106942</v>
      </c>
      <c r="X633" s="69">
        <f t="shared" si="54"/>
        <v>33165.565163933737</v>
      </c>
      <c r="Z633" s="68">
        <f t="shared" si="58"/>
        <v>0</v>
      </c>
      <c r="AA633" s="68">
        <f t="shared" si="59"/>
        <v>1</v>
      </c>
      <c r="AB633" s="68">
        <f t="shared" si="55"/>
        <v>1</v>
      </c>
    </row>
    <row r="634" spans="1:28" x14ac:dyDescent="0.25">
      <c r="A634">
        <v>629</v>
      </c>
      <c r="C634" s="24">
        <v>1.8054974960092442E-10</v>
      </c>
      <c r="D634" s="24">
        <v>6.5501188575877594E-4</v>
      </c>
      <c r="E634" s="24">
        <v>4.3266141305320104E-19</v>
      </c>
      <c r="F634" s="24">
        <v>2.535674660242293E-7</v>
      </c>
      <c r="G634" s="24">
        <v>0.51571404305846325</v>
      </c>
      <c r="H634" s="24">
        <v>0.2747068280191105</v>
      </c>
      <c r="I634" s="53">
        <v>2090.7191946669222</v>
      </c>
      <c r="J634" s="53">
        <v>5574.3646874430751</v>
      </c>
      <c r="K634" s="24">
        <v>0.71382319679702166</v>
      </c>
      <c r="L634" s="24">
        <v>0.96362373239044463</v>
      </c>
      <c r="M634" s="24">
        <v>0.72824143120983498</v>
      </c>
      <c r="O634" s="53">
        <v>4.5618110161836372</v>
      </c>
      <c r="P634" s="54">
        <v>17388.421872158982</v>
      </c>
      <c r="Q634" s="54">
        <v>4.7226699803377379</v>
      </c>
      <c r="R634" s="54">
        <v>45451.624704482543</v>
      </c>
      <c r="S634" s="54">
        <v>0.16085896415410073</v>
      </c>
      <c r="T634" s="54">
        <v>28063.202832323561</v>
      </c>
      <c r="V634" s="69">
        <f t="shared" si="56"/>
        <v>894973.78136456839</v>
      </c>
      <c r="W634" s="69">
        <f t="shared" si="57"/>
        <v>899082.37136306509</v>
      </c>
      <c r="X634" s="69">
        <f t="shared" si="54"/>
        <v>4108.5899984965836</v>
      </c>
      <c r="Z634" s="68">
        <f t="shared" si="58"/>
        <v>0</v>
      </c>
      <c r="AA634" s="68">
        <f t="shared" si="59"/>
        <v>1</v>
      </c>
      <c r="AB634" s="68">
        <f t="shared" si="55"/>
        <v>1</v>
      </c>
    </row>
    <row r="635" spans="1:28" x14ac:dyDescent="0.25">
      <c r="A635">
        <v>630</v>
      </c>
      <c r="C635" s="24">
        <v>3.7978557665084844E-3</v>
      </c>
      <c r="D635" s="24">
        <v>1.3812731077857965E-3</v>
      </c>
      <c r="E635" s="24">
        <v>8.1028838813463642E-27</v>
      </c>
      <c r="F635" s="24">
        <v>2.0574411160606543E-3</v>
      </c>
      <c r="G635" s="24">
        <v>0.54008516298751974</v>
      </c>
      <c r="H635" s="24">
        <v>0.30893022732341913</v>
      </c>
      <c r="I635" s="53">
        <v>1692.743344320161</v>
      </c>
      <c r="J635" s="53">
        <v>6131.7057037716859</v>
      </c>
      <c r="K635" s="24">
        <v>0.76784912983920006</v>
      </c>
      <c r="L635" s="24">
        <v>0.84130176219976038</v>
      </c>
      <c r="M635" s="24">
        <v>0.88361835891048912</v>
      </c>
      <c r="O635" s="53">
        <v>4.1255716652612939</v>
      </c>
      <c r="P635" s="54">
        <v>13523.270740705451</v>
      </c>
      <c r="Q635" s="54">
        <v>4.1627437219254801</v>
      </c>
      <c r="R635" s="54">
        <v>55888.793710308935</v>
      </c>
      <c r="S635" s="54">
        <v>3.7172056664186215E-2</v>
      </c>
      <c r="T635" s="54">
        <v>42365.52296960348</v>
      </c>
      <c r="V635" s="69">
        <f t="shared" si="56"/>
        <v>811591.0623115534</v>
      </c>
      <c r="W635" s="69">
        <f t="shared" si="57"/>
        <v>776659.95067478705</v>
      </c>
      <c r="X635" s="69">
        <f t="shared" si="54"/>
        <v>-34931.11163676624</v>
      </c>
      <c r="Z635" s="68">
        <f t="shared" si="58"/>
        <v>1</v>
      </c>
      <c r="AA635" s="68">
        <f t="shared" si="59"/>
        <v>0</v>
      </c>
      <c r="AB635" s="68">
        <f t="shared" si="55"/>
        <v>0</v>
      </c>
    </row>
    <row r="636" spans="1:28" x14ac:dyDescent="0.25">
      <c r="A636">
        <v>631</v>
      </c>
      <c r="C636" s="24">
        <v>1.4350543607839494E-3</v>
      </c>
      <c r="D636" s="24">
        <v>3.7236486343491496E-4</v>
      </c>
      <c r="E636" s="24">
        <v>8.7479146149149756E-10</v>
      </c>
      <c r="F636" s="24">
        <v>1.0114628714984572E-94</v>
      </c>
      <c r="G636" s="24">
        <v>0.48707021106721948</v>
      </c>
      <c r="H636" s="24">
        <v>0.20129495287274601</v>
      </c>
      <c r="I636" s="53">
        <v>2223.58702129025</v>
      </c>
      <c r="J636" s="53">
        <v>3629.4545939104592</v>
      </c>
      <c r="K636" s="24">
        <v>0.59950681504837799</v>
      </c>
      <c r="L636" s="24">
        <v>0.94058773676007357</v>
      </c>
      <c r="M636" s="24">
        <v>0.68644781575475666</v>
      </c>
      <c r="O636" s="53">
        <v>4.3850337437771723</v>
      </c>
      <c r="P636" s="54">
        <v>14870.641924251748</v>
      </c>
      <c r="Q636" s="54">
        <v>4.6164430506021814</v>
      </c>
      <c r="R636" s="54">
        <v>28946.896367561403</v>
      </c>
      <c r="S636" s="54">
        <v>0.23140930682500915</v>
      </c>
      <c r="T636" s="54">
        <v>14076.254443309655</v>
      </c>
      <c r="V636" s="69">
        <f t="shared" si="56"/>
        <v>862136.10683118261</v>
      </c>
      <c r="W636" s="69">
        <f t="shared" si="57"/>
        <v>894341.71375287487</v>
      </c>
      <c r="X636" s="69">
        <f t="shared" si="54"/>
        <v>32205.606921692175</v>
      </c>
      <c r="Z636" s="68">
        <f t="shared" si="58"/>
        <v>0</v>
      </c>
      <c r="AA636" s="68">
        <f t="shared" si="59"/>
        <v>1</v>
      </c>
      <c r="AB636" s="68">
        <f t="shared" si="55"/>
        <v>1</v>
      </c>
    </row>
    <row r="637" spans="1:28" x14ac:dyDescent="0.25">
      <c r="A637">
        <v>632</v>
      </c>
      <c r="C637" s="24">
        <v>4.3542672580851351E-8</v>
      </c>
      <c r="D637" s="24">
        <v>1.349379813751636E-6</v>
      </c>
      <c r="E637" s="24">
        <v>2.4656781327792032E-7</v>
      </c>
      <c r="F637" s="24">
        <v>1.7040698129910936E-5</v>
      </c>
      <c r="G637" s="24">
        <v>0.63182151524768315</v>
      </c>
      <c r="H637" s="24">
        <v>0.22956085760113121</v>
      </c>
      <c r="I637" s="53">
        <v>2045.63435783196</v>
      </c>
      <c r="J637" s="53">
        <v>4900.352727892101</v>
      </c>
      <c r="K637" s="24">
        <v>0.72059346396738011</v>
      </c>
      <c r="L637" s="24">
        <v>0.77539382821284852</v>
      </c>
      <c r="M637" s="24">
        <v>0.89475810598209371</v>
      </c>
      <c r="O637" s="53">
        <v>3.7923946410507141</v>
      </c>
      <c r="P637" s="54">
        <v>22963.73453875518</v>
      </c>
      <c r="Q637" s="54">
        <v>3.8605715148943784</v>
      </c>
      <c r="R637" s="54">
        <v>36598.225754758889</v>
      </c>
      <c r="S637" s="54">
        <v>6.8176873843664332E-2</v>
      </c>
      <c r="T637" s="54">
        <v>13634.491216003709</v>
      </c>
      <c r="V637" s="69">
        <f t="shared" si="56"/>
        <v>735515.19367138762</v>
      </c>
      <c r="W637" s="69">
        <f t="shared" si="57"/>
        <v>735516.07722411677</v>
      </c>
      <c r="X637" s="69">
        <f t="shared" si="54"/>
        <v>0.88355272915759997</v>
      </c>
      <c r="Z637" s="68">
        <f t="shared" si="58"/>
        <v>0</v>
      </c>
      <c r="AA637" s="68">
        <f t="shared" si="59"/>
        <v>1</v>
      </c>
      <c r="AB637" s="68">
        <f t="shared" si="55"/>
        <v>1</v>
      </c>
    </row>
    <row r="638" spans="1:28" x14ac:dyDescent="0.25">
      <c r="A638">
        <v>633</v>
      </c>
      <c r="C638" s="24">
        <v>2.2572586685393303E-2</v>
      </c>
      <c r="D638" s="24">
        <v>5.8926605086025434E-4</v>
      </c>
      <c r="E638" s="24">
        <v>4.3429183746318144E-15</v>
      </c>
      <c r="F638" s="24">
        <v>3.9316530253685755E-8</v>
      </c>
      <c r="G638" s="24">
        <v>0.65143902030615464</v>
      </c>
      <c r="H638" s="24">
        <v>0.22207271584907717</v>
      </c>
      <c r="I638" s="53">
        <v>2224.3520360808275</v>
      </c>
      <c r="J638" s="53">
        <v>5374.0349140928993</v>
      </c>
      <c r="K638" s="24">
        <v>0.71043269869484282</v>
      </c>
      <c r="L638" s="24">
        <v>0.89141319206839775</v>
      </c>
      <c r="M638" s="24">
        <v>0.82797900275069203</v>
      </c>
      <c r="O638" s="53">
        <v>4.14474375594419</v>
      </c>
      <c r="P638" s="54">
        <v>20994.51099182227</v>
      </c>
      <c r="Q638" s="54">
        <v>4.4052031169119461</v>
      </c>
      <c r="R638" s="54">
        <v>32773.123568106421</v>
      </c>
      <c r="S638" s="54">
        <v>0.26045936096775613</v>
      </c>
      <c r="T638" s="54">
        <v>11778.612576284151</v>
      </c>
      <c r="V638" s="69">
        <f t="shared" si="56"/>
        <v>807954.24019701581</v>
      </c>
      <c r="W638" s="69">
        <f t="shared" si="57"/>
        <v>848267.49981428275</v>
      </c>
      <c r="X638" s="69">
        <f t="shared" si="54"/>
        <v>40313.259617267075</v>
      </c>
      <c r="Z638" s="68">
        <f t="shared" si="58"/>
        <v>0</v>
      </c>
      <c r="AA638" s="68">
        <f t="shared" si="59"/>
        <v>1</v>
      </c>
      <c r="AB638" s="68">
        <f t="shared" si="55"/>
        <v>1</v>
      </c>
    </row>
    <row r="639" spans="1:28" x14ac:dyDescent="0.25">
      <c r="A639">
        <v>634</v>
      </c>
      <c r="C639" s="24">
        <v>7.2431116597641696E-6</v>
      </c>
      <c r="D639" s="24">
        <v>4.8637253380774399E-4</v>
      </c>
      <c r="E639" s="24">
        <v>8.0418460443801316E-21</v>
      </c>
      <c r="F639" s="24">
        <v>6.7510196322118077E-9</v>
      </c>
      <c r="G639" s="24">
        <v>0.58640505880159166</v>
      </c>
      <c r="H639" s="24">
        <v>0.25230104404294995</v>
      </c>
      <c r="I639" s="53">
        <v>2045.1562297059152</v>
      </c>
      <c r="J639" s="53">
        <v>5760.6832550612044</v>
      </c>
      <c r="K639" s="24">
        <v>0.36689313510390964</v>
      </c>
      <c r="L639" s="24">
        <v>0.98503997617153793</v>
      </c>
      <c r="M639" s="24">
        <v>0.66139579180658881</v>
      </c>
      <c r="O639" s="53">
        <v>4.1095271394517416</v>
      </c>
      <c r="P639" s="54">
        <v>12836.086894536362</v>
      </c>
      <c r="Q639" s="54">
        <v>4.7158460011840804</v>
      </c>
      <c r="R639" s="54">
        <v>39344.664294374248</v>
      </c>
      <c r="S639" s="54">
        <v>0.60631886173233873</v>
      </c>
      <c r="T639" s="54">
        <v>26508.577399837886</v>
      </c>
      <c r="V639" s="69">
        <f t="shared" si="56"/>
        <v>809069.34099581197</v>
      </c>
      <c r="W639" s="69">
        <f t="shared" si="57"/>
        <v>903824.53594244178</v>
      </c>
      <c r="X639" s="69">
        <f t="shared" si="54"/>
        <v>94755.194946629854</v>
      </c>
      <c r="Z639" s="68">
        <f t="shared" si="58"/>
        <v>0</v>
      </c>
      <c r="AA639" s="68">
        <f t="shared" si="59"/>
        <v>1</v>
      </c>
      <c r="AB639" s="68">
        <f t="shared" si="55"/>
        <v>1</v>
      </c>
    </row>
    <row r="640" spans="1:28" x14ac:dyDescent="0.25">
      <c r="A640">
        <v>635</v>
      </c>
      <c r="C640" s="24">
        <v>1.3536192306589463E-18</v>
      </c>
      <c r="D640" s="24">
        <v>1.3457189071519715E-2</v>
      </c>
      <c r="E640" s="24">
        <v>9.0349949743995239E-13</v>
      </c>
      <c r="F640" s="24">
        <v>2.6767011533901375E-4</v>
      </c>
      <c r="G640" s="24">
        <v>0.50850437267405124</v>
      </c>
      <c r="H640" s="24">
        <v>0.29150296557042255</v>
      </c>
      <c r="I640" s="53">
        <v>2767.7644228502481</v>
      </c>
      <c r="J640" s="53">
        <v>4340.7219294384231</v>
      </c>
      <c r="K640" s="24">
        <v>0.69399198596861433</v>
      </c>
      <c r="L640" s="24">
        <v>0.83777952464517369</v>
      </c>
      <c r="M640" s="24">
        <v>0.91374439067453062</v>
      </c>
      <c r="O640" s="53">
        <v>4.0451920532510863</v>
      </c>
      <c r="P640" s="54">
        <v>16280.751225011334</v>
      </c>
      <c r="Q640" s="54">
        <v>4.1350317753080725</v>
      </c>
      <c r="R640" s="54">
        <v>47176.267470857405</v>
      </c>
      <c r="S640" s="54">
        <v>8.9839722056986204E-2</v>
      </c>
      <c r="T640" s="54">
        <v>30895.516245846069</v>
      </c>
      <c r="V640" s="69">
        <f t="shared" si="56"/>
        <v>792757.65942520602</v>
      </c>
      <c r="W640" s="69">
        <f t="shared" si="57"/>
        <v>779830.08759075718</v>
      </c>
      <c r="X640" s="69">
        <f t="shared" si="54"/>
        <v>-12927.571834448827</v>
      </c>
      <c r="Z640" s="68">
        <f t="shared" si="58"/>
        <v>1</v>
      </c>
      <c r="AA640" s="68">
        <f t="shared" si="59"/>
        <v>0</v>
      </c>
      <c r="AB640" s="68">
        <f t="shared" si="55"/>
        <v>0</v>
      </c>
    </row>
    <row r="641" spans="1:28" x14ac:dyDescent="0.25">
      <c r="A641">
        <v>636</v>
      </c>
      <c r="C641" s="24">
        <v>8.7165637285012143E-2</v>
      </c>
      <c r="D641" s="24">
        <v>1.1015273686831386E-4</v>
      </c>
      <c r="E641" s="24">
        <v>3.5514147178616895E-11</v>
      </c>
      <c r="F641" s="24">
        <v>1.7030821197749901E-13</v>
      </c>
      <c r="G641" s="24">
        <v>0.46786578623928032</v>
      </c>
      <c r="H641" s="24">
        <v>0.33044910412375139</v>
      </c>
      <c r="I641" s="53">
        <v>1830.503191960928</v>
      </c>
      <c r="J641" s="53">
        <v>4664.6959261765869</v>
      </c>
      <c r="K641" s="24">
        <v>0.72849076838791949</v>
      </c>
      <c r="L641" s="24">
        <v>0.96709957465910901</v>
      </c>
      <c r="M641" s="24">
        <v>0.89409931212607174</v>
      </c>
      <c r="O641" s="53">
        <v>4.580899415255125</v>
      </c>
      <c r="P641" s="54">
        <v>15418.240618825814</v>
      </c>
      <c r="Q641" s="54">
        <v>4.7181451235759573</v>
      </c>
      <c r="R641" s="54">
        <v>50563.111525886743</v>
      </c>
      <c r="S641" s="54">
        <v>0.13724570832083227</v>
      </c>
      <c r="T641" s="54">
        <v>35144.870907060933</v>
      </c>
      <c r="V641" s="69">
        <f t="shared" si="56"/>
        <v>900761.64243219921</v>
      </c>
      <c r="W641" s="69">
        <f t="shared" si="57"/>
        <v>893065.91318930476</v>
      </c>
      <c r="X641" s="69">
        <f t="shared" si="54"/>
        <v>-7695.7292428944784</v>
      </c>
      <c r="Z641" s="68">
        <f t="shared" si="58"/>
        <v>1</v>
      </c>
      <c r="AA641" s="68">
        <f t="shared" si="59"/>
        <v>0</v>
      </c>
      <c r="AB641" s="68">
        <f t="shared" si="55"/>
        <v>0</v>
      </c>
    </row>
    <row r="642" spans="1:28" x14ac:dyDescent="0.25">
      <c r="A642">
        <v>637</v>
      </c>
      <c r="C642" s="24">
        <v>3.0702321610707184E-3</v>
      </c>
      <c r="D642" s="24">
        <v>1.4858530805526068E-4</v>
      </c>
      <c r="E642" s="24">
        <v>1.9805068276566496E-50</v>
      </c>
      <c r="F642" s="24">
        <v>5.2843531772595043E-8</v>
      </c>
      <c r="G642" s="24">
        <v>0.66480151582923674</v>
      </c>
      <c r="H642" s="24">
        <v>0.17282332023353963</v>
      </c>
      <c r="I642" s="53">
        <v>1633.2494220982346</v>
      </c>
      <c r="J642" s="53">
        <v>6115.5751920482144</v>
      </c>
      <c r="K642" s="24">
        <v>0.84950837951777536</v>
      </c>
      <c r="L642" s="24">
        <v>0.7324945499113874</v>
      </c>
      <c r="M642" s="24">
        <v>0.69614043966892414</v>
      </c>
      <c r="O642" s="53">
        <v>3.8633207286122198</v>
      </c>
      <c r="P642" s="54">
        <v>20807.728247323419</v>
      </c>
      <c r="Q642" s="54">
        <v>3.6868853517756635</v>
      </c>
      <c r="R642" s="54">
        <v>28155.242714297456</v>
      </c>
      <c r="S642" s="54">
        <v>-0.1764353768365563</v>
      </c>
      <c r="T642" s="54">
        <v>7347.5144669740366</v>
      </c>
      <c r="V642" s="69">
        <f t="shared" si="56"/>
        <v>751856.41747512051</v>
      </c>
      <c r="W642" s="69">
        <f t="shared" si="57"/>
        <v>709221.8276408352</v>
      </c>
      <c r="X642" s="69">
        <f t="shared" si="54"/>
        <v>-42634.589834285303</v>
      </c>
      <c r="Z642" s="68">
        <f t="shared" si="58"/>
        <v>1</v>
      </c>
      <c r="AA642" s="68">
        <f t="shared" si="59"/>
        <v>0</v>
      </c>
      <c r="AB642" s="68">
        <f t="shared" si="55"/>
        <v>0</v>
      </c>
    </row>
    <row r="643" spans="1:28" x14ac:dyDescent="0.25">
      <c r="A643">
        <v>638</v>
      </c>
      <c r="C643" s="24">
        <v>3.2649037650478441E-3</v>
      </c>
      <c r="D643" s="24">
        <v>4.0027856774495045E-4</v>
      </c>
      <c r="E643" s="24">
        <v>1.290434425982312E-11</v>
      </c>
      <c r="F643" s="24">
        <v>1.1597240743399517E-5</v>
      </c>
      <c r="G643" s="24">
        <v>0.5975883232547089</v>
      </c>
      <c r="H643" s="24">
        <v>0.21008056511627726</v>
      </c>
      <c r="I643" s="53">
        <v>1829.2853326397537</v>
      </c>
      <c r="J643" s="53">
        <v>5916.2369469547002</v>
      </c>
      <c r="K643" s="24">
        <v>0.58687228028101901</v>
      </c>
      <c r="L643" s="24">
        <v>0.85924521560641598</v>
      </c>
      <c r="M643" s="24">
        <v>0.70157172804659895</v>
      </c>
      <c r="O643" s="53">
        <v>3.9179313982612634</v>
      </c>
      <c r="P643" s="54">
        <v>12416.602861523499</v>
      </c>
      <c r="Q643" s="54">
        <v>4.223379649564639</v>
      </c>
      <c r="R643" s="54">
        <v>27751.839841269943</v>
      </c>
      <c r="S643" s="54">
        <v>0.30544825130337561</v>
      </c>
      <c r="T643" s="54">
        <v>15335.236979746443</v>
      </c>
      <c r="V643" s="69">
        <f t="shared" si="56"/>
        <v>771169.67679072917</v>
      </c>
      <c r="W643" s="69">
        <f t="shared" si="57"/>
        <v>816924.09007165791</v>
      </c>
      <c r="X643" s="69">
        <f t="shared" si="54"/>
        <v>45754.413280928682</v>
      </c>
      <c r="Z643" s="68">
        <f t="shared" si="58"/>
        <v>0</v>
      </c>
      <c r="AA643" s="68">
        <f t="shared" si="59"/>
        <v>1</v>
      </c>
      <c r="AB643" s="68">
        <f t="shared" si="55"/>
        <v>1</v>
      </c>
    </row>
    <row r="644" spans="1:28" x14ac:dyDescent="0.25">
      <c r="A644">
        <v>639</v>
      </c>
      <c r="C644" s="24">
        <v>1.251612586311711E-6</v>
      </c>
      <c r="D644" s="24">
        <v>1.302052294242495E-2</v>
      </c>
      <c r="E644" s="24">
        <v>2.1017161333370844E-41</v>
      </c>
      <c r="F644" s="24">
        <v>9.2956644812765905E-42</v>
      </c>
      <c r="G644" s="24">
        <v>0.59386571278378153</v>
      </c>
      <c r="H644" s="24">
        <v>0.24267456045763791</v>
      </c>
      <c r="I644" s="53">
        <v>1987.3258812341571</v>
      </c>
      <c r="J644" s="53">
        <v>6014.1678257247058</v>
      </c>
      <c r="K644" s="24">
        <v>0.58245255794907391</v>
      </c>
      <c r="L644" s="24">
        <v>0.9780773755528448</v>
      </c>
      <c r="M644" s="24">
        <v>0.68204360656085017</v>
      </c>
      <c r="O644" s="53">
        <v>4.3546162355285158</v>
      </c>
      <c r="P644" s="54">
        <v>16910.03437717686</v>
      </c>
      <c r="Q644" s="54">
        <v>4.7399023501743329</v>
      </c>
      <c r="R644" s="54">
        <v>33171.378716118605</v>
      </c>
      <c r="S644" s="54">
        <v>0.38528611464581708</v>
      </c>
      <c r="T644" s="54">
        <v>16261.344338941744</v>
      </c>
      <c r="V644" s="69">
        <f t="shared" si="56"/>
        <v>854013.21272852633</v>
      </c>
      <c r="W644" s="69">
        <f t="shared" si="57"/>
        <v>914809.09131874796</v>
      </c>
      <c r="X644" s="69">
        <f t="shared" si="54"/>
        <v>60795.87859022167</v>
      </c>
      <c r="Z644" s="68">
        <f t="shared" si="58"/>
        <v>0</v>
      </c>
      <c r="AA644" s="68">
        <f t="shared" si="59"/>
        <v>1</v>
      </c>
      <c r="AB644" s="68">
        <f t="shared" si="55"/>
        <v>1</v>
      </c>
    </row>
    <row r="645" spans="1:28" x14ac:dyDescent="0.25">
      <c r="A645">
        <v>640</v>
      </c>
      <c r="C645" s="24">
        <v>9.4649333017093697E-9</v>
      </c>
      <c r="D645" s="24">
        <v>6.671680830170753E-4</v>
      </c>
      <c r="E645" s="24">
        <v>9.0805141184091553E-13</v>
      </c>
      <c r="F645" s="24">
        <v>2.8202385587715921E-19</v>
      </c>
      <c r="G645" s="24">
        <v>0.61106469112251305</v>
      </c>
      <c r="H645" s="24">
        <v>0.25993054757051914</v>
      </c>
      <c r="I645" s="53">
        <v>1788.7857671737668</v>
      </c>
      <c r="J645" s="53">
        <v>5984.1474070372224</v>
      </c>
      <c r="K645" s="24">
        <v>0.61515678921473582</v>
      </c>
      <c r="L645" s="24">
        <v>0.71894060860827769</v>
      </c>
      <c r="M645" s="24">
        <v>0.86587147113405505</v>
      </c>
      <c r="O645" s="53">
        <v>3.4455383887746076</v>
      </c>
      <c r="P645" s="54">
        <v>18436.720255795186</v>
      </c>
      <c r="Q645" s="54">
        <v>3.5589106903939398</v>
      </c>
      <c r="R645" s="54">
        <v>27347.569653874478</v>
      </c>
      <c r="S645" s="54">
        <v>0.11337230161933221</v>
      </c>
      <c r="T645" s="54">
        <v>8910.8493980792919</v>
      </c>
      <c r="V645" s="69">
        <f t="shared" si="56"/>
        <v>670670.95749912632</v>
      </c>
      <c r="W645" s="69">
        <f t="shared" si="57"/>
        <v>684434.56842491345</v>
      </c>
      <c r="X645" s="69">
        <f t="shared" si="54"/>
        <v>13763.61092578715</v>
      </c>
      <c r="Z645" s="68">
        <f t="shared" si="58"/>
        <v>0</v>
      </c>
      <c r="AA645" s="68">
        <f t="shared" si="59"/>
        <v>1</v>
      </c>
      <c r="AB645" s="68">
        <f t="shared" si="55"/>
        <v>1</v>
      </c>
    </row>
    <row r="646" spans="1:28" x14ac:dyDescent="0.25">
      <c r="A646">
        <v>641</v>
      </c>
      <c r="C646" s="24">
        <v>6.9969062020613926E-5</v>
      </c>
      <c r="D646" s="24">
        <v>1.8230634363105569E-3</v>
      </c>
      <c r="E646" s="24">
        <v>6.6710423229836934E-29</v>
      </c>
      <c r="F646" s="24">
        <v>4.8809979344581084E-20</v>
      </c>
      <c r="G646" s="24">
        <v>0.65919015390048297</v>
      </c>
      <c r="H646" s="24">
        <v>0.29745980492971424</v>
      </c>
      <c r="I646" s="53">
        <v>1806.0640047077611</v>
      </c>
      <c r="J646" s="53">
        <v>3090.6256109834108</v>
      </c>
      <c r="K646" s="24">
        <v>0.43994973699875151</v>
      </c>
      <c r="L646" s="24">
        <v>0.96824127234347379</v>
      </c>
      <c r="M646" s="24">
        <v>0.79564063237546734</v>
      </c>
      <c r="O646" s="53">
        <v>3.946456334785962</v>
      </c>
      <c r="P646" s="54">
        <v>18205.123873852161</v>
      </c>
      <c r="Q646" s="54">
        <v>4.6159951638292096</v>
      </c>
      <c r="R646" s="54">
        <v>50565.773061233798</v>
      </c>
      <c r="S646" s="54">
        <v>0.66953882904324757</v>
      </c>
      <c r="T646" s="54">
        <v>32360.649187381638</v>
      </c>
      <c r="V646" s="69">
        <f t="shared" si="56"/>
        <v>771086.14308334026</v>
      </c>
      <c r="W646" s="69">
        <f t="shared" si="57"/>
        <v>872633.25970460812</v>
      </c>
      <c r="X646" s="69">
        <f t="shared" si="54"/>
        <v>101547.11662126787</v>
      </c>
      <c r="Z646" s="68">
        <f t="shared" si="58"/>
        <v>0</v>
      </c>
      <c r="AA646" s="68">
        <f t="shared" si="59"/>
        <v>1</v>
      </c>
      <c r="AB646" s="68">
        <f t="shared" si="55"/>
        <v>1</v>
      </c>
    </row>
    <row r="647" spans="1:28" x14ac:dyDescent="0.25">
      <c r="A647">
        <v>642</v>
      </c>
      <c r="C647" s="24">
        <v>5.381105130142608E-6</v>
      </c>
      <c r="D647" s="24">
        <v>9.4914028232424873E-4</v>
      </c>
      <c r="E647" s="24">
        <v>3.4741205807529851E-15</v>
      </c>
      <c r="F647" s="24">
        <v>7.3742178377522727E-5</v>
      </c>
      <c r="G647" s="24">
        <v>0.64482050559548898</v>
      </c>
      <c r="H647" s="24">
        <v>0.34620327725992406</v>
      </c>
      <c r="I647" s="53">
        <v>1723.4024449380395</v>
      </c>
      <c r="J647" s="53">
        <v>5267.7047170588585</v>
      </c>
      <c r="K647" s="24">
        <v>0.65109987133563318</v>
      </c>
      <c r="L647" s="24">
        <v>0.75700602677900308</v>
      </c>
      <c r="M647" s="24">
        <v>0.65977302704686203</v>
      </c>
      <c r="O647" s="53">
        <v>3.6141890194735464</v>
      </c>
      <c r="P647" s="54">
        <v>18546.29307248714</v>
      </c>
      <c r="Q647" s="54">
        <v>3.7282154969826498</v>
      </c>
      <c r="R647" s="54">
        <v>56430.739552919709</v>
      </c>
      <c r="S647" s="54">
        <v>0.11402647750910333</v>
      </c>
      <c r="T647" s="54">
        <v>37884.446480432569</v>
      </c>
      <c r="V647" s="69">
        <f t="shared" si="56"/>
        <v>704291.51082222222</v>
      </c>
      <c r="W647" s="69">
        <f t="shared" si="57"/>
        <v>689212.3598436102</v>
      </c>
      <c r="X647" s="69">
        <f t="shared" ref="X647:X710" si="60">S647*cRatio-T647</f>
        <v>-15079.150978611902</v>
      </c>
      <c r="Z647" s="68">
        <f t="shared" si="58"/>
        <v>1</v>
      </c>
      <c r="AA647" s="68">
        <f t="shared" si="59"/>
        <v>0</v>
      </c>
      <c r="AB647" s="68">
        <f t="shared" ref="AB647:AB710" si="61">IF(X647&gt;0,1,0)</f>
        <v>0</v>
      </c>
    </row>
    <row r="648" spans="1:28" x14ac:dyDescent="0.25">
      <c r="A648">
        <v>643</v>
      </c>
      <c r="C648" s="24">
        <v>3.7572022546338291E-3</v>
      </c>
      <c r="D648" s="24">
        <v>5.2373787128433547E-3</v>
      </c>
      <c r="E648" s="24">
        <v>9.8100954137869678E-8</v>
      </c>
      <c r="F648" s="24">
        <v>5.7991911335697516E-30</v>
      </c>
      <c r="G648" s="24">
        <v>0.5615251506563268</v>
      </c>
      <c r="H648" s="24">
        <v>0.33369266632741557</v>
      </c>
      <c r="I648" s="53">
        <v>2046.9853249913403</v>
      </c>
      <c r="J648" s="53">
        <v>5132.366416288517</v>
      </c>
      <c r="K648" s="24">
        <v>0.7160354309629845</v>
      </c>
      <c r="L648" s="24">
        <v>0.76895557681919258</v>
      </c>
      <c r="M648" s="24">
        <v>0.66251107660179376</v>
      </c>
      <c r="O648" s="53">
        <v>3.7773318036700227</v>
      </c>
      <c r="P648" s="54">
        <v>12249.466465571146</v>
      </c>
      <c r="Q648" s="54">
        <v>3.8146185118758242</v>
      </c>
      <c r="R648" s="54">
        <v>51705.713240593694</v>
      </c>
      <c r="S648" s="54">
        <v>3.7286708205801489E-2</v>
      </c>
      <c r="T648" s="54">
        <v>39456.246775022548</v>
      </c>
      <c r="V648" s="69">
        <f t="shared" si="56"/>
        <v>743216.89426843333</v>
      </c>
      <c r="W648" s="69">
        <f t="shared" si="57"/>
        <v>711217.98913457117</v>
      </c>
      <c r="X648" s="69">
        <f t="shared" si="60"/>
        <v>-31998.905133862252</v>
      </c>
      <c r="Z648" s="68">
        <f t="shared" si="58"/>
        <v>1</v>
      </c>
      <c r="AA648" s="68">
        <f t="shared" si="59"/>
        <v>0</v>
      </c>
      <c r="AB648" s="68">
        <f t="shared" si="61"/>
        <v>0</v>
      </c>
    </row>
    <row r="649" spans="1:28" x14ac:dyDescent="0.25">
      <c r="A649">
        <v>644</v>
      </c>
      <c r="C649" s="24">
        <v>4.9215762700734023E-7</v>
      </c>
      <c r="D649" s="24">
        <v>2.9587207106748174E-4</v>
      </c>
      <c r="E649" s="24">
        <v>4.5718465958555901E-22</v>
      </c>
      <c r="F649" s="24">
        <v>1.5865087021893487E-13</v>
      </c>
      <c r="G649" s="24">
        <v>0.66671995450560217</v>
      </c>
      <c r="H649" s="24">
        <v>0.28299052600622177</v>
      </c>
      <c r="I649" s="53">
        <v>1737.3856728301071</v>
      </c>
      <c r="J649" s="53">
        <v>4488.4624875032105</v>
      </c>
      <c r="K649" s="24">
        <v>0.75856699372857872</v>
      </c>
      <c r="L649" s="24">
        <v>0.98840868278054506</v>
      </c>
      <c r="M649" s="24">
        <v>0.94281739662152897</v>
      </c>
      <c r="O649" s="53">
        <v>4.5428227261926732</v>
      </c>
      <c r="P649" s="54">
        <v>20843.665940973791</v>
      </c>
      <c r="Q649" s="54">
        <v>4.8514070888782843</v>
      </c>
      <c r="R649" s="54">
        <v>36743.788912035961</v>
      </c>
      <c r="S649" s="54">
        <v>0.30858436268561107</v>
      </c>
      <c r="T649" s="54">
        <v>15900.12297106217</v>
      </c>
      <c r="V649" s="69">
        <f t="shared" si="56"/>
        <v>887720.8792975609</v>
      </c>
      <c r="W649" s="69">
        <f t="shared" si="57"/>
        <v>933537.62886362092</v>
      </c>
      <c r="X649" s="69">
        <f t="shared" si="60"/>
        <v>45816.749566060047</v>
      </c>
      <c r="Z649" s="68">
        <f t="shared" si="58"/>
        <v>0</v>
      </c>
      <c r="AA649" s="68">
        <f t="shared" si="59"/>
        <v>1</v>
      </c>
      <c r="AB649" s="68">
        <f t="shared" si="61"/>
        <v>1</v>
      </c>
    </row>
    <row r="650" spans="1:28" x14ac:dyDescent="0.25">
      <c r="A650">
        <v>645</v>
      </c>
      <c r="C650" s="24">
        <v>3.835679274546761E-7</v>
      </c>
      <c r="D650" s="24">
        <v>8.1787677240949819E-3</v>
      </c>
      <c r="E650" s="24">
        <v>6.0925612607426704E-26</v>
      </c>
      <c r="F650" s="24">
        <v>5.8779647815754288E-12</v>
      </c>
      <c r="G650" s="24">
        <v>0.6597684982823766</v>
      </c>
      <c r="H650" s="24">
        <v>0.35164310385028874</v>
      </c>
      <c r="I650" s="53">
        <v>2298.4096763379525</v>
      </c>
      <c r="J650" s="53">
        <v>5055.8891690579339</v>
      </c>
      <c r="K650" s="24">
        <v>0.65359405563553308</v>
      </c>
      <c r="L650" s="24">
        <v>0.82215759136855149</v>
      </c>
      <c r="M650" s="24">
        <v>0.83494513902237755</v>
      </c>
      <c r="O650" s="53">
        <v>3.8247775549240894</v>
      </c>
      <c r="P650" s="54">
        <v>17814.82739762148</v>
      </c>
      <c r="Q650" s="54">
        <v>4.0205768460362981</v>
      </c>
      <c r="R650" s="54">
        <v>45004.562431870407</v>
      </c>
      <c r="S650" s="54">
        <v>0.19579929111220862</v>
      </c>
      <c r="T650" s="54">
        <v>27189.735034248926</v>
      </c>
      <c r="V650" s="69">
        <f t="shared" ref="V650:V713" si="62">O650*cRatio-P650</f>
        <v>747140.6835871964</v>
      </c>
      <c r="W650" s="69">
        <f t="shared" ref="W650:W713" si="63">Q650*cRatio-R650</f>
        <v>759110.80677538924</v>
      </c>
      <c r="X650" s="69">
        <f t="shared" si="60"/>
        <v>11970.1231881928</v>
      </c>
      <c r="Z650" s="68">
        <f t="shared" ref="Z650:Z713" si="64">IF(MAX(V650:W650)=V650,1,0)</f>
        <v>0</v>
      </c>
      <c r="AA650" s="68">
        <f t="shared" ref="AA650:AA713" si="65">IF(MAX(V650:W650)=W650,1,0)</f>
        <v>1</v>
      </c>
      <c r="AB650" s="68">
        <f t="shared" si="61"/>
        <v>1</v>
      </c>
    </row>
    <row r="651" spans="1:28" x14ac:dyDescent="0.25">
      <c r="A651">
        <v>646</v>
      </c>
      <c r="C651" s="24">
        <v>1.2734664458520981E-7</v>
      </c>
      <c r="D651" s="24">
        <v>3.8382576970964477E-3</v>
      </c>
      <c r="E651" s="24">
        <v>3.251400298286411E-4</v>
      </c>
      <c r="F651" s="24">
        <v>1.6787547318204808E-24</v>
      </c>
      <c r="G651" s="24">
        <v>0.62466964804528624</v>
      </c>
      <c r="H651" s="24">
        <v>0.17311382090358596</v>
      </c>
      <c r="I651" s="53">
        <v>1851.3995288942624</v>
      </c>
      <c r="J651" s="53">
        <v>5114.7198627131511</v>
      </c>
      <c r="K651" s="24">
        <v>0.57849887035502612</v>
      </c>
      <c r="L651" s="24">
        <v>0.91299661126621912</v>
      </c>
      <c r="M651" s="24">
        <v>0.79430301280687254</v>
      </c>
      <c r="O651" s="53">
        <v>4.0584603086510374</v>
      </c>
      <c r="P651" s="54">
        <v>16274.258710304011</v>
      </c>
      <c r="Q651" s="54">
        <v>4.4923252943620939</v>
      </c>
      <c r="R651" s="54">
        <v>21860.062319810037</v>
      </c>
      <c r="S651" s="54">
        <v>0.43386498571105658</v>
      </c>
      <c r="T651" s="54">
        <v>5585.8036095060252</v>
      </c>
      <c r="V651" s="69">
        <f t="shared" si="62"/>
        <v>795417.80301990348</v>
      </c>
      <c r="W651" s="69">
        <f t="shared" si="63"/>
        <v>876604.99655260879</v>
      </c>
      <c r="X651" s="69">
        <f t="shared" si="60"/>
        <v>81187.193532705292</v>
      </c>
      <c r="Z651" s="68">
        <f t="shared" si="64"/>
        <v>0</v>
      </c>
      <c r="AA651" s="68">
        <f t="shared" si="65"/>
        <v>1</v>
      </c>
      <c r="AB651" s="68">
        <f t="shared" si="61"/>
        <v>1</v>
      </c>
    </row>
    <row r="652" spans="1:28" x14ac:dyDescent="0.25">
      <c r="A652">
        <v>647</v>
      </c>
      <c r="C652" s="24">
        <v>5.3694098426017311E-6</v>
      </c>
      <c r="D652" s="24">
        <v>6.577709891345207E-3</v>
      </c>
      <c r="E652" s="24">
        <v>6.9044101103088451E-8</v>
      </c>
      <c r="F652" s="24">
        <v>8.6694044737911646E-4</v>
      </c>
      <c r="G652" s="24">
        <v>0.62419417873681837</v>
      </c>
      <c r="H652" s="24">
        <v>0.24946841959365684</v>
      </c>
      <c r="I652" s="53">
        <v>2017.0595230754075</v>
      </c>
      <c r="J652" s="53">
        <v>4272.5952257387971</v>
      </c>
      <c r="K652" s="24">
        <v>0.53091195081687137</v>
      </c>
      <c r="L652" s="24">
        <v>0.81303869275690721</v>
      </c>
      <c r="M652" s="24">
        <v>0.92186314630538679</v>
      </c>
      <c r="O652" s="53">
        <v>3.6410019837850416</v>
      </c>
      <c r="P652" s="54">
        <v>19404.761659261501</v>
      </c>
      <c r="Q652" s="54">
        <v>3.9715764178189401</v>
      </c>
      <c r="R652" s="54">
        <v>37490.618315183849</v>
      </c>
      <c r="S652" s="54">
        <v>0.33057443403389852</v>
      </c>
      <c r="T652" s="54">
        <v>18085.856655922347</v>
      </c>
      <c r="V652" s="69">
        <f t="shared" si="62"/>
        <v>708795.63509774674</v>
      </c>
      <c r="W652" s="69">
        <f t="shared" si="63"/>
        <v>756824.66524860426</v>
      </c>
      <c r="X652" s="69">
        <f t="shared" si="60"/>
        <v>48029.030150857354</v>
      </c>
      <c r="Z652" s="68">
        <f t="shared" si="64"/>
        <v>0</v>
      </c>
      <c r="AA652" s="68">
        <f t="shared" si="65"/>
        <v>1</v>
      </c>
      <c r="AB652" s="68">
        <f t="shared" si="61"/>
        <v>1</v>
      </c>
    </row>
    <row r="653" spans="1:28" x14ac:dyDescent="0.25">
      <c r="A653">
        <v>648</v>
      </c>
      <c r="C653" s="24">
        <v>5.59347287892209E-3</v>
      </c>
      <c r="D653" s="24">
        <v>4.6344329039464949E-3</v>
      </c>
      <c r="E653" s="24">
        <v>1.8597643425266597E-9</v>
      </c>
      <c r="F653" s="24">
        <v>1.1847932728857483E-39</v>
      </c>
      <c r="G653" s="24">
        <v>0.57785535540710486</v>
      </c>
      <c r="H653" s="24">
        <v>0.21455612586319561</v>
      </c>
      <c r="I653" s="53">
        <v>1492.0454977734603</v>
      </c>
      <c r="J653" s="53">
        <v>5108.1683426240215</v>
      </c>
      <c r="K653" s="24">
        <v>0.68391445293361008</v>
      </c>
      <c r="L653" s="24">
        <v>0.89759987096571714</v>
      </c>
      <c r="M653" s="24">
        <v>0.80198106673460556</v>
      </c>
      <c r="O653" s="53">
        <v>4.2096288492228373</v>
      </c>
      <c r="P653" s="54">
        <v>15119.416415738133</v>
      </c>
      <c r="Q653" s="54">
        <v>4.4269875236917615</v>
      </c>
      <c r="R653" s="54">
        <v>33285.672898095683</v>
      </c>
      <c r="S653" s="54">
        <v>0.21735867446892421</v>
      </c>
      <c r="T653" s="54">
        <v>18166.256482357552</v>
      </c>
      <c r="V653" s="69">
        <f t="shared" si="62"/>
        <v>826806.35342882934</v>
      </c>
      <c r="W653" s="69">
        <f t="shared" si="63"/>
        <v>852111.83184025658</v>
      </c>
      <c r="X653" s="69">
        <f t="shared" si="60"/>
        <v>25305.478411427292</v>
      </c>
      <c r="Z653" s="68">
        <f t="shared" si="64"/>
        <v>0</v>
      </c>
      <c r="AA653" s="68">
        <f t="shared" si="65"/>
        <v>1</v>
      </c>
      <c r="AB653" s="68">
        <f t="shared" si="61"/>
        <v>1</v>
      </c>
    </row>
    <row r="654" spans="1:28" x14ac:dyDescent="0.25">
      <c r="A654">
        <v>649</v>
      </c>
      <c r="C654" s="24">
        <v>2.2704578965658254E-5</v>
      </c>
      <c r="D654" s="24">
        <v>1.5058212591804843E-2</v>
      </c>
      <c r="E654" s="24">
        <v>9.1473209895553964E-7</v>
      </c>
      <c r="F654" s="24">
        <v>2.8134161667026092E-12</v>
      </c>
      <c r="G654" s="24">
        <v>0.64393910277608679</v>
      </c>
      <c r="H654" s="24">
        <v>0.28699607341730426</v>
      </c>
      <c r="I654" s="53">
        <v>2171.2845883367227</v>
      </c>
      <c r="J654" s="53">
        <v>5526.3172719519189</v>
      </c>
      <c r="K654" s="24">
        <v>0.55253233522525114</v>
      </c>
      <c r="L654" s="24">
        <v>0.70260888785063036</v>
      </c>
      <c r="M654" s="24">
        <v>0.82645592627401143</v>
      </c>
      <c r="O654" s="53">
        <v>3.2717012959627416</v>
      </c>
      <c r="P654" s="54">
        <v>22175.347057227213</v>
      </c>
      <c r="Q654" s="54">
        <v>3.4647808318390356</v>
      </c>
      <c r="R654" s="54">
        <v>51115.096348108942</v>
      </c>
      <c r="S654" s="54">
        <v>0.19307953587629401</v>
      </c>
      <c r="T654" s="54">
        <v>28939.749290881729</v>
      </c>
      <c r="V654" s="69">
        <f t="shared" si="62"/>
        <v>632164.91213532118</v>
      </c>
      <c r="W654" s="69">
        <f t="shared" si="63"/>
        <v>641841.07001969812</v>
      </c>
      <c r="X654" s="69">
        <f t="shared" si="60"/>
        <v>9676.1578843770694</v>
      </c>
      <c r="Z654" s="68">
        <f t="shared" si="64"/>
        <v>0</v>
      </c>
      <c r="AA654" s="68">
        <f t="shared" si="65"/>
        <v>1</v>
      </c>
      <c r="AB654" s="68">
        <f t="shared" si="61"/>
        <v>1</v>
      </c>
    </row>
    <row r="655" spans="1:28" x14ac:dyDescent="0.25">
      <c r="A655">
        <v>650</v>
      </c>
      <c r="C655" s="24">
        <v>7.1764908656563997E-6</v>
      </c>
      <c r="D655" s="24">
        <v>4.5641516792382117E-4</v>
      </c>
      <c r="E655" s="24">
        <v>6.0484538415179096E-48</v>
      </c>
      <c r="F655" s="24">
        <v>1.0415297180266236E-8</v>
      </c>
      <c r="G655" s="24">
        <v>0.5731072718841187</v>
      </c>
      <c r="H655" s="24">
        <v>0.29011828252848038</v>
      </c>
      <c r="I655" s="53">
        <v>1737.5609168705253</v>
      </c>
      <c r="J655" s="53">
        <v>6034.036486219552</v>
      </c>
      <c r="K655" s="24">
        <v>0.59219583690134447</v>
      </c>
      <c r="L655" s="24">
        <v>0.83237496606438011</v>
      </c>
      <c r="M655" s="24">
        <v>0.78999266111577915</v>
      </c>
      <c r="O655" s="53">
        <v>3.8593652796765103</v>
      </c>
      <c r="P655" s="54">
        <v>15043.553178102075</v>
      </c>
      <c r="Q655" s="54">
        <v>4.0637936842275142</v>
      </c>
      <c r="R655" s="54">
        <v>39032.99941011901</v>
      </c>
      <c r="S655" s="54">
        <v>0.20442840455100386</v>
      </c>
      <c r="T655" s="54">
        <v>23989.446232016933</v>
      </c>
      <c r="V655" s="69">
        <f t="shared" si="62"/>
        <v>756829.50275719992</v>
      </c>
      <c r="W655" s="69">
        <f t="shared" si="63"/>
        <v>773725.73743538384</v>
      </c>
      <c r="X655" s="69">
        <f t="shared" si="60"/>
        <v>16896.234678183842</v>
      </c>
      <c r="Z655" s="68">
        <f t="shared" si="64"/>
        <v>0</v>
      </c>
      <c r="AA655" s="68">
        <f t="shared" si="65"/>
        <v>1</v>
      </c>
      <c r="AB655" s="68">
        <f t="shared" si="61"/>
        <v>1</v>
      </c>
    </row>
    <row r="656" spans="1:28" x14ac:dyDescent="0.25">
      <c r="A656">
        <v>651</v>
      </c>
      <c r="C656" s="24">
        <v>1.6909396866424435E-9</v>
      </c>
      <c r="D656" s="24">
        <v>4.96757781973034E-3</v>
      </c>
      <c r="E656" s="24">
        <v>9.7056729651878726E-5</v>
      </c>
      <c r="F656" s="24">
        <v>1.56035184772918E-11</v>
      </c>
      <c r="G656" s="24">
        <v>0.57266655947873191</v>
      </c>
      <c r="H656" s="24">
        <v>0.34752138671207322</v>
      </c>
      <c r="I656" s="53">
        <v>2210.6146906210083</v>
      </c>
      <c r="J656" s="53">
        <v>4712.9127130695006</v>
      </c>
      <c r="K656" s="24">
        <v>0.4474693398992533</v>
      </c>
      <c r="L656" s="24">
        <v>0.91631455701416642</v>
      </c>
      <c r="M656" s="24">
        <v>0.7728814261146143</v>
      </c>
      <c r="O656" s="53">
        <v>3.991194389256385</v>
      </c>
      <c r="P656" s="54">
        <v>17541.665381155934</v>
      </c>
      <c r="Q656" s="54">
        <v>4.3282420931020953</v>
      </c>
      <c r="R656" s="54">
        <v>52515.277353664816</v>
      </c>
      <c r="S656" s="54">
        <v>0.33704770384571026</v>
      </c>
      <c r="T656" s="54">
        <v>34973.611972508879</v>
      </c>
      <c r="V656" s="69">
        <f t="shared" si="62"/>
        <v>780697.2124701211</v>
      </c>
      <c r="W656" s="69">
        <f t="shared" si="63"/>
        <v>813133.14126675425</v>
      </c>
      <c r="X656" s="69">
        <f t="shared" si="60"/>
        <v>32435.928796633176</v>
      </c>
      <c r="Z656" s="68">
        <f t="shared" si="64"/>
        <v>0</v>
      </c>
      <c r="AA656" s="68">
        <f t="shared" si="65"/>
        <v>1</v>
      </c>
      <c r="AB656" s="68">
        <f t="shared" si="61"/>
        <v>1</v>
      </c>
    </row>
    <row r="657" spans="1:28" x14ac:dyDescent="0.25">
      <c r="A657">
        <v>652</v>
      </c>
      <c r="C657" s="24">
        <v>3.3575382883924783E-8</v>
      </c>
      <c r="D657" s="24">
        <v>5.9875895984584648E-3</v>
      </c>
      <c r="E657" s="24">
        <v>3.3621556522089868E-5</v>
      </c>
      <c r="F657" s="24">
        <v>1.4708234630234074E-12</v>
      </c>
      <c r="G657" s="24">
        <v>0.61599982836210487</v>
      </c>
      <c r="H657" s="24">
        <v>0.23405869092743437</v>
      </c>
      <c r="I657" s="53">
        <v>1907.2371137781311</v>
      </c>
      <c r="J657" s="53">
        <v>4893.0834255142363</v>
      </c>
      <c r="K657" s="24">
        <v>0.6540237359806933</v>
      </c>
      <c r="L657" s="24">
        <v>0.74041089708430474</v>
      </c>
      <c r="M657" s="24">
        <v>0.93981553075404722</v>
      </c>
      <c r="O657" s="53">
        <v>3.5755372755309089</v>
      </c>
      <c r="P657" s="54">
        <v>17319.496939532946</v>
      </c>
      <c r="Q657" s="54">
        <v>3.6829925911311174</v>
      </c>
      <c r="R657" s="54">
        <v>32246.62791325467</v>
      </c>
      <c r="S657" s="54">
        <v>0.10745531560020849</v>
      </c>
      <c r="T657" s="54">
        <v>14927.130973721723</v>
      </c>
      <c r="V657" s="69">
        <f t="shared" si="62"/>
        <v>697787.95816664887</v>
      </c>
      <c r="W657" s="69">
        <f t="shared" si="63"/>
        <v>704351.89031296887</v>
      </c>
      <c r="X657" s="69">
        <f t="shared" si="60"/>
        <v>6563.932146319974</v>
      </c>
      <c r="Z657" s="68">
        <f t="shared" si="64"/>
        <v>0</v>
      </c>
      <c r="AA657" s="68">
        <f t="shared" si="65"/>
        <v>1</v>
      </c>
      <c r="AB657" s="68">
        <f t="shared" si="61"/>
        <v>1</v>
      </c>
    </row>
    <row r="658" spans="1:28" x14ac:dyDescent="0.25">
      <c r="A658">
        <v>653</v>
      </c>
      <c r="C658" s="24">
        <v>1.2367417985341023E-5</v>
      </c>
      <c r="D658" s="24">
        <v>6.9724270116441334E-3</v>
      </c>
      <c r="E658" s="24">
        <v>1.4315786186387409E-16</v>
      </c>
      <c r="F658" s="24">
        <v>2.4742326149325723E-49</v>
      </c>
      <c r="G658" s="24">
        <v>0.63812779450851886</v>
      </c>
      <c r="H658" s="24">
        <v>0.30015215872569989</v>
      </c>
      <c r="I658" s="53">
        <v>1966.3858080911691</v>
      </c>
      <c r="J658" s="53">
        <v>4782.476812033904</v>
      </c>
      <c r="K658" s="24">
        <v>0.64830677499093581</v>
      </c>
      <c r="L658" s="24">
        <v>0.86555383449501655</v>
      </c>
      <c r="M658" s="24">
        <v>0.9460576068371368</v>
      </c>
      <c r="O658" s="53">
        <v>3.9852200673803417</v>
      </c>
      <c r="P658" s="54">
        <v>19396.353385472197</v>
      </c>
      <c r="Q658" s="54">
        <v>4.2384898620060829</v>
      </c>
      <c r="R658" s="54">
        <v>42903.605518256969</v>
      </c>
      <c r="S658" s="54">
        <v>0.25326979462574117</v>
      </c>
      <c r="T658" s="54">
        <v>23507.252132784772</v>
      </c>
      <c r="V658" s="69">
        <f t="shared" si="62"/>
        <v>777647.66009059618</v>
      </c>
      <c r="W658" s="69">
        <f t="shared" si="63"/>
        <v>804794.36688295961</v>
      </c>
      <c r="X658" s="69">
        <f t="shared" si="60"/>
        <v>27146.70679236346</v>
      </c>
      <c r="Z658" s="68">
        <f t="shared" si="64"/>
        <v>0</v>
      </c>
      <c r="AA658" s="68">
        <f t="shared" si="65"/>
        <v>1</v>
      </c>
      <c r="AB658" s="68">
        <f t="shared" si="61"/>
        <v>1</v>
      </c>
    </row>
    <row r="659" spans="1:28" x14ac:dyDescent="0.25">
      <c r="A659">
        <v>654</v>
      </c>
      <c r="C659" s="24">
        <v>3.8350441174131998E-13</v>
      </c>
      <c r="D659" s="24">
        <v>3.7800980858856414E-3</v>
      </c>
      <c r="E659" s="24">
        <v>3.5214623778029469E-14</v>
      </c>
      <c r="F659" s="24">
        <v>8.6827839718139899E-7</v>
      </c>
      <c r="G659" s="24">
        <v>0.53831867298009328</v>
      </c>
      <c r="H659" s="24">
        <v>0.21175580491658819</v>
      </c>
      <c r="I659" s="53">
        <v>1530.8028210158932</v>
      </c>
      <c r="J659" s="53">
        <v>5745.0961214638464</v>
      </c>
      <c r="K659" s="24">
        <v>0.55816007813169977</v>
      </c>
      <c r="L659" s="24">
        <v>0.92074374972363171</v>
      </c>
      <c r="M659" s="24">
        <v>0.92686203491177221</v>
      </c>
      <c r="O659" s="53">
        <v>4.2000594097148092</v>
      </c>
      <c r="P659" s="54">
        <v>14865.711793281322</v>
      </c>
      <c r="Q659" s="54">
        <v>4.5064889031082602</v>
      </c>
      <c r="R659" s="54">
        <v>27920.474660755925</v>
      </c>
      <c r="S659" s="54">
        <v>0.30642949339345105</v>
      </c>
      <c r="T659" s="54">
        <v>13054.762867474603</v>
      </c>
      <c r="V659" s="69">
        <f t="shared" si="62"/>
        <v>825146.17014968046</v>
      </c>
      <c r="W659" s="69">
        <f t="shared" si="63"/>
        <v>873377.30596089608</v>
      </c>
      <c r="X659" s="69">
        <f t="shared" si="60"/>
        <v>48231.135811215609</v>
      </c>
      <c r="Z659" s="68">
        <f t="shared" si="64"/>
        <v>0</v>
      </c>
      <c r="AA659" s="68">
        <f t="shared" si="65"/>
        <v>1</v>
      </c>
      <c r="AB659" s="68">
        <f t="shared" si="61"/>
        <v>1</v>
      </c>
    </row>
    <row r="660" spans="1:28" x14ac:dyDescent="0.25">
      <c r="A660">
        <v>655</v>
      </c>
      <c r="C660" s="24">
        <v>8.4961191303357552E-17</v>
      </c>
      <c r="D660" s="24">
        <v>3.6785049869922926E-3</v>
      </c>
      <c r="E660" s="24">
        <v>1.3330495596264313E-9</v>
      </c>
      <c r="F660" s="24">
        <v>2.9060994386314043E-3</v>
      </c>
      <c r="G660" s="24">
        <v>0.65158686831738677</v>
      </c>
      <c r="H660" s="24">
        <v>0.36251248466351771</v>
      </c>
      <c r="I660" s="53">
        <v>1796.3269057288639</v>
      </c>
      <c r="J660" s="53">
        <v>3866.853093178051</v>
      </c>
      <c r="K660" s="24">
        <v>0.69062580178382427</v>
      </c>
      <c r="L660" s="24">
        <v>0.95584966010854511</v>
      </c>
      <c r="M660" s="24">
        <v>0.90307470626555264</v>
      </c>
      <c r="O660" s="53">
        <v>4.3414958516998503</v>
      </c>
      <c r="P660" s="54">
        <v>20355.542046142633</v>
      </c>
      <c r="Q660" s="54">
        <v>4.6086955815714772</v>
      </c>
      <c r="R660" s="54">
        <v>42235.122748744572</v>
      </c>
      <c r="S660" s="54">
        <v>0.26719972987162688</v>
      </c>
      <c r="T660" s="54">
        <v>21879.580702601939</v>
      </c>
      <c r="V660" s="69">
        <f t="shared" si="62"/>
        <v>847943.62829382741</v>
      </c>
      <c r="W660" s="69">
        <f t="shared" si="63"/>
        <v>879503.99356555089</v>
      </c>
      <c r="X660" s="69">
        <f t="shared" si="60"/>
        <v>31560.365271723436</v>
      </c>
      <c r="Z660" s="68">
        <f t="shared" si="64"/>
        <v>0</v>
      </c>
      <c r="AA660" s="68">
        <f t="shared" si="65"/>
        <v>1</v>
      </c>
      <c r="AB660" s="68">
        <f t="shared" si="61"/>
        <v>1</v>
      </c>
    </row>
    <row r="661" spans="1:28" x14ac:dyDescent="0.25">
      <c r="A661">
        <v>656</v>
      </c>
      <c r="C661" s="24">
        <v>1.246592449123396E-3</v>
      </c>
      <c r="D661" s="24">
        <v>5.5477943780066763E-3</v>
      </c>
      <c r="E661" s="24">
        <v>1.9961579696778456E-16</v>
      </c>
      <c r="F661" s="24">
        <v>4.4992376430253698E-19</v>
      </c>
      <c r="G661" s="24">
        <v>0.61900396273059077</v>
      </c>
      <c r="H661" s="24">
        <v>0.25768503553005839</v>
      </c>
      <c r="I661" s="53">
        <v>1760.1072946368347</v>
      </c>
      <c r="J661" s="53">
        <v>6207.5874810580644</v>
      </c>
      <c r="K661" s="24">
        <v>0.65568631493138585</v>
      </c>
      <c r="L661" s="24">
        <v>0.9196085870885502</v>
      </c>
      <c r="M661" s="24">
        <v>0.88211882922246954</v>
      </c>
      <c r="O661" s="53">
        <v>4.2077852095398942</v>
      </c>
      <c r="P661" s="54">
        <v>18756.481030884035</v>
      </c>
      <c r="Q661" s="54">
        <v>4.5052260541653002</v>
      </c>
      <c r="R661" s="54">
        <v>32949.859246707398</v>
      </c>
      <c r="S661" s="54">
        <v>0.29744084462540599</v>
      </c>
      <c r="T661" s="54">
        <v>14193.378215823363</v>
      </c>
      <c r="V661" s="69">
        <f t="shared" si="62"/>
        <v>822800.56087709474</v>
      </c>
      <c r="W661" s="69">
        <f t="shared" si="63"/>
        <v>868095.35158635268</v>
      </c>
      <c r="X661" s="69">
        <f t="shared" si="60"/>
        <v>45294.790709257839</v>
      </c>
      <c r="Z661" s="68">
        <f t="shared" si="64"/>
        <v>0</v>
      </c>
      <c r="AA661" s="68">
        <f t="shared" si="65"/>
        <v>1</v>
      </c>
      <c r="AB661" s="68">
        <f t="shared" si="61"/>
        <v>1</v>
      </c>
    </row>
    <row r="662" spans="1:28" x14ac:dyDescent="0.25">
      <c r="A662">
        <v>657</v>
      </c>
      <c r="C662" s="24">
        <v>3.1282796225217124E-3</v>
      </c>
      <c r="D662" s="24">
        <v>2.1517509146685709E-3</v>
      </c>
      <c r="E662" s="24">
        <v>2.4650883446604133E-37</v>
      </c>
      <c r="F662" s="24">
        <v>2.2382328272361187E-22</v>
      </c>
      <c r="G662" s="24">
        <v>0.63901901053284071</v>
      </c>
      <c r="H662" s="24">
        <v>0.2822520696084827</v>
      </c>
      <c r="I662" s="53">
        <v>1639.8036894964994</v>
      </c>
      <c r="J662" s="53">
        <v>4698.7599791723605</v>
      </c>
      <c r="K662" s="24">
        <v>0.53728758134040511</v>
      </c>
      <c r="L662" s="24">
        <v>0.95516591577741294</v>
      </c>
      <c r="M662" s="24">
        <v>0.88301400860303758</v>
      </c>
      <c r="O662" s="53">
        <v>4.1127739467993818</v>
      </c>
      <c r="P662" s="54">
        <v>19818.375403873601</v>
      </c>
      <c r="Q662" s="54">
        <v>4.6107980210237365</v>
      </c>
      <c r="R662" s="54">
        <v>54258.271688250294</v>
      </c>
      <c r="S662" s="54">
        <v>0.49802407422435468</v>
      </c>
      <c r="T662" s="54">
        <v>34439.896284376693</v>
      </c>
      <c r="V662" s="69">
        <f t="shared" si="62"/>
        <v>802736.41395600268</v>
      </c>
      <c r="W662" s="69">
        <f t="shared" si="63"/>
        <v>867901.332516497</v>
      </c>
      <c r="X662" s="69">
        <f t="shared" si="60"/>
        <v>65164.918560494247</v>
      </c>
      <c r="Z662" s="68">
        <f t="shared" si="64"/>
        <v>0</v>
      </c>
      <c r="AA662" s="68">
        <f t="shared" si="65"/>
        <v>1</v>
      </c>
      <c r="AB662" s="68">
        <f t="shared" si="61"/>
        <v>1</v>
      </c>
    </row>
    <row r="663" spans="1:28" x14ac:dyDescent="0.25">
      <c r="A663">
        <v>658</v>
      </c>
      <c r="C663" s="24">
        <v>9.0209884973284931E-16</v>
      </c>
      <c r="D663" s="24">
        <v>2.1271428837962292E-3</v>
      </c>
      <c r="E663" s="24">
        <v>3.7022272566256245E-25</v>
      </c>
      <c r="F663" s="24">
        <v>9.2048590971671729E-13</v>
      </c>
      <c r="G663" s="24">
        <v>0.57839333846753083</v>
      </c>
      <c r="H663" s="24">
        <v>0.28996781479015898</v>
      </c>
      <c r="I663" s="53">
        <v>2580.8582477054738</v>
      </c>
      <c r="J663" s="53">
        <v>5468.3438183092148</v>
      </c>
      <c r="K663" s="24">
        <v>0.63558831462637944</v>
      </c>
      <c r="L663" s="24">
        <v>0.84510932517691395</v>
      </c>
      <c r="M663" s="24">
        <v>0.81382705507733177</v>
      </c>
      <c r="O663" s="53">
        <v>3.9567154359228853</v>
      </c>
      <c r="P663" s="54">
        <v>19134.380318033371</v>
      </c>
      <c r="Q663" s="54">
        <v>4.1397260165984848</v>
      </c>
      <c r="R663" s="54">
        <v>37117.652147448258</v>
      </c>
      <c r="S663" s="54">
        <v>0.1830105806755995</v>
      </c>
      <c r="T663" s="54">
        <v>17983.271829414887</v>
      </c>
      <c r="V663" s="69">
        <f t="shared" si="62"/>
        <v>772208.70686654362</v>
      </c>
      <c r="W663" s="69">
        <f t="shared" si="63"/>
        <v>790827.55117224867</v>
      </c>
      <c r="X663" s="69">
        <f t="shared" si="60"/>
        <v>18618.84430570501</v>
      </c>
      <c r="Z663" s="68">
        <f t="shared" si="64"/>
        <v>0</v>
      </c>
      <c r="AA663" s="68">
        <f t="shared" si="65"/>
        <v>1</v>
      </c>
      <c r="AB663" s="68">
        <f t="shared" si="61"/>
        <v>1</v>
      </c>
    </row>
    <row r="664" spans="1:28" x14ac:dyDescent="0.25">
      <c r="A664">
        <v>659</v>
      </c>
      <c r="C664" s="24">
        <v>2.2926200916608651E-5</v>
      </c>
      <c r="D664" s="24">
        <v>1.7383263481289823E-3</v>
      </c>
      <c r="E664" s="24">
        <v>6.1673460258257103E-17</v>
      </c>
      <c r="F664" s="24">
        <v>8.5125842327060114E-23</v>
      </c>
      <c r="G664" s="24">
        <v>0.63700834841167608</v>
      </c>
      <c r="H664" s="24">
        <v>0.20524454870910913</v>
      </c>
      <c r="I664" s="53">
        <v>1784.3513908998036</v>
      </c>
      <c r="J664" s="53">
        <v>4812.8934536098113</v>
      </c>
      <c r="K664" s="24">
        <v>0.67786124785689506</v>
      </c>
      <c r="L664" s="24">
        <v>0.45691723849548721</v>
      </c>
      <c r="M664" s="24">
        <v>0.84723639059685296</v>
      </c>
      <c r="O664" s="53">
        <v>2.6317335713378158</v>
      </c>
      <c r="P664" s="54">
        <v>15331.665228851176</v>
      </c>
      <c r="Q664" s="54">
        <v>2.3456721391365649</v>
      </c>
      <c r="R664" s="54">
        <v>24614.778085976672</v>
      </c>
      <c r="S664" s="54">
        <v>-0.28606143220125091</v>
      </c>
      <c r="T664" s="54">
        <v>9283.1128571254958</v>
      </c>
      <c r="V664" s="69">
        <f t="shared" si="62"/>
        <v>511015.04903871199</v>
      </c>
      <c r="W664" s="69">
        <f t="shared" si="63"/>
        <v>444519.6497413363</v>
      </c>
      <c r="X664" s="69">
        <f t="shared" si="60"/>
        <v>-66495.399297375669</v>
      </c>
      <c r="Z664" s="68">
        <f t="shared" si="64"/>
        <v>1</v>
      </c>
      <c r="AA664" s="68">
        <f t="shared" si="65"/>
        <v>0</v>
      </c>
      <c r="AB664" s="68">
        <f t="shared" si="61"/>
        <v>0</v>
      </c>
    </row>
    <row r="665" spans="1:28" x14ac:dyDescent="0.25">
      <c r="A665">
        <v>660</v>
      </c>
      <c r="C665" s="24">
        <v>4.4375590655979513E-3</v>
      </c>
      <c r="D665" s="24">
        <v>5.6374903055426315E-8</v>
      </c>
      <c r="E665" s="24">
        <v>5.5844648890965193E-50</v>
      </c>
      <c r="F665" s="24">
        <v>3.3856652089880868E-5</v>
      </c>
      <c r="G665" s="24">
        <v>0.62105467271933801</v>
      </c>
      <c r="H665" s="24">
        <v>0.25907678747887197</v>
      </c>
      <c r="I665" s="53">
        <v>2264.3087474559975</v>
      </c>
      <c r="J665" s="53">
        <v>4763.7500553972013</v>
      </c>
      <c r="K665" s="24">
        <v>0.72276627703358132</v>
      </c>
      <c r="L665" s="24">
        <v>0.77043522288669597</v>
      </c>
      <c r="M665" s="24">
        <v>0.85852040038866329</v>
      </c>
      <c r="O665" s="53">
        <v>3.7848928601554199</v>
      </c>
      <c r="P665" s="54">
        <v>16689.893664491763</v>
      </c>
      <c r="Q665" s="54">
        <v>3.835363587984395</v>
      </c>
      <c r="R665" s="54">
        <v>43849.940692770826</v>
      </c>
      <c r="S665" s="54">
        <v>5.0470727828975104E-2</v>
      </c>
      <c r="T665" s="54">
        <v>27160.047028279063</v>
      </c>
      <c r="V665" s="69">
        <f t="shared" si="62"/>
        <v>740288.67836659227</v>
      </c>
      <c r="W665" s="69">
        <f t="shared" si="63"/>
        <v>723222.77690410812</v>
      </c>
      <c r="X665" s="69">
        <f t="shared" si="60"/>
        <v>-17065.901462484042</v>
      </c>
      <c r="Z665" s="68">
        <f t="shared" si="64"/>
        <v>1</v>
      </c>
      <c r="AA665" s="68">
        <f t="shared" si="65"/>
        <v>0</v>
      </c>
      <c r="AB665" s="68">
        <f t="shared" si="61"/>
        <v>0</v>
      </c>
    </row>
    <row r="666" spans="1:28" x14ac:dyDescent="0.25">
      <c r="A666">
        <v>661</v>
      </c>
      <c r="C666" s="24">
        <v>5.6257209219978677E-5</v>
      </c>
      <c r="D666" s="24">
        <v>1.2077049131032128E-3</v>
      </c>
      <c r="E666" s="24">
        <v>8.6711967545097523E-26</v>
      </c>
      <c r="F666" s="24">
        <v>5.8983928852285317E-11</v>
      </c>
      <c r="G666" s="24">
        <v>0.51992716308461517</v>
      </c>
      <c r="H666" s="24">
        <v>0.33878752833310521</v>
      </c>
      <c r="I666" s="53">
        <v>1697.6045701584983</v>
      </c>
      <c r="J666" s="53">
        <v>4675.1519324658411</v>
      </c>
      <c r="K666" s="24">
        <v>0.76316865172820236</v>
      </c>
      <c r="L666" s="24">
        <v>0.89190907271001207</v>
      </c>
      <c r="M666" s="24">
        <v>0.96727801499500954</v>
      </c>
      <c r="O666" s="53">
        <v>4.3254496263951392</v>
      </c>
      <c r="P666" s="54">
        <v>14605.400704847489</v>
      </c>
      <c r="Q666" s="54">
        <v>4.3944947141701887</v>
      </c>
      <c r="R666" s="54">
        <v>49113.467602092453</v>
      </c>
      <c r="S666" s="54">
        <v>6.9045087775049474E-2</v>
      </c>
      <c r="T666" s="54">
        <v>34508.066897244964</v>
      </c>
      <c r="V666" s="69">
        <f t="shared" si="62"/>
        <v>850484.52457418025</v>
      </c>
      <c r="W666" s="69">
        <f t="shared" si="63"/>
        <v>829785.47523194528</v>
      </c>
      <c r="X666" s="69">
        <f t="shared" si="60"/>
        <v>-20699.04934223507</v>
      </c>
      <c r="Z666" s="68">
        <f t="shared" si="64"/>
        <v>1</v>
      </c>
      <c r="AA666" s="68">
        <f t="shared" si="65"/>
        <v>0</v>
      </c>
      <c r="AB666" s="68">
        <f t="shared" si="61"/>
        <v>0</v>
      </c>
    </row>
    <row r="667" spans="1:28" x14ac:dyDescent="0.25">
      <c r="A667">
        <v>662</v>
      </c>
      <c r="C667" s="24">
        <v>5.6017243619064239E-3</v>
      </c>
      <c r="D667" s="24">
        <v>8.2586027944499285E-4</v>
      </c>
      <c r="E667" s="24">
        <v>5.0149914478936353E-6</v>
      </c>
      <c r="F667" s="24">
        <v>1.2548851512803791E-15</v>
      </c>
      <c r="G667" s="24">
        <v>0.59027074032382998</v>
      </c>
      <c r="H667" s="24">
        <v>0.29823683766923437</v>
      </c>
      <c r="I667" s="53">
        <v>1542.911456363162</v>
      </c>
      <c r="J667" s="53">
        <v>4854.4402201968433</v>
      </c>
      <c r="K667" s="24">
        <v>0.67571705357084932</v>
      </c>
      <c r="L667" s="24">
        <v>0.8228226252307016</v>
      </c>
      <c r="M667" s="24">
        <v>0.7683943251844797</v>
      </c>
      <c r="O667" s="53">
        <v>3.9146110692476226</v>
      </c>
      <c r="P667" s="54">
        <v>14574.145885192913</v>
      </c>
      <c r="Q667" s="54">
        <v>4.0514502759225346</v>
      </c>
      <c r="R667" s="54">
        <v>43138.918207474686</v>
      </c>
      <c r="S667" s="54">
        <v>0.13683920667491201</v>
      </c>
      <c r="T667" s="54">
        <v>28564.772322281773</v>
      </c>
      <c r="V667" s="69">
        <f t="shared" si="62"/>
        <v>768348.0679643316</v>
      </c>
      <c r="W667" s="69">
        <f t="shared" si="63"/>
        <v>767151.13697703229</v>
      </c>
      <c r="X667" s="69">
        <f t="shared" si="60"/>
        <v>-1196.9309872993726</v>
      </c>
      <c r="Z667" s="68">
        <f t="shared" si="64"/>
        <v>1</v>
      </c>
      <c r="AA667" s="68">
        <f t="shared" si="65"/>
        <v>0</v>
      </c>
      <c r="AB667" s="68">
        <f t="shared" si="61"/>
        <v>0</v>
      </c>
    </row>
    <row r="668" spans="1:28" x14ac:dyDescent="0.25">
      <c r="A668">
        <v>663</v>
      </c>
      <c r="C668" s="24">
        <v>6.2932812910244184E-14</v>
      </c>
      <c r="D668" s="24">
        <v>4.2087328107791588E-3</v>
      </c>
      <c r="E668" s="24">
        <v>8.6371624074828103E-43</v>
      </c>
      <c r="F668" s="24">
        <v>1.9724480538671069E-79</v>
      </c>
      <c r="G668" s="24">
        <v>0.59617951574857586</v>
      </c>
      <c r="H668" s="24">
        <v>0.26757296472845882</v>
      </c>
      <c r="I668" s="53">
        <v>2494.5893590567907</v>
      </c>
      <c r="J668" s="53">
        <v>5294.0856845919452</v>
      </c>
      <c r="K668" s="24">
        <v>0.69965572350415428</v>
      </c>
      <c r="L668" s="24">
        <v>0.78614677845439329</v>
      </c>
      <c r="M668" s="24">
        <v>0.82475039281025309</v>
      </c>
      <c r="O668" s="53">
        <v>3.8126601291899549</v>
      </c>
      <c r="P668" s="54">
        <v>16578.720714897019</v>
      </c>
      <c r="Q668" s="54">
        <v>3.9002082047810864</v>
      </c>
      <c r="R668" s="54">
        <v>49272.333438875808</v>
      </c>
      <c r="S668" s="54">
        <v>8.7548075591131536E-2</v>
      </c>
      <c r="T668" s="54">
        <v>32693.612723978789</v>
      </c>
      <c r="V668" s="69">
        <f t="shared" si="62"/>
        <v>745953.30512309389</v>
      </c>
      <c r="W668" s="69">
        <f t="shared" si="63"/>
        <v>730769.30751734145</v>
      </c>
      <c r="X668" s="69">
        <f t="shared" si="60"/>
        <v>-15183.997605752484</v>
      </c>
      <c r="Z668" s="68">
        <f t="shared" si="64"/>
        <v>1</v>
      </c>
      <c r="AA668" s="68">
        <f t="shared" si="65"/>
        <v>0</v>
      </c>
      <c r="AB668" s="68">
        <f t="shared" si="61"/>
        <v>0</v>
      </c>
    </row>
    <row r="669" spans="1:28" x14ac:dyDescent="0.25">
      <c r="A669">
        <v>664</v>
      </c>
      <c r="C669" s="24">
        <v>7.2361275493758051E-15</v>
      </c>
      <c r="D669" s="24">
        <v>4.3545266042909203E-3</v>
      </c>
      <c r="E669" s="24">
        <v>2.3462343179403433E-12</v>
      </c>
      <c r="F669" s="24">
        <v>5.8736079093782003E-21</v>
      </c>
      <c r="G669" s="24">
        <v>0.64344453811990832</v>
      </c>
      <c r="H669" s="24">
        <v>0.23022591209985233</v>
      </c>
      <c r="I669" s="53">
        <v>1668.2002457658036</v>
      </c>
      <c r="J669" s="53">
        <v>5988.7130307349653</v>
      </c>
      <c r="K669" s="24">
        <v>0.45071755752194526</v>
      </c>
      <c r="L669" s="24">
        <v>0.77310218760065563</v>
      </c>
      <c r="M669" s="24">
        <v>0.94432141030825312</v>
      </c>
      <c r="O669" s="53">
        <v>3.3478988459509891</v>
      </c>
      <c r="P669" s="54">
        <v>19095.34201868629</v>
      </c>
      <c r="Q669" s="54">
        <v>3.773707067068063</v>
      </c>
      <c r="R669" s="54">
        <v>31372.966204492932</v>
      </c>
      <c r="S669" s="54">
        <v>0.42580822111707395</v>
      </c>
      <c r="T669" s="54">
        <v>12277.624185806642</v>
      </c>
      <c r="V669" s="69">
        <f t="shared" si="62"/>
        <v>650484.42717151158</v>
      </c>
      <c r="W669" s="69">
        <f t="shared" si="63"/>
        <v>723368.44720911968</v>
      </c>
      <c r="X669" s="69">
        <f t="shared" si="60"/>
        <v>72884.020037608134</v>
      </c>
      <c r="Z669" s="68">
        <f t="shared" si="64"/>
        <v>0</v>
      </c>
      <c r="AA669" s="68">
        <f t="shared" si="65"/>
        <v>1</v>
      </c>
      <c r="AB669" s="68">
        <f t="shared" si="61"/>
        <v>1</v>
      </c>
    </row>
    <row r="670" spans="1:28" x14ac:dyDescent="0.25">
      <c r="A670">
        <v>665</v>
      </c>
      <c r="C670" s="24">
        <v>1.6283422188934082E-4</v>
      </c>
      <c r="D670" s="24">
        <v>2.9419407161342948E-3</v>
      </c>
      <c r="E670" s="24">
        <v>1.1308376956126187E-3</v>
      </c>
      <c r="F670" s="24">
        <v>1.3917709934461486E-54</v>
      </c>
      <c r="G670" s="24">
        <v>0.48580754030547479</v>
      </c>
      <c r="H670" s="24">
        <v>0.30162666548154193</v>
      </c>
      <c r="I670" s="53">
        <v>1913.5208220348516</v>
      </c>
      <c r="J670" s="53">
        <v>3570.6570624208857</v>
      </c>
      <c r="K670" s="24">
        <v>0.71711805649156646</v>
      </c>
      <c r="L670" s="24">
        <v>0.82145856357753688</v>
      </c>
      <c r="M670" s="24">
        <v>0.80074665103761788</v>
      </c>
      <c r="O670" s="53">
        <v>4.003980708735642</v>
      </c>
      <c r="P670" s="54">
        <v>13798.693712161048</v>
      </c>
      <c r="Q670" s="54">
        <v>4.0619421152905728</v>
      </c>
      <c r="R670" s="54">
        <v>33554.97155415405</v>
      </c>
      <c r="S670" s="54">
        <v>5.7961406554930761E-2</v>
      </c>
      <c r="T670" s="54">
        <v>19756.277841993004</v>
      </c>
      <c r="V670" s="69">
        <f t="shared" si="62"/>
        <v>786997.44803496741</v>
      </c>
      <c r="W670" s="69">
        <f t="shared" si="63"/>
        <v>778833.45150396053</v>
      </c>
      <c r="X670" s="69">
        <f t="shared" si="60"/>
        <v>-8163.996531006851</v>
      </c>
      <c r="Z670" s="68">
        <f t="shared" si="64"/>
        <v>1</v>
      </c>
      <c r="AA670" s="68">
        <f t="shared" si="65"/>
        <v>0</v>
      </c>
      <c r="AB670" s="68">
        <f t="shared" si="61"/>
        <v>0</v>
      </c>
    </row>
    <row r="671" spans="1:28" x14ac:dyDescent="0.25">
      <c r="A671">
        <v>666</v>
      </c>
      <c r="C671" s="24">
        <v>6.6199759858109886E-5</v>
      </c>
      <c r="D671" s="24">
        <v>5.324797517484714E-3</v>
      </c>
      <c r="E671" s="24">
        <v>6.5756654911121099E-23</v>
      </c>
      <c r="F671" s="24">
        <v>1.162913602081872E-7</v>
      </c>
      <c r="G671" s="24">
        <v>0.54654294216162191</v>
      </c>
      <c r="H671" s="24">
        <v>0.15731573920300645</v>
      </c>
      <c r="I671" s="53">
        <v>2305.9210690179734</v>
      </c>
      <c r="J671" s="53">
        <v>4153.4801310165631</v>
      </c>
      <c r="K671" s="24">
        <v>0.68763068870715305</v>
      </c>
      <c r="L671" s="24">
        <v>0.80732901234335752</v>
      </c>
      <c r="M671" s="24">
        <v>0.85859097908328907</v>
      </c>
      <c r="O671" s="53">
        <v>3.8994393899929718</v>
      </c>
      <c r="P671" s="54">
        <v>19540.9262136775</v>
      </c>
      <c r="Q671" s="54">
        <v>4.0158600263647477</v>
      </c>
      <c r="R671" s="54">
        <v>20477.262719885963</v>
      </c>
      <c r="S671" s="54">
        <v>0.11642063637177591</v>
      </c>
      <c r="T671" s="54">
        <v>936.33650620846311</v>
      </c>
      <c r="V671" s="69">
        <f t="shared" si="62"/>
        <v>760346.9517849168</v>
      </c>
      <c r="W671" s="69">
        <f t="shared" si="63"/>
        <v>782694.74255306367</v>
      </c>
      <c r="X671" s="69">
        <f t="shared" si="60"/>
        <v>22347.790768146719</v>
      </c>
      <c r="Z671" s="68">
        <f t="shared" si="64"/>
        <v>0</v>
      </c>
      <c r="AA671" s="68">
        <f t="shared" si="65"/>
        <v>1</v>
      </c>
      <c r="AB671" s="68">
        <f t="shared" si="61"/>
        <v>1</v>
      </c>
    </row>
    <row r="672" spans="1:28" x14ac:dyDescent="0.25">
      <c r="A672">
        <v>667</v>
      </c>
      <c r="C672" s="24">
        <v>1.0595365856456293E-5</v>
      </c>
      <c r="D672" s="24">
        <v>5.5453829541097788E-3</v>
      </c>
      <c r="E672" s="24">
        <v>8.235772497244831E-5</v>
      </c>
      <c r="F672" s="24">
        <v>1.0795808691455022E-12</v>
      </c>
      <c r="G672" s="24">
        <v>0.61782386933672173</v>
      </c>
      <c r="H672" s="24">
        <v>0.47125231550748248</v>
      </c>
      <c r="I672" s="53">
        <v>1829.8674532295158</v>
      </c>
      <c r="J672" s="53">
        <v>5981.0120633113984</v>
      </c>
      <c r="K672" s="24">
        <v>0.76351563916518683</v>
      </c>
      <c r="L672" s="24">
        <v>0.81243345797355704</v>
      </c>
      <c r="M672" s="24">
        <v>0.9396934321068916</v>
      </c>
      <c r="O672" s="53">
        <v>3.9896001769232972</v>
      </c>
      <c r="P672" s="54">
        <v>17975.175361986843</v>
      </c>
      <c r="Q672" s="54">
        <v>4.0250935076575844</v>
      </c>
      <c r="R672" s="54">
        <v>63981.119350103378</v>
      </c>
      <c r="S672" s="54">
        <v>3.5493330734287287E-2</v>
      </c>
      <c r="T672" s="54">
        <v>46005.943988116531</v>
      </c>
      <c r="V672" s="69">
        <f t="shared" si="62"/>
        <v>779944.86002267257</v>
      </c>
      <c r="W672" s="69">
        <f t="shared" si="63"/>
        <v>741037.58218141343</v>
      </c>
      <c r="X672" s="69">
        <f t="shared" si="60"/>
        <v>-38907.277841259071</v>
      </c>
      <c r="Z672" s="68">
        <f t="shared" si="64"/>
        <v>1</v>
      </c>
      <c r="AA672" s="68">
        <f t="shared" si="65"/>
        <v>0</v>
      </c>
      <c r="AB672" s="68">
        <f t="shared" si="61"/>
        <v>0</v>
      </c>
    </row>
    <row r="673" spans="1:28" x14ac:dyDescent="0.25">
      <c r="A673">
        <v>668</v>
      </c>
      <c r="C673" s="24">
        <v>9.4752177793615272E-7</v>
      </c>
      <c r="D673" s="24">
        <v>3.4291493134089857E-3</v>
      </c>
      <c r="E673" s="24">
        <v>3.8054885352356571E-5</v>
      </c>
      <c r="F673" s="24">
        <v>1.0955720222759592E-20</v>
      </c>
      <c r="G673" s="24">
        <v>0.53413533844411276</v>
      </c>
      <c r="H673" s="24">
        <v>0.22640364659436429</v>
      </c>
      <c r="I673" s="53">
        <v>2472.6820306689219</v>
      </c>
      <c r="J673" s="53">
        <v>4775.8081947094634</v>
      </c>
      <c r="K673" s="24">
        <v>0.74431864476330634</v>
      </c>
      <c r="L673" s="24">
        <v>0.81593105725143023</v>
      </c>
      <c r="M673" s="24">
        <v>0.93118653013395902</v>
      </c>
      <c r="O673" s="53">
        <v>4.0008588458627168</v>
      </c>
      <c r="P673" s="54">
        <v>16013.584028861655</v>
      </c>
      <c r="Q673" s="54">
        <v>4.061114446940393</v>
      </c>
      <c r="R673" s="54">
        <v>32156.818195480802</v>
      </c>
      <c r="S673" s="54">
        <v>6.0255601077676246E-2</v>
      </c>
      <c r="T673" s="54">
        <v>16143.234166619148</v>
      </c>
      <c r="V673" s="69">
        <f t="shared" si="62"/>
        <v>784158.18514368171</v>
      </c>
      <c r="W673" s="69">
        <f t="shared" si="63"/>
        <v>780066.07119259774</v>
      </c>
      <c r="X673" s="69">
        <f t="shared" si="60"/>
        <v>-4092.1139510838984</v>
      </c>
      <c r="Z673" s="68">
        <f t="shared" si="64"/>
        <v>1</v>
      </c>
      <c r="AA673" s="68">
        <f t="shared" si="65"/>
        <v>0</v>
      </c>
      <c r="AB673" s="68">
        <f t="shared" si="61"/>
        <v>0</v>
      </c>
    </row>
    <row r="674" spans="1:28" x14ac:dyDescent="0.25">
      <c r="A674">
        <v>669</v>
      </c>
      <c r="C674" s="24">
        <v>2.2100436200557794E-2</v>
      </c>
      <c r="D674" s="24">
        <v>6.6171399505918771E-3</v>
      </c>
      <c r="E674" s="24">
        <v>1.1421280901677985E-32</v>
      </c>
      <c r="F674" s="24">
        <v>2.3185897646271769E-12</v>
      </c>
      <c r="G674" s="24">
        <v>0.63585935315736575</v>
      </c>
      <c r="H674" s="24">
        <v>0.28313094740621891</v>
      </c>
      <c r="I674" s="53">
        <v>2352.2932828346738</v>
      </c>
      <c r="J674" s="53">
        <v>5054.7046088830693</v>
      </c>
      <c r="K674" s="24">
        <v>0.58849028353999178</v>
      </c>
      <c r="L674" s="24">
        <v>0.88841482466759525</v>
      </c>
      <c r="M674" s="24">
        <v>0.592363775026991</v>
      </c>
      <c r="O674" s="53">
        <v>3.9110617132833991</v>
      </c>
      <c r="P674" s="54">
        <v>22802.175132720455</v>
      </c>
      <c r="Q674" s="54">
        <v>4.3112466601610686</v>
      </c>
      <c r="R674" s="54">
        <v>38491.044832415093</v>
      </c>
      <c r="S674" s="54">
        <v>0.40018494687766948</v>
      </c>
      <c r="T674" s="54">
        <v>15688.869699694638</v>
      </c>
      <c r="V674" s="69">
        <f t="shared" si="62"/>
        <v>759410.1675239593</v>
      </c>
      <c r="W674" s="69">
        <f t="shared" si="63"/>
        <v>823758.28719979862</v>
      </c>
      <c r="X674" s="69">
        <f t="shared" si="60"/>
        <v>64348.119675839262</v>
      </c>
      <c r="Z674" s="68">
        <f t="shared" si="64"/>
        <v>0</v>
      </c>
      <c r="AA674" s="68">
        <f t="shared" si="65"/>
        <v>1</v>
      </c>
      <c r="AB674" s="68">
        <f t="shared" si="61"/>
        <v>1</v>
      </c>
    </row>
    <row r="675" spans="1:28" x14ac:dyDescent="0.25">
      <c r="A675">
        <v>670</v>
      </c>
      <c r="C675" s="24">
        <v>1.7620395943811665E-11</v>
      </c>
      <c r="D675" s="24">
        <v>1.9809540614734805E-5</v>
      </c>
      <c r="E675" s="24">
        <v>1.6934903479537411E-9</v>
      </c>
      <c r="F675" s="24">
        <v>1.7250250161748859E-5</v>
      </c>
      <c r="G675" s="24">
        <v>0.61535109270701438</v>
      </c>
      <c r="H675" s="24">
        <v>0.35102218310280164</v>
      </c>
      <c r="I675" s="53">
        <v>2025.1575372600055</v>
      </c>
      <c r="J675" s="53">
        <v>4589.9818353807996</v>
      </c>
      <c r="K675" s="24">
        <v>0.67506517155718704</v>
      </c>
      <c r="L675" s="24">
        <v>0.98525981283444797</v>
      </c>
      <c r="M675" s="24">
        <v>0.82684129228964631</v>
      </c>
      <c r="O675" s="53">
        <v>4.4738411254498791</v>
      </c>
      <c r="P675" s="54">
        <v>18461.618967519404</v>
      </c>
      <c r="Q675" s="54">
        <v>4.7592752452304943</v>
      </c>
      <c r="R675" s="54">
        <v>62289.647337439346</v>
      </c>
      <c r="S675" s="54">
        <v>0.28543411978061517</v>
      </c>
      <c r="T675" s="54">
        <v>43828.028369919943</v>
      </c>
      <c r="V675" s="69">
        <f t="shared" si="62"/>
        <v>876306.60612245649</v>
      </c>
      <c r="W675" s="69">
        <f t="shared" si="63"/>
        <v>889565.40170865948</v>
      </c>
      <c r="X675" s="69">
        <f t="shared" si="60"/>
        <v>13258.795586203094</v>
      </c>
      <c r="Z675" s="68">
        <f t="shared" si="64"/>
        <v>0</v>
      </c>
      <c r="AA675" s="68">
        <f t="shared" si="65"/>
        <v>1</v>
      </c>
      <c r="AB675" s="68">
        <f t="shared" si="61"/>
        <v>1</v>
      </c>
    </row>
    <row r="676" spans="1:28" x14ac:dyDescent="0.25">
      <c r="A676">
        <v>671</v>
      </c>
      <c r="C676" s="24">
        <v>1.9948828890104704E-6</v>
      </c>
      <c r="D676" s="24">
        <v>4.6249867852368176E-3</v>
      </c>
      <c r="E676" s="24">
        <v>1.0937251749122837E-26</v>
      </c>
      <c r="F676" s="24">
        <v>7.7758085755748816E-31</v>
      </c>
      <c r="G676" s="24">
        <v>0.49401134580395889</v>
      </c>
      <c r="H676" s="24">
        <v>0.18531511873210593</v>
      </c>
      <c r="I676" s="53">
        <v>2225.5917684874817</v>
      </c>
      <c r="J676" s="53">
        <v>4498.1316894488009</v>
      </c>
      <c r="K676" s="24">
        <v>0.57480800032977131</v>
      </c>
      <c r="L676" s="24">
        <v>0.88107269617604722</v>
      </c>
      <c r="M676" s="24">
        <v>0.88645771698165765</v>
      </c>
      <c r="O676" s="53">
        <v>4.1151463667297028</v>
      </c>
      <c r="P676" s="54">
        <v>15071.037227023717</v>
      </c>
      <c r="Q676" s="54">
        <v>4.3358590485171149</v>
      </c>
      <c r="R676" s="54">
        <v>35767.16668701185</v>
      </c>
      <c r="S676" s="54">
        <v>0.2207126817874121</v>
      </c>
      <c r="T676" s="54">
        <v>20696.129459988133</v>
      </c>
      <c r="V676" s="69">
        <f t="shared" si="62"/>
        <v>807958.23611891677</v>
      </c>
      <c r="W676" s="69">
        <f t="shared" si="63"/>
        <v>831404.64301641111</v>
      </c>
      <c r="X676" s="69">
        <f t="shared" si="60"/>
        <v>23446.406897494289</v>
      </c>
      <c r="Z676" s="68">
        <f t="shared" si="64"/>
        <v>0</v>
      </c>
      <c r="AA676" s="68">
        <f t="shared" si="65"/>
        <v>1</v>
      </c>
      <c r="AB676" s="68">
        <f t="shared" si="61"/>
        <v>1</v>
      </c>
    </row>
    <row r="677" spans="1:28" x14ac:dyDescent="0.25">
      <c r="A677">
        <v>672</v>
      </c>
      <c r="C677" s="24">
        <v>5.7523692794035589E-6</v>
      </c>
      <c r="D677" s="24">
        <v>1.0246439749471232E-4</v>
      </c>
      <c r="E677" s="24">
        <v>1.8088486220313449E-5</v>
      </c>
      <c r="F677" s="24">
        <v>2.3619580403834427E-28</v>
      </c>
      <c r="G677" s="24">
        <v>0.56301041675962593</v>
      </c>
      <c r="H677" s="24">
        <v>0.30542223444556704</v>
      </c>
      <c r="I677" s="53">
        <v>2319.0841714724688</v>
      </c>
      <c r="J677" s="53">
        <v>5643.0758880862932</v>
      </c>
      <c r="K677" s="24">
        <v>0.73054565117589365</v>
      </c>
      <c r="L677" s="24">
        <v>0.84123661122031368</v>
      </c>
      <c r="M677" s="24">
        <v>0.6896507987917756</v>
      </c>
      <c r="O677" s="53">
        <v>4.0714987651666616</v>
      </c>
      <c r="P677" s="54">
        <v>18586.496864167217</v>
      </c>
      <c r="Q677" s="54">
        <v>4.1575369843605907</v>
      </c>
      <c r="R677" s="54">
        <v>48566.936890132238</v>
      </c>
      <c r="S677" s="54">
        <v>8.6038219193929066E-2</v>
      </c>
      <c r="T677" s="54">
        <v>29980.440025965021</v>
      </c>
      <c r="V677" s="69">
        <f t="shared" si="62"/>
        <v>795713.25616916502</v>
      </c>
      <c r="W677" s="69">
        <f t="shared" si="63"/>
        <v>782940.45998198586</v>
      </c>
      <c r="X677" s="69">
        <f t="shared" si="60"/>
        <v>-12772.796187179207</v>
      </c>
      <c r="Z677" s="68">
        <f t="shared" si="64"/>
        <v>1</v>
      </c>
      <c r="AA677" s="68">
        <f t="shared" si="65"/>
        <v>0</v>
      </c>
      <c r="AB677" s="68">
        <f t="shared" si="61"/>
        <v>0</v>
      </c>
    </row>
    <row r="678" spans="1:28" x14ac:dyDescent="0.25">
      <c r="A678">
        <v>673</v>
      </c>
      <c r="C678" s="24">
        <v>6.8028730985869956E-12</v>
      </c>
      <c r="D678" s="24">
        <v>2.0212552130439391E-4</v>
      </c>
      <c r="E678" s="24">
        <v>5.2344044654262234E-9</v>
      </c>
      <c r="F678" s="24">
        <v>1.6645789719937909E-6</v>
      </c>
      <c r="G678" s="24">
        <v>0.5454265146303191</v>
      </c>
      <c r="H678" s="24">
        <v>0.27455219088547944</v>
      </c>
      <c r="I678" s="53">
        <v>2322.6003852530821</v>
      </c>
      <c r="J678" s="53">
        <v>5731.789972597353</v>
      </c>
      <c r="K678" s="24">
        <v>0.5419231797608226</v>
      </c>
      <c r="L678" s="24">
        <v>0.84919535539571811</v>
      </c>
      <c r="M678" s="24">
        <v>0.98151025483117582</v>
      </c>
      <c r="O678" s="53">
        <v>3.8950883958297999</v>
      </c>
      <c r="P678" s="54">
        <v>17812.222322556812</v>
      </c>
      <c r="Q678" s="54">
        <v>4.1300296871989239</v>
      </c>
      <c r="R678" s="54">
        <v>32032.764016679736</v>
      </c>
      <c r="S678" s="54">
        <v>0.23494129136912401</v>
      </c>
      <c r="T678" s="54">
        <v>14220.541694122923</v>
      </c>
      <c r="V678" s="69">
        <f t="shared" si="62"/>
        <v>761205.45684340317</v>
      </c>
      <c r="W678" s="69">
        <f t="shared" si="63"/>
        <v>793973.17342310504</v>
      </c>
      <c r="X678" s="69">
        <f t="shared" si="60"/>
        <v>32767.716579701879</v>
      </c>
      <c r="Z678" s="68">
        <f t="shared" si="64"/>
        <v>0</v>
      </c>
      <c r="AA678" s="68">
        <f t="shared" si="65"/>
        <v>1</v>
      </c>
      <c r="AB678" s="68">
        <f t="shared" si="61"/>
        <v>1</v>
      </c>
    </row>
    <row r="679" spans="1:28" x14ac:dyDescent="0.25">
      <c r="A679">
        <v>674</v>
      </c>
      <c r="C679" s="24">
        <v>6.7811138488566014E-3</v>
      </c>
      <c r="D679" s="24">
        <v>3.9700747043550644E-3</v>
      </c>
      <c r="E679" s="24">
        <v>1.1048108576508154E-30</v>
      </c>
      <c r="F679" s="24">
        <v>3.9668779372448171E-10</v>
      </c>
      <c r="G679" s="24">
        <v>0.66859711925880305</v>
      </c>
      <c r="H679" s="24">
        <v>0.27284965248989723</v>
      </c>
      <c r="I679" s="53">
        <v>1798.9264202873637</v>
      </c>
      <c r="J679" s="53">
        <v>6183.5826500307376</v>
      </c>
      <c r="K679" s="24">
        <v>0.6780049657046584</v>
      </c>
      <c r="L679" s="24">
        <v>0.84093898865263683</v>
      </c>
      <c r="M679" s="24">
        <v>0.80554847194589352</v>
      </c>
      <c r="O679" s="53">
        <v>3.9175425721636805</v>
      </c>
      <c r="P679" s="54">
        <v>19194.392525591746</v>
      </c>
      <c r="Q679" s="54">
        <v>4.142755705402096</v>
      </c>
      <c r="R679" s="54">
        <v>36890.407415707639</v>
      </c>
      <c r="S679" s="54">
        <v>0.22521313323841552</v>
      </c>
      <c r="T679" s="54">
        <v>17696.014890115894</v>
      </c>
      <c r="V679" s="69">
        <f t="shared" si="62"/>
        <v>764314.12190714432</v>
      </c>
      <c r="W679" s="69">
        <f t="shared" si="63"/>
        <v>791660.73366471159</v>
      </c>
      <c r="X679" s="69">
        <f t="shared" si="60"/>
        <v>27346.611757567207</v>
      </c>
      <c r="Z679" s="68">
        <f t="shared" si="64"/>
        <v>0</v>
      </c>
      <c r="AA679" s="68">
        <f t="shared" si="65"/>
        <v>1</v>
      </c>
      <c r="AB679" s="68">
        <f t="shared" si="61"/>
        <v>1</v>
      </c>
    </row>
    <row r="680" spans="1:28" x14ac:dyDescent="0.25">
      <c r="A680">
        <v>675</v>
      </c>
      <c r="C680" s="24">
        <v>3.5201894666828771E-5</v>
      </c>
      <c r="D680" s="24">
        <v>3.7173371841598968E-3</v>
      </c>
      <c r="E680" s="24">
        <v>9.4431473751654949E-10</v>
      </c>
      <c r="F680" s="24">
        <v>3.0043743256105204E-61</v>
      </c>
      <c r="G680" s="24">
        <v>0.65015117353997032</v>
      </c>
      <c r="H680" s="24">
        <v>0.23436941941671408</v>
      </c>
      <c r="I680" s="53">
        <v>2131.360020502455</v>
      </c>
      <c r="J680" s="53">
        <v>5540.8016192834993</v>
      </c>
      <c r="K680" s="24">
        <v>0.63250967911231071</v>
      </c>
      <c r="L680" s="24">
        <v>0.81357958468310032</v>
      </c>
      <c r="M680" s="24">
        <v>0.88175698471806618</v>
      </c>
      <c r="O680" s="53">
        <v>3.7705134832025231</v>
      </c>
      <c r="P680" s="54">
        <v>19141.249043031268</v>
      </c>
      <c r="Q680" s="54">
        <v>4.0140631176445085</v>
      </c>
      <c r="R680" s="54">
        <v>33907.049552352226</v>
      </c>
      <c r="S680" s="54">
        <v>0.24354963444198541</v>
      </c>
      <c r="T680" s="54">
        <v>14765.800509320958</v>
      </c>
      <c r="V680" s="69">
        <f t="shared" si="62"/>
        <v>734961.44759747339</v>
      </c>
      <c r="W680" s="69">
        <f t="shared" si="63"/>
        <v>768905.57397654955</v>
      </c>
      <c r="X680" s="69">
        <f t="shared" si="60"/>
        <v>33944.126379076122</v>
      </c>
      <c r="Z680" s="68">
        <f t="shared" si="64"/>
        <v>0</v>
      </c>
      <c r="AA680" s="68">
        <f t="shared" si="65"/>
        <v>1</v>
      </c>
      <c r="AB680" s="68">
        <f t="shared" si="61"/>
        <v>1</v>
      </c>
    </row>
    <row r="681" spans="1:28" x14ac:dyDescent="0.25">
      <c r="A681">
        <v>676</v>
      </c>
      <c r="C681" s="24">
        <v>4.0109236028451623E-3</v>
      </c>
      <c r="D681" s="24">
        <v>1.432083940962281E-3</v>
      </c>
      <c r="E681" s="24">
        <v>1.0491293333089576E-23</v>
      </c>
      <c r="F681" s="24">
        <v>6.1435032616685703E-9</v>
      </c>
      <c r="G681" s="24">
        <v>0.51163820789067771</v>
      </c>
      <c r="H681" s="24">
        <v>0.22977784176985505</v>
      </c>
      <c r="I681" s="53">
        <v>1444.2829694843124</v>
      </c>
      <c r="J681" s="53">
        <v>4542.5455094269046</v>
      </c>
      <c r="K681" s="24">
        <v>0.66926003184109961</v>
      </c>
      <c r="L681" s="24">
        <v>0.88943324018425629</v>
      </c>
      <c r="M681" s="24">
        <v>0.88277560211681005</v>
      </c>
      <c r="O681" s="53">
        <v>4.2243681704486438</v>
      </c>
      <c r="P681" s="54">
        <v>16128.359960627036</v>
      </c>
      <c r="Q681" s="54">
        <v>4.3814664886358834</v>
      </c>
      <c r="R681" s="54">
        <v>31363.395527305376</v>
      </c>
      <c r="S681" s="54">
        <v>0.15709831818723963</v>
      </c>
      <c r="T681" s="54">
        <v>15235.03556667834</v>
      </c>
      <c r="V681" s="69">
        <f t="shared" si="62"/>
        <v>828745.27412910166</v>
      </c>
      <c r="W681" s="69">
        <f t="shared" si="63"/>
        <v>844929.90219987126</v>
      </c>
      <c r="X681" s="69">
        <f t="shared" si="60"/>
        <v>16184.628070769584</v>
      </c>
      <c r="Z681" s="68">
        <f t="shared" si="64"/>
        <v>0</v>
      </c>
      <c r="AA681" s="68">
        <f t="shared" si="65"/>
        <v>1</v>
      </c>
      <c r="AB681" s="68">
        <f t="shared" si="61"/>
        <v>1</v>
      </c>
    </row>
    <row r="682" spans="1:28" x14ac:dyDescent="0.25">
      <c r="A682">
        <v>677</v>
      </c>
      <c r="C682" s="24">
        <v>2.7287247592407803E-8</v>
      </c>
      <c r="D682" s="24">
        <v>7.8765279544800091E-5</v>
      </c>
      <c r="E682" s="24">
        <v>7.8119860580372347E-8</v>
      </c>
      <c r="F682" s="24">
        <v>4.5374210231761742E-29</v>
      </c>
      <c r="G682" s="24">
        <v>0.51870413180176977</v>
      </c>
      <c r="H682" s="24">
        <v>0.1749979231946327</v>
      </c>
      <c r="I682" s="53">
        <v>2006.0738556725635</v>
      </c>
      <c r="J682" s="53">
        <v>5763.79477228409</v>
      </c>
      <c r="K682" s="24">
        <v>0.75406355061193142</v>
      </c>
      <c r="L682" s="24">
        <v>0.77224116554050715</v>
      </c>
      <c r="M682" s="24">
        <v>0.68078940978878966</v>
      </c>
      <c r="O682" s="53">
        <v>3.8423504598756728</v>
      </c>
      <c r="P682" s="54">
        <v>12648.971624768086</v>
      </c>
      <c r="Q682" s="54">
        <v>3.8573088542199998</v>
      </c>
      <c r="R682" s="54">
        <v>23549.840790567767</v>
      </c>
      <c r="S682" s="54">
        <v>1.4958394344326997E-2</v>
      </c>
      <c r="T682" s="54">
        <v>10900.869165799681</v>
      </c>
      <c r="V682" s="69">
        <f t="shared" si="62"/>
        <v>755821.12035036646</v>
      </c>
      <c r="W682" s="69">
        <f t="shared" si="63"/>
        <v>747911.93005343212</v>
      </c>
      <c r="X682" s="69">
        <f t="shared" si="60"/>
        <v>-7909.1902969342809</v>
      </c>
      <c r="Z682" s="68">
        <f t="shared" si="64"/>
        <v>1</v>
      </c>
      <c r="AA682" s="68">
        <f t="shared" si="65"/>
        <v>0</v>
      </c>
      <c r="AB682" s="68">
        <f t="shared" si="61"/>
        <v>0</v>
      </c>
    </row>
    <row r="683" spans="1:28" x14ac:dyDescent="0.25">
      <c r="A683">
        <v>678</v>
      </c>
      <c r="C683" s="24">
        <v>9.4140298912526177E-5</v>
      </c>
      <c r="D683" s="24">
        <v>2.7147371090663341E-3</v>
      </c>
      <c r="E683" s="24">
        <v>1.8311916769523522E-40</v>
      </c>
      <c r="F683" s="24">
        <v>4.5297423075124472E-27</v>
      </c>
      <c r="G683" s="24">
        <v>0.69424019207381193</v>
      </c>
      <c r="H683" s="24">
        <v>0.2387337433713681</v>
      </c>
      <c r="I683" s="53">
        <v>1999.1097157417614</v>
      </c>
      <c r="J683" s="53">
        <v>5259.9881518600941</v>
      </c>
      <c r="K683" s="24">
        <v>0.70597856577535778</v>
      </c>
      <c r="L683" s="24">
        <v>0.97003131642349971</v>
      </c>
      <c r="M683" s="24">
        <v>0.88334577660919722</v>
      </c>
      <c r="O683" s="53">
        <v>4.3472185171243467</v>
      </c>
      <c r="P683" s="54">
        <v>21343.462449461338</v>
      </c>
      <c r="Q683" s="54">
        <v>4.7659648600074034</v>
      </c>
      <c r="R683" s="54">
        <v>25448.964234921601</v>
      </c>
      <c r="S683" s="54">
        <v>0.41874634288305668</v>
      </c>
      <c r="T683" s="54">
        <v>4105.5017854602629</v>
      </c>
      <c r="V683" s="69">
        <f t="shared" si="62"/>
        <v>848100.240975408</v>
      </c>
      <c r="W683" s="69">
        <f t="shared" si="63"/>
        <v>927744.00776655902</v>
      </c>
      <c r="X683" s="69">
        <f t="shared" si="60"/>
        <v>79643.766791151065</v>
      </c>
      <c r="Z683" s="68">
        <f t="shared" si="64"/>
        <v>0</v>
      </c>
      <c r="AA683" s="68">
        <f t="shared" si="65"/>
        <v>1</v>
      </c>
      <c r="AB683" s="68">
        <f t="shared" si="61"/>
        <v>1</v>
      </c>
    </row>
    <row r="684" spans="1:28" x14ac:dyDescent="0.25">
      <c r="A684">
        <v>679</v>
      </c>
      <c r="C684" s="24">
        <v>1.5091670993272466E-4</v>
      </c>
      <c r="D684" s="24">
        <v>1.3042315762970362E-3</v>
      </c>
      <c r="E684" s="24">
        <v>3.5322407382152869E-16</v>
      </c>
      <c r="F684" s="24">
        <v>8.5993967502417945E-10</v>
      </c>
      <c r="G684" s="24">
        <v>0.62168428125626962</v>
      </c>
      <c r="H684" s="24">
        <v>0.21495966543076883</v>
      </c>
      <c r="I684" s="53">
        <v>2046.5897210789285</v>
      </c>
      <c r="J684" s="53">
        <v>5743.8546888639794</v>
      </c>
      <c r="K684" s="24">
        <v>0.69303721272535601</v>
      </c>
      <c r="L684" s="24">
        <v>0.84110088951733675</v>
      </c>
      <c r="M684" s="24">
        <v>0.80912815184303954</v>
      </c>
      <c r="O684" s="53">
        <v>3.984742465306037</v>
      </c>
      <c r="P684" s="54">
        <v>17171.084258031726</v>
      </c>
      <c r="Q684" s="54">
        <v>4.1647292176934227</v>
      </c>
      <c r="R684" s="54">
        <v>31848.004033871242</v>
      </c>
      <c r="S684" s="54">
        <v>0.17998675238738571</v>
      </c>
      <c r="T684" s="54">
        <v>14676.919775839517</v>
      </c>
      <c r="V684" s="69">
        <f t="shared" si="62"/>
        <v>779777.40880317567</v>
      </c>
      <c r="W684" s="69">
        <f t="shared" si="63"/>
        <v>801097.83950481331</v>
      </c>
      <c r="X684" s="69">
        <f t="shared" si="60"/>
        <v>21320.430701637626</v>
      </c>
      <c r="Z684" s="68">
        <f t="shared" si="64"/>
        <v>0</v>
      </c>
      <c r="AA684" s="68">
        <f t="shared" si="65"/>
        <v>1</v>
      </c>
      <c r="AB684" s="68">
        <f t="shared" si="61"/>
        <v>1</v>
      </c>
    </row>
    <row r="685" spans="1:28" x14ac:dyDescent="0.25">
      <c r="A685">
        <v>680</v>
      </c>
      <c r="C685" s="24">
        <v>1.846465455166979E-3</v>
      </c>
      <c r="D685" s="24">
        <v>1.5749230723241856E-4</v>
      </c>
      <c r="E685" s="24">
        <v>6.8200678438046225E-10</v>
      </c>
      <c r="F685" s="24">
        <v>1.2733650858830239E-57</v>
      </c>
      <c r="G685" s="24">
        <v>0.62051158631477876</v>
      </c>
      <c r="H685" s="24">
        <v>0.33200846376460857</v>
      </c>
      <c r="I685" s="53">
        <v>1651.7188005869482</v>
      </c>
      <c r="J685" s="53">
        <v>4648.6952454724315</v>
      </c>
      <c r="K685" s="24">
        <v>0.60945168998487276</v>
      </c>
      <c r="L685" s="24">
        <v>0.78043308893879137</v>
      </c>
      <c r="M685" s="24">
        <v>0.9184153726884835</v>
      </c>
      <c r="O685" s="53">
        <v>3.6506680374210765</v>
      </c>
      <c r="P685" s="54">
        <v>16955.399243231961</v>
      </c>
      <c r="Q685" s="54">
        <v>3.8176728040495203</v>
      </c>
      <c r="R685" s="54">
        <v>45867.902660197098</v>
      </c>
      <c r="S685" s="54">
        <v>0.16700476662844377</v>
      </c>
      <c r="T685" s="54">
        <v>28912.503416965137</v>
      </c>
      <c r="V685" s="69">
        <f t="shared" si="62"/>
        <v>713178.20824098331</v>
      </c>
      <c r="W685" s="69">
        <f t="shared" si="63"/>
        <v>717666.6581497069</v>
      </c>
      <c r="X685" s="69">
        <f t="shared" si="60"/>
        <v>4488.4499087236145</v>
      </c>
      <c r="Z685" s="68">
        <f t="shared" si="64"/>
        <v>0</v>
      </c>
      <c r="AA685" s="68">
        <f t="shared" si="65"/>
        <v>1</v>
      </c>
      <c r="AB685" s="68">
        <f t="shared" si="61"/>
        <v>1</v>
      </c>
    </row>
    <row r="686" spans="1:28" x14ac:dyDescent="0.25">
      <c r="A686">
        <v>681</v>
      </c>
      <c r="C686" s="24">
        <v>3.7369388241333167E-5</v>
      </c>
      <c r="D686" s="24">
        <v>2.0179061189323777E-3</v>
      </c>
      <c r="E686" s="24">
        <v>2.8394203357277347E-49</v>
      </c>
      <c r="F686" s="24">
        <v>3.9502750519559982E-6</v>
      </c>
      <c r="G686" s="24">
        <v>0.60442105409871139</v>
      </c>
      <c r="H686" s="24">
        <v>0.30163804600674604</v>
      </c>
      <c r="I686" s="53">
        <v>2003.2129618315814</v>
      </c>
      <c r="J686" s="53">
        <v>5090.5056447342295</v>
      </c>
      <c r="K686" s="24">
        <v>0.73772583177320483</v>
      </c>
      <c r="L686" s="24">
        <v>0.89120198529607464</v>
      </c>
      <c r="M686" s="24">
        <v>0.71017551850148164</v>
      </c>
      <c r="O686" s="53">
        <v>4.2403627207283394</v>
      </c>
      <c r="P686" s="54">
        <v>18811.779751291189</v>
      </c>
      <c r="Q686" s="54">
        <v>4.387472658938381</v>
      </c>
      <c r="R686" s="54">
        <v>57167.742226738868</v>
      </c>
      <c r="S686" s="54">
        <v>0.14710993821004159</v>
      </c>
      <c r="T686" s="54">
        <v>38355.962475447683</v>
      </c>
      <c r="V686" s="69">
        <f t="shared" si="62"/>
        <v>829260.76439437678</v>
      </c>
      <c r="W686" s="69">
        <f t="shared" si="63"/>
        <v>820326.78956093732</v>
      </c>
      <c r="X686" s="69">
        <f t="shared" si="60"/>
        <v>-8933.9748334393662</v>
      </c>
      <c r="Z686" s="68">
        <f t="shared" si="64"/>
        <v>1</v>
      </c>
      <c r="AA686" s="68">
        <f t="shared" si="65"/>
        <v>0</v>
      </c>
      <c r="AB686" s="68">
        <f t="shared" si="61"/>
        <v>0</v>
      </c>
    </row>
    <row r="687" spans="1:28" x14ac:dyDescent="0.25">
      <c r="A687">
        <v>682</v>
      </c>
      <c r="C687" s="24">
        <v>8.7572661998436274E-5</v>
      </c>
      <c r="D687" s="24">
        <v>1.8358482233484796E-3</v>
      </c>
      <c r="E687" s="24">
        <v>3.1719013291488702E-14</v>
      </c>
      <c r="F687" s="24">
        <v>5.9952043329758453E-15</v>
      </c>
      <c r="G687" s="24">
        <v>0.47310748170253814</v>
      </c>
      <c r="H687" s="24">
        <v>0.19929552779922655</v>
      </c>
      <c r="I687" s="53">
        <v>2259.353706590879</v>
      </c>
      <c r="J687" s="53">
        <v>6191.1892696767318</v>
      </c>
      <c r="K687" s="24">
        <v>0.80289437407740583</v>
      </c>
      <c r="L687" s="24">
        <v>0.95526533984513196</v>
      </c>
      <c r="M687" s="24">
        <v>0.97738857788605404</v>
      </c>
      <c r="O687" s="53">
        <v>4.6427678207189453</v>
      </c>
      <c r="P687" s="54">
        <v>12426.551611750745</v>
      </c>
      <c r="Q687" s="54">
        <v>4.738654453118377</v>
      </c>
      <c r="R687" s="54">
        <v>38418.488338349816</v>
      </c>
      <c r="S687" s="54">
        <v>9.5886632399431626E-2</v>
      </c>
      <c r="T687" s="54">
        <v>25991.936726599073</v>
      </c>
      <c r="V687" s="69">
        <f t="shared" si="62"/>
        <v>916127.01253203838</v>
      </c>
      <c r="W687" s="69">
        <f t="shared" si="63"/>
        <v>909312.40228532557</v>
      </c>
      <c r="X687" s="69">
        <f t="shared" si="60"/>
        <v>-6814.6102467127494</v>
      </c>
      <c r="Z687" s="68">
        <f t="shared" si="64"/>
        <v>1</v>
      </c>
      <c r="AA687" s="68">
        <f t="shared" si="65"/>
        <v>0</v>
      </c>
      <c r="AB687" s="68">
        <f t="shared" si="61"/>
        <v>0</v>
      </c>
    </row>
    <row r="688" spans="1:28" x14ac:dyDescent="0.25">
      <c r="A688">
        <v>683</v>
      </c>
      <c r="C688" s="24">
        <v>1.7523540988158448E-2</v>
      </c>
      <c r="D688" s="24">
        <v>6.2368077215064609E-4</v>
      </c>
      <c r="E688" s="24">
        <v>6.178764127966474E-3</v>
      </c>
      <c r="F688" s="24">
        <v>4.4399848353471327E-8</v>
      </c>
      <c r="G688" s="24">
        <v>0.56333125208059887</v>
      </c>
      <c r="H688" s="24">
        <v>0.31055555447829186</v>
      </c>
      <c r="I688" s="53">
        <v>1834.5322413516708</v>
      </c>
      <c r="J688" s="53">
        <v>5154.6379596800334</v>
      </c>
      <c r="K688" s="24">
        <v>0.65898790701495535</v>
      </c>
      <c r="L688" s="24">
        <v>0.83115407353755788</v>
      </c>
      <c r="M688" s="24">
        <v>0.90969849276689185</v>
      </c>
      <c r="O688" s="53">
        <v>3.9136974212066589</v>
      </c>
      <c r="P688" s="54">
        <v>16341.171849030128</v>
      </c>
      <c r="Q688" s="54">
        <v>4.0787664149258536</v>
      </c>
      <c r="R688" s="54">
        <v>60225.272307310326</v>
      </c>
      <c r="S688" s="54">
        <v>0.1650689937191947</v>
      </c>
      <c r="T688" s="54">
        <v>43884.100458280198</v>
      </c>
      <c r="V688" s="69">
        <f t="shared" si="62"/>
        <v>766398.31239230162</v>
      </c>
      <c r="W688" s="69">
        <f t="shared" si="63"/>
        <v>755528.01067786035</v>
      </c>
      <c r="X688" s="69">
        <f t="shared" si="60"/>
        <v>-10870.301714441259</v>
      </c>
      <c r="Z688" s="68">
        <f t="shared" si="64"/>
        <v>1</v>
      </c>
      <c r="AA688" s="68">
        <f t="shared" si="65"/>
        <v>0</v>
      </c>
      <c r="AB688" s="68">
        <f t="shared" si="61"/>
        <v>0</v>
      </c>
    </row>
    <row r="689" spans="1:28" x14ac:dyDescent="0.25">
      <c r="A689">
        <v>684</v>
      </c>
      <c r="C689" s="24">
        <v>3.7885589168611971E-8</v>
      </c>
      <c r="D689" s="24">
        <v>8.2533369170530941E-5</v>
      </c>
      <c r="E689" s="24">
        <v>3.5000891074332685E-12</v>
      </c>
      <c r="F689" s="24">
        <v>2.6485624804450936E-8</v>
      </c>
      <c r="G689" s="24">
        <v>0.57539359552118419</v>
      </c>
      <c r="H689" s="24">
        <v>0.26483008409021702</v>
      </c>
      <c r="I689" s="53">
        <v>2023.9564992980925</v>
      </c>
      <c r="J689" s="53">
        <v>5747.4119046982578</v>
      </c>
      <c r="K689" s="24">
        <v>0.60672335582723114</v>
      </c>
      <c r="L689" s="24">
        <v>0.73200465028641604</v>
      </c>
      <c r="M689" s="24">
        <v>0.81944552172400564</v>
      </c>
      <c r="O689" s="53">
        <v>3.5009593512849535</v>
      </c>
      <c r="P689" s="54">
        <v>18728.106008064824</v>
      </c>
      <c r="Q689" s="54">
        <v>3.6149974188658107</v>
      </c>
      <c r="R689" s="54">
        <v>25960.814933340233</v>
      </c>
      <c r="S689" s="54">
        <v>0.11403806758085722</v>
      </c>
      <c r="T689" s="54">
        <v>7232.7089252754085</v>
      </c>
      <c r="V689" s="69">
        <f t="shared" si="62"/>
        <v>681463.76424892584</v>
      </c>
      <c r="W689" s="69">
        <f t="shared" si="63"/>
        <v>697038.66883982194</v>
      </c>
      <c r="X689" s="69">
        <f t="shared" si="60"/>
        <v>15574.904590896036</v>
      </c>
      <c r="Z689" s="68">
        <f t="shared" si="64"/>
        <v>0</v>
      </c>
      <c r="AA689" s="68">
        <f t="shared" si="65"/>
        <v>1</v>
      </c>
      <c r="AB689" s="68">
        <f t="shared" si="61"/>
        <v>1</v>
      </c>
    </row>
    <row r="690" spans="1:28" x14ac:dyDescent="0.25">
      <c r="A690">
        <v>685</v>
      </c>
      <c r="C690" s="24">
        <v>7.9982111497889137E-11</v>
      </c>
      <c r="D690" s="24">
        <v>3.3996224002233276E-4</v>
      </c>
      <c r="E690" s="24">
        <v>1.2713385899587593E-11</v>
      </c>
      <c r="F690" s="24">
        <v>3.3132387951370446E-51</v>
      </c>
      <c r="G690" s="24">
        <v>0.59271533843502833</v>
      </c>
      <c r="H690" s="24">
        <v>0.32503929224305406</v>
      </c>
      <c r="I690" s="53">
        <v>1623.4273851803819</v>
      </c>
      <c r="J690" s="53">
        <v>4891.6038971144226</v>
      </c>
      <c r="K690" s="24">
        <v>0.52799228663625419</v>
      </c>
      <c r="L690" s="24">
        <v>0.76053904362233271</v>
      </c>
      <c r="M690" s="24">
        <v>0.85710815972397836</v>
      </c>
      <c r="O690" s="53">
        <v>3.4890298644283804</v>
      </c>
      <c r="P690" s="54">
        <v>15084.15639821544</v>
      </c>
      <c r="Q690" s="54">
        <v>3.6913343655768038</v>
      </c>
      <c r="R690" s="54">
        <v>55765.855173484</v>
      </c>
      <c r="S690" s="54">
        <v>0.20230450114842347</v>
      </c>
      <c r="T690" s="54">
        <v>40681.69877526856</v>
      </c>
      <c r="V690" s="69">
        <f t="shared" si="62"/>
        <v>682721.81648746063</v>
      </c>
      <c r="W690" s="69">
        <f t="shared" si="63"/>
        <v>682501.01794187678</v>
      </c>
      <c r="X690" s="69">
        <f t="shared" si="60"/>
        <v>-220.79854558386432</v>
      </c>
      <c r="Z690" s="68">
        <f t="shared" si="64"/>
        <v>1</v>
      </c>
      <c r="AA690" s="68">
        <f t="shared" si="65"/>
        <v>0</v>
      </c>
      <c r="AB690" s="68">
        <f t="shared" si="61"/>
        <v>0</v>
      </c>
    </row>
    <row r="691" spans="1:28" x14ac:dyDescent="0.25">
      <c r="A691">
        <v>686</v>
      </c>
      <c r="C691" s="24">
        <v>9.3984261700582605E-3</v>
      </c>
      <c r="D691" s="24">
        <v>5.7337131259107554E-3</v>
      </c>
      <c r="E691" s="24">
        <v>4.9910031797805619E-24</v>
      </c>
      <c r="F691" s="24">
        <v>1.1818645015917419E-31</v>
      </c>
      <c r="G691" s="24">
        <v>0.58201381127337415</v>
      </c>
      <c r="H691" s="24">
        <v>0.25504461184741678</v>
      </c>
      <c r="I691" s="53">
        <v>2084.1028752838552</v>
      </c>
      <c r="J691" s="53">
        <v>4817.7488322717691</v>
      </c>
      <c r="K691" s="24">
        <v>0.54119168315388033</v>
      </c>
      <c r="L691" s="24">
        <v>0.91160002734249423</v>
      </c>
      <c r="M691" s="24">
        <v>0.83184849138313799</v>
      </c>
      <c r="O691" s="53">
        <v>4.0700433221804664</v>
      </c>
      <c r="P691" s="54">
        <v>20918.463834478502</v>
      </c>
      <c r="Q691" s="54">
        <v>4.4284639464806359</v>
      </c>
      <c r="R691" s="54">
        <v>31823.427833750786</v>
      </c>
      <c r="S691" s="54">
        <v>0.35842062430016952</v>
      </c>
      <c r="T691" s="54">
        <v>10904.963999272284</v>
      </c>
      <c r="V691" s="69">
        <f t="shared" si="62"/>
        <v>793090.20060161478</v>
      </c>
      <c r="W691" s="69">
        <f t="shared" si="63"/>
        <v>853869.36146237631</v>
      </c>
      <c r="X691" s="69">
        <f t="shared" si="60"/>
        <v>60779.160860761622</v>
      </c>
      <c r="Z691" s="68">
        <f t="shared" si="64"/>
        <v>0</v>
      </c>
      <c r="AA691" s="68">
        <f t="shared" si="65"/>
        <v>1</v>
      </c>
      <c r="AB691" s="68">
        <f t="shared" si="61"/>
        <v>1</v>
      </c>
    </row>
    <row r="692" spans="1:28" x14ac:dyDescent="0.25">
      <c r="A692">
        <v>687</v>
      </c>
      <c r="C692" s="24">
        <v>6.4147881777976146E-2</v>
      </c>
      <c r="D692" s="24">
        <v>6.6606742512813621E-3</v>
      </c>
      <c r="E692" s="24">
        <v>6.6350748494248594E-39</v>
      </c>
      <c r="F692" s="24">
        <v>8.4380218572698222E-44</v>
      </c>
      <c r="G692" s="24">
        <v>0.441266904579523</v>
      </c>
      <c r="H692" s="24">
        <v>0.28352696887711348</v>
      </c>
      <c r="I692" s="53">
        <v>1839.5448989225092</v>
      </c>
      <c r="J692" s="53">
        <v>3713.8592179497059</v>
      </c>
      <c r="K692" s="24">
        <v>0.79918569093017644</v>
      </c>
      <c r="L692" s="24">
        <v>0.85197280473463632</v>
      </c>
      <c r="M692" s="24">
        <v>0.90543266222910301</v>
      </c>
      <c r="O692" s="53">
        <v>4.2447944485443836</v>
      </c>
      <c r="P692" s="54">
        <v>14271.08259017311</v>
      </c>
      <c r="Q692" s="54">
        <v>4.2413016967855413</v>
      </c>
      <c r="R692" s="54">
        <v>42172.429430085234</v>
      </c>
      <c r="S692" s="54">
        <v>-3.4927517588423385E-3</v>
      </c>
      <c r="T692" s="54">
        <v>27901.346839912127</v>
      </c>
      <c r="V692" s="69">
        <f t="shared" si="62"/>
        <v>834687.80711870361</v>
      </c>
      <c r="W692" s="69">
        <f t="shared" si="63"/>
        <v>806087.90992702299</v>
      </c>
      <c r="X692" s="69">
        <f t="shared" si="60"/>
        <v>-28599.897191680593</v>
      </c>
      <c r="Z692" s="68">
        <f t="shared" si="64"/>
        <v>1</v>
      </c>
      <c r="AA692" s="68">
        <f t="shared" si="65"/>
        <v>0</v>
      </c>
      <c r="AB692" s="68">
        <f t="shared" si="61"/>
        <v>0</v>
      </c>
    </row>
    <row r="693" spans="1:28" x14ac:dyDescent="0.25">
      <c r="A693">
        <v>688</v>
      </c>
      <c r="C693" s="24">
        <v>4.3640366877695428E-6</v>
      </c>
      <c r="D693" s="24">
        <v>1.846634161601246E-3</v>
      </c>
      <c r="E693" s="24">
        <v>2.0035115851912977E-6</v>
      </c>
      <c r="F693" s="24">
        <v>2.2878191996422714E-7</v>
      </c>
      <c r="G693" s="24">
        <v>0.52780732161357791</v>
      </c>
      <c r="H693" s="24">
        <v>0.21794777045388192</v>
      </c>
      <c r="I693" s="53">
        <v>2108.4132893456867</v>
      </c>
      <c r="J693" s="53">
        <v>5015.3583037261915</v>
      </c>
      <c r="K693" s="24">
        <v>0.63421518264948862</v>
      </c>
      <c r="L693" s="24">
        <v>0.75957695820451154</v>
      </c>
      <c r="M693" s="24">
        <v>0.86819069908623248</v>
      </c>
      <c r="O693" s="53">
        <v>3.6634890658907069</v>
      </c>
      <c r="P693" s="54">
        <v>15126.603596929002</v>
      </c>
      <c r="Q693" s="54">
        <v>3.7641751202860672</v>
      </c>
      <c r="R693" s="54">
        <v>34487.264273973</v>
      </c>
      <c r="S693" s="54">
        <v>0.10068605439536027</v>
      </c>
      <c r="T693" s="54">
        <v>19360.660677043998</v>
      </c>
      <c r="V693" s="69">
        <f t="shared" si="62"/>
        <v>717571.20958121237</v>
      </c>
      <c r="W693" s="69">
        <f t="shared" si="63"/>
        <v>718347.7597832405</v>
      </c>
      <c r="X693" s="69">
        <f t="shared" si="60"/>
        <v>776.55020202805463</v>
      </c>
      <c r="Z693" s="68">
        <f t="shared" si="64"/>
        <v>0</v>
      </c>
      <c r="AA693" s="68">
        <f t="shared" si="65"/>
        <v>1</v>
      </c>
      <c r="AB693" s="68">
        <f t="shared" si="61"/>
        <v>1</v>
      </c>
    </row>
    <row r="694" spans="1:28" x14ac:dyDescent="0.25">
      <c r="A694">
        <v>689</v>
      </c>
      <c r="C694" s="24">
        <v>7.0084648859464194E-3</v>
      </c>
      <c r="D694" s="24">
        <v>1.816300237074131E-3</v>
      </c>
      <c r="E694" s="24">
        <v>2.5174118006164476E-15</v>
      </c>
      <c r="F694" s="24">
        <v>2.6967516459498894E-84</v>
      </c>
      <c r="G694" s="24">
        <v>0.52801159844169976</v>
      </c>
      <c r="H694" s="24">
        <v>0.17900108389980895</v>
      </c>
      <c r="I694" s="53">
        <v>1669.4215606504281</v>
      </c>
      <c r="J694" s="53">
        <v>3746.1764504747111</v>
      </c>
      <c r="K694" s="24">
        <v>0.81338040917381971</v>
      </c>
      <c r="L694" s="24">
        <v>0.96702178725726284</v>
      </c>
      <c r="M694" s="24">
        <v>0.95400991586103534</v>
      </c>
      <c r="O694" s="53">
        <v>4.6695261761866202</v>
      </c>
      <c r="P694" s="54">
        <v>16474.924453360458</v>
      </c>
      <c r="Q694" s="54">
        <v>4.8014792516514628</v>
      </c>
      <c r="R694" s="54">
        <v>22040.662544768813</v>
      </c>
      <c r="S694" s="54">
        <v>0.13195307546484258</v>
      </c>
      <c r="T694" s="54">
        <v>5565.7380914083551</v>
      </c>
      <c r="V694" s="69">
        <f t="shared" si="62"/>
        <v>917430.31078396353</v>
      </c>
      <c r="W694" s="69">
        <f t="shared" si="63"/>
        <v>938255.18778552383</v>
      </c>
      <c r="X694" s="69">
        <f t="shared" si="60"/>
        <v>20824.877001560162</v>
      </c>
      <c r="Z694" s="68">
        <f t="shared" si="64"/>
        <v>0</v>
      </c>
      <c r="AA694" s="68">
        <f t="shared" si="65"/>
        <v>1</v>
      </c>
      <c r="AB694" s="68">
        <f t="shared" si="61"/>
        <v>1</v>
      </c>
    </row>
    <row r="695" spans="1:28" x14ac:dyDescent="0.25">
      <c r="A695">
        <v>690</v>
      </c>
      <c r="C695" s="24">
        <v>1.153123844915502E-5</v>
      </c>
      <c r="D695" s="24">
        <v>3.0257220833808957E-5</v>
      </c>
      <c r="E695" s="24">
        <v>1.7602665156677424E-61</v>
      </c>
      <c r="F695" s="24">
        <v>4.9071857688431919E-14</v>
      </c>
      <c r="G695" s="24">
        <v>0.66187755418933447</v>
      </c>
      <c r="H695" s="24">
        <v>0.20350066114628673</v>
      </c>
      <c r="I695" s="53">
        <v>1724.5810782328824</v>
      </c>
      <c r="J695" s="53">
        <v>4834.7200872766734</v>
      </c>
      <c r="K695" s="24">
        <v>0.62568821957519738</v>
      </c>
      <c r="L695" s="24">
        <v>0.90734589245534836</v>
      </c>
      <c r="M695" s="24">
        <v>0.89833122693919254</v>
      </c>
      <c r="O695" s="53">
        <v>4.05541590550704</v>
      </c>
      <c r="P695" s="54">
        <v>20381.036648851474</v>
      </c>
      <c r="Q695" s="54">
        <v>4.4647911567473777</v>
      </c>
      <c r="R695" s="54">
        <v>27829.613119143924</v>
      </c>
      <c r="S695" s="54">
        <v>0.40937525124033769</v>
      </c>
      <c r="T695" s="54">
        <v>7448.5764702924498</v>
      </c>
      <c r="V695" s="69">
        <f t="shared" si="62"/>
        <v>790702.1444525565</v>
      </c>
      <c r="W695" s="69">
        <f t="shared" si="63"/>
        <v>865128.61823033169</v>
      </c>
      <c r="X695" s="69">
        <f t="shared" si="60"/>
        <v>74426.473777775085</v>
      </c>
      <c r="Z695" s="68">
        <f t="shared" si="64"/>
        <v>0</v>
      </c>
      <c r="AA695" s="68">
        <f t="shared" si="65"/>
        <v>1</v>
      </c>
      <c r="AB695" s="68">
        <f t="shared" si="61"/>
        <v>1</v>
      </c>
    </row>
    <row r="696" spans="1:28" x14ac:dyDescent="0.25">
      <c r="A696">
        <v>691</v>
      </c>
      <c r="C696" s="24">
        <v>6.0410370778802479E-12</v>
      </c>
      <c r="D696" s="24">
        <v>2.0077610125373013E-3</v>
      </c>
      <c r="E696" s="24">
        <v>1.7257516605750922E-5</v>
      </c>
      <c r="F696" s="24">
        <v>2.595141518561439E-3</v>
      </c>
      <c r="G696" s="24">
        <v>0.66806654955817413</v>
      </c>
      <c r="H696" s="24">
        <v>0.23046213593078424</v>
      </c>
      <c r="I696" s="53">
        <v>2231.8960873055003</v>
      </c>
      <c r="J696" s="53">
        <v>4258.7304895333391</v>
      </c>
      <c r="K696" s="24">
        <v>0.60923791125751547</v>
      </c>
      <c r="L696" s="24">
        <v>0.92864880014800444</v>
      </c>
      <c r="M696" s="24">
        <v>0.80220062138456227</v>
      </c>
      <c r="O696" s="53">
        <v>4.0857732641889033</v>
      </c>
      <c r="P696" s="54">
        <v>21781.029688169878</v>
      </c>
      <c r="Q696" s="54">
        <v>4.5313765135029334</v>
      </c>
      <c r="R696" s="54">
        <v>33997.672450312995</v>
      </c>
      <c r="S696" s="54">
        <v>0.44560324931403006</v>
      </c>
      <c r="T696" s="54">
        <v>12216.642762143118</v>
      </c>
      <c r="V696" s="69">
        <f t="shared" si="62"/>
        <v>795373.62314961082</v>
      </c>
      <c r="W696" s="69">
        <f t="shared" si="63"/>
        <v>872277.63025027362</v>
      </c>
      <c r="X696" s="69">
        <f t="shared" si="60"/>
        <v>76904.007100662886</v>
      </c>
      <c r="Z696" s="68">
        <f t="shared" si="64"/>
        <v>0</v>
      </c>
      <c r="AA696" s="68">
        <f t="shared" si="65"/>
        <v>1</v>
      </c>
      <c r="AB696" s="68">
        <f t="shared" si="61"/>
        <v>1</v>
      </c>
    </row>
    <row r="697" spans="1:28" x14ac:dyDescent="0.25">
      <c r="A697">
        <v>692</v>
      </c>
      <c r="C697" s="24">
        <v>8.6012618898179127E-5</v>
      </c>
      <c r="D697" s="24">
        <v>1.7090252789867533E-3</v>
      </c>
      <c r="E697" s="24">
        <v>1.2830819623289692E-18</v>
      </c>
      <c r="F697" s="24">
        <v>7.8183183946922696E-6</v>
      </c>
      <c r="G697" s="24">
        <v>0.59194228330762888</v>
      </c>
      <c r="H697" s="24">
        <v>0.18519364022782592</v>
      </c>
      <c r="I697" s="53">
        <v>1734.4171975126826</v>
      </c>
      <c r="J697" s="53">
        <v>4659.7046370650378</v>
      </c>
      <c r="K697" s="24">
        <v>0.64213841501539615</v>
      </c>
      <c r="L697" s="24">
        <v>0.93071705991927467</v>
      </c>
      <c r="M697" s="24">
        <v>0.8343204870305283</v>
      </c>
      <c r="O697" s="53">
        <v>4.2653132973655286</v>
      </c>
      <c r="P697" s="54">
        <v>17657.031602985098</v>
      </c>
      <c r="Q697" s="54">
        <v>4.5870022371615402</v>
      </c>
      <c r="R697" s="54">
        <v>37675.122559622352</v>
      </c>
      <c r="S697" s="54">
        <v>0.32168893979601165</v>
      </c>
      <c r="T697" s="54">
        <v>20018.090956637254</v>
      </c>
      <c r="V697" s="69">
        <f t="shared" si="62"/>
        <v>835405.62787012057</v>
      </c>
      <c r="W697" s="69">
        <f t="shared" si="63"/>
        <v>879725.3248726856</v>
      </c>
      <c r="X697" s="69">
        <f t="shared" si="60"/>
        <v>44319.697002565081</v>
      </c>
      <c r="Z697" s="68">
        <f t="shared" si="64"/>
        <v>0</v>
      </c>
      <c r="AA697" s="68">
        <f t="shared" si="65"/>
        <v>1</v>
      </c>
      <c r="AB697" s="68">
        <f t="shared" si="61"/>
        <v>1</v>
      </c>
    </row>
    <row r="698" spans="1:28" x14ac:dyDescent="0.25">
      <c r="A698">
        <v>693</v>
      </c>
      <c r="C698" s="24">
        <v>2.2160930429057018E-7</v>
      </c>
      <c r="D698" s="24">
        <v>1.9951246556127566E-2</v>
      </c>
      <c r="E698" s="24">
        <v>1.3809979871607683E-19</v>
      </c>
      <c r="F698" s="24">
        <v>6.4797855111597968E-6</v>
      </c>
      <c r="G698" s="24">
        <v>0.60597864402070045</v>
      </c>
      <c r="H698" s="24">
        <v>0.22050389062480835</v>
      </c>
      <c r="I698" s="53">
        <v>2025.3665823337151</v>
      </c>
      <c r="J698" s="53">
        <v>4874.611562072866</v>
      </c>
      <c r="K698" s="24">
        <v>0.76430539675057707</v>
      </c>
      <c r="L698" s="24">
        <v>0.5581156307883185</v>
      </c>
      <c r="M698" s="24">
        <v>0.85646762305317148</v>
      </c>
      <c r="O698" s="53">
        <v>3.081773482247554</v>
      </c>
      <c r="P698" s="54">
        <v>17598.182123450944</v>
      </c>
      <c r="Q698" s="54">
        <v>2.884875470827319</v>
      </c>
      <c r="R698" s="54">
        <v>32999.793646830454</v>
      </c>
      <c r="S698" s="54">
        <v>-0.196898011420235</v>
      </c>
      <c r="T698" s="54">
        <v>15401.61152337951</v>
      </c>
      <c r="V698" s="69">
        <f t="shared" si="62"/>
        <v>598756.51432605984</v>
      </c>
      <c r="W698" s="69">
        <f t="shared" si="63"/>
        <v>543975.30051863333</v>
      </c>
      <c r="X698" s="69">
        <f t="shared" si="60"/>
        <v>-54781.213807426509</v>
      </c>
      <c r="Z698" s="68">
        <f t="shared" si="64"/>
        <v>1</v>
      </c>
      <c r="AA698" s="68">
        <f t="shared" si="65"/>
        <v>0</v>
      </c>
      <c r="AB698" s="68">
        <f t="shared" si="61"/>
        <v>0</v>
      </c>
    </row>
    <row r="699" spans="1:28" x14ac:dyDescent="0.25">
      <c r="A699">
        <v>694</v>
      </c>
      <c r="C699" s="24">
        <v>3.4696704673721213E-3</v>
      </c>
      <c r="D699" s="24">
        <v>4.2615633670721829E-5</v>
      </c>
      <c r="E699" s="24">
        <v>2.9444302296591532E-18</v>
      </c>
      <c r="F699" s="24">
        <v>4.3435687935300393E-8</v>
      </c>
      <c r="G699" s="24">
        <v>0.62623495590216727</v>
      </c>
      <c r="H699" s="24">
        <v>0.23341231391118844</v>
      </c>
      <c r="I699" s="53">
        <v>2146.5623597393542</v>
      </c>
      <c r="J699" s="53">
        <v>4542.0665796563235</v>
      </c>
      <c r="K699" s="24">
        <v>0.71915151060069948</v>
      </c>
      <c r="L699" s="24">
        <v>0.74248732415331475</v>
      </c>
      <c r="M699" s="24">
        <v>0.89116262074402774</v>
      </c>
      <c r="O699" s="53">
        <v>3.6819147872846343</v>
      </c>
      <c r="P699" s="54">
        <v>19917.983652923111</v>
      </c>
      <c r="Q699" s="54">
        <v>3.7053748162765268</v>
      </c>
      <c r="R699" s="54">
        <v>36106.759673437708</v>
      </c>
      <c r="S699" s="54">
        <v>2.3460028991892479E-2</v>
      </c>
      <c r="T699" s="54">
        <v>16188.776020514597</v>
      </c>
      <c r="V699" s="69">
        <f t="shared" si="62"/>
        <v>716464.97380400368</v>
      </c>
      <c r="W699" s="69">
        <f t="shared" si="63"/>
        <v>704968.20358186762</v>
      </c>
      <c r="X699" s="69">
        <f t="shared" si="60"/>
        <v>-11496.770222136101</v>
      </c>
      <c r="Z699" s="68">
        <f t="shared" si="64"/>
        <v>1</v>
      </c>
      <c r="AA699" s="68">
        <f t="shared" si="65"/>
        <v>0</v>
      </c>
      <c r="AB699" s="68">
        <f t="shared" si="61"/>
        <v>0</v>
      </c>
    </row>
    <row r="700" spans="1:28" x14ac:dyDescent="0.25">
      <c r="A700">
        <v>695</v>
      </c>
      <c r="C700" s="24">
        <v>1.0785659830336858E-4</v>
      </c>
      <c r="D700" s="24">
        <v>5.4458160814913059E-3</v>
      </c>
      <c r="E700" s="24">
        <v>3.6254946200742211E-7</v>
      </c>
      <c r="F700" s="24">
        <v>6.5268993343359227E-7</v>
      </c>
      <c r="G700" s="24">
        <v>0.63624773476727337</v>
      </c>
      <c r="H700" s="24">
        <v>0.22598214840156094</v>
      </c>
      <c r="I700" s="53">
        <v>1692.6155224860227</v>
      </c>
      <c r="J700" s="53">
        <v>5907.5517857461718</v>
      </c>
      <c r="K700" s="24">
        <v>0.74477206853961586</v>
      </c>
      <c r="L700" s="24">
        <v>0.74543026476582774</v>
      </c>
      <c r="M700" s="24">
        <v>0.95432834139297429</v>
      </c>
      <c r="O700" s="53">
        <v>3.7263301984922812</v>
      </c>
      <c r="P700" s="54">
        <v>22061.964884402129</v>
      </c>
      <c r="Q700" s="54">
        <v>3.7338762528249307</v>
      </c>
      <c r="R700" s="54">
        <v>35347.607768039808</v>
      </c>
      <c r="S700" s="54">
        <v>7.5460543326495433E-3</v>
      </c>
      <c r="T700" s="54">
        <v>13285.64288363768</v>
      </c>
      <c r="V700" s="69">
        <f t="shared" si="62"/>
        <v>723204.07481405418</v>
      </c>
      <c r="W700" s="69">
        <f t="shared" si="63"/>
        <v>711427.64279694634</v>
      </c>
      <c r="X700" s="69">
        <f t="shared" si="60"/>
        <v>-11776.432017107771</v>
      </c>
      <c r="Z700" s="68">
        <f t="shared" si="64"/>
        <v>1</v>
      </c>
      <c r="AA700" s="68">
        <f t="shared" si="65"/>
        <v>0</v>
      </c>
      <c r="AB700" s="68">
        <f t="shared" si="61"/>
        <v>0</v>
      </c>
    </row>
    <row r="701" spans="1:28" x14ac:dyDescent="0.25">
      <c r="A701">
        <v>696</v>
      </c>
      <c r="C701" s="24">
        <v>1.0792487525823624E-4</v>
      </c>
      <c r="D701" s="24">
        <v>1.1330338204107446E-4</v>
      </c>
      <c r="E701" s="24">
        <v>4.0726409356039994E-8</v>
      </c>
      <c r="F701" s="24">
        <v>2.0801688567000188E-15</v>
      </c>
      <c r="G701" s="24">
        <v>0.63827741015702077</v>
      </c>
      <c r="H701" s="24">
        <v>0.3665407477278112</v>
      </c>
      <c r="I701" s="53">
        <v>2488.0950568565659</v>
      </c>
      <c r="J701" s="53">
        <v>4596.3400284254622</v>
      </c>
      <c r="K701" s="24">
        <v>0.69963558965274586</v>
      </c>
      <c r="L701" s="24">
        <v>0.77326675573419179</v>
      </c>
      <c r="M701" s="24">
        <v>0.8180151768028382</v>
      </c>
      <c r="O701" s="53">
        <v>3.7502172815034411</v>
      </c>
      <c r="P701" s="54">
        <v>17091.907910626433</v>
      </c>
      <c r="Q701" s="54">
        <v>3.8240456257494184</v>
      </c>
      <c r="R701" s="54">
        <v>57006.90971175037</v>
      </c>
      <c r="S701" s="54">
        <v>7.3828344245977284E-2</v>
      </c>
      <c r="T701" s="54">
        <v>39915.001801123937</v>
      </c>
      <c r="V701" s="69">
        <f t="shared" si="62"/>
        <v>732951.54839006183</v>
      </c>
      <c r="W701" s="69">
        <f t="shared" si="63"/>
        <v>707802.21543813334</v>
      </c>
      <c r="X701" s="69">
        <f t="shared" si="60"/>
        <v>-25149.332951928482</v>
      </c>
      <c r="Z701" s="68">
        <f t="shared" si="64"/>
        <v>1</v>
      </c>
      <c r="AA701" s="68">
        <f t="shared" si="65"/>
        <v>0</v>
      </c>
      <c r="AB701" s="68">
        <f t="shared" si="61"/>
        <v>0</v>
      </c>
    </row>
    <row r="702" spans="1:28" x14ac:dyDescent="0.25">
      <c r="A702">
        <v>697</v>
      </c>
      <c r="C702" s="24">
        <v>1.9917264186708472E-4</v>
      </c>
      <c r="D702" s="24">
        <v>1.0124995274675739E-4</v>
      </c>
      <c r="E702" s="24">
        <v>6.2056743904294054E-3</v>
      </c>
      <c r="F702" s="24">
        <v>5.6823538631789461E-5</v>
      </c>
      <c r="G702" s="24">
        <v>0.6093050953428063</v>
      </c>
      <c r="H702" s="24">
        <v>0.31068603771246506</v>
      </c>
      <c r="I702" s="53">
        <v>1681.2241754716217</v>
      </c>
      <c r="J702" s="53">
        <v>6003.9123492576564</v>
      </c>
      <c r="K702" s="24">
        <v>0.75250582570518054</v>
      </c>
      <c r="L702" s="24">
        <v>0.97759565852884411</v>
      </c>
      <c r="M702" s="24">
        <v>0.72244041540127446</v>
      </c>
      <c r="O702" s="53">
        <v>4.5105001751639389</v>
      </c>
      <c r="P702" s="54">
        <v>16581.647395323376</v>
      </c>
      <c r="Q702" s="54">
        <v>4.78628271433079</v>
      </c>
      <c r="R702" s="54">
        <v>28854.603447788271</v>
      </c>
      <c r="S702" s="54">
        <v>0.27578253916685114</v>
      </c>
      <c r="T702" s="54">
        <v>12272.956052464895</v>
      </c>
      <c r="V702" s="69">
        <f t="shared" si="62"/>
        <v>885518.38763746445</v>
      </c>
      <c r="W702" s="69">
        <f t="shared" si="63"/>
        <v>928401.93941836967</v>
      </c>
      <c r="X702" s="69">
        <f t="shared" si="60"/>
        <v>42883.551780905327</v>
      </c>
      <c r="Z702" s="68">
        <f t="shared" si="64"/>
        <v>0</v>
      </c>
      <c r="AA702" s="68">
        <f t="shared" si="65"/>
        <v>1</v>
      </c>
      <c r="AB702" s="68">
        <f t="shared" si="61"/>
        <v>1</v>
      </c>
    </row>
    <row r="703" spans="1:28" x14ac:dyDescent="0.25">
      <c r="A703">
        <v>698</v>
      </c>
      <c r="C703" s="24">
        <v>1.1896326808321938E-6</v>
      </c>
      <c r="D703" s="24">
        <v>2.6216722600900085E-4</v>
      </c>
      <c r="E703" s="24">
        <v>4.9779348891740675E-16</v>
      </c>
      <c r="F703" s="24">
        <v>1.6623419410131847E-41</v>
      </c>
      <c r="G703" s="24">
        <v>0.60599246884093849</v>
      </c>
      <c r="H703" s="24">
        <v>0.27714836974949686</v>
      </c>
      <c r="I703" s="53">
        <v>2086.2993874316003</v>
      </c>
      <c r="J703" s="53">
        <v>4119.4893239959119</v>
      </c>
      <c r="K703" s="24">
        <v>0.58580835521656571</v>
      </c>
      <c r="L703" s="24">
        <v>0.95020863501849007</v>
      </c>
      <c r="M703" s="24">
        <v>0.74957946920937646</v>
      </c>
      <c r="O703" s="53">
        <v>4.2363864253301378</v>
      </c>
      <c r="P703" s="54">
        <v>21709.958752213697</v>
      </c>
      <c r="Q703" s="54">
        <v>4.611221035522866</v>
      </c>
      <c r="R703" s="54">
        <v>39993.911734879432</v>
      </c>
      <c r="S703" s="54">
        <v>0.37483461019272823</v>
      </c>
      <c r="T703" s="54">
        <v>18283.952982665734</v>
      </c>
      <c r="V703" s="69">
        <f t="shared" si="62"/>
        <v>825567.3263138138</v>
      </c>
      <c r="W703" s="69">
        <f t="shared" si="63"/>
        <v>882250.29536969366</v>
      </c>
      <c r="X703" s="69">
        <f t="shared" si="60"/>
        <v>56682.969055879905</v>
      </c>
      <c r="Z703" s="68">
        <f t="shared" si="64"/>
        <v>0</v>
      </c>
      <c r="AA703" s="68">
        <f t="shared" si="65"/>
        <v>1</v>
      </c>
      <c r="AB703" s="68">
        <f t="shared" si="61"/>
        <v>1</v>
      </c>
    </row>
    <row r="704" spans="1:28" x14ac:dyDescent="0.25">
      <c r="A704">
        <v>699</v>
      </c>
      <c r="C704" s="24">
        <v>4.7035228267688911E-4</v>
      </c>
      <c r="D704" s="24">
        <v>4.9165318434216836E-4</v>
      </c>
      <c r="E704" s="24">
        <v>3.146975963039503E-26</v>
      </c>
      <c r="F704" s="24">
        <v>3.2727154319900364E-12</v>
      </c>
      <c r="G704" s="24">
        <v>0.62455416503241956</v>
      </c>
      <c r="H704" s="24">
        <v>0.36797537578393846</v>
      </c>
      <c r="I704" s="53">
        <v>2104.4315887462162</v>
      </c>
      <c r="J704" s="53">
        <v>5574.6662167862987</v>
      </c>
      <c r="K704" s="24">
        <v>0.75799775494916555</v>
      </c>
      <c r="L704" s="24">
        <v>0.9443038636625386</v>
      </c>
      <c r="M704" s="24">
        <v>0.86066182418769632</v>
      </c>
      <c r="O704" s="53">
        <v>4.4406839445445438</v>
      </c>
      <c r="P704" s="54">
        <v>16755.359862524398</v>
      </c>
      <c r="Q704" s="54">
        <v>4.6134928878148935</v>
      </c>
      <c r="R704" s="54">
        <v>53259.979425077167</v>
      </c>
      <c r="S704" s="54">
        <v>0.17280894327034968</v>
      </c>
      <c r="T704" s="54">
        <v>36504.619562552769</v>
      </c>
      <c r="V704" s="69">
        <f t="shared" si="62"/>
        <v>871381.42904638429</v>
      </c>
      <c r="W704" s="69">
        <f t="shared" si="63"/>
        <v>869438.59813790151</v>
      </c>
      <c r="X704" s="69">
        <f t="shared" si="60"/>
        <v>-1942.8309084828361</v>
      </c>
      <c r="Z704" s="68">
        <f t="shared" si="64"/>
        <v>1</v>
      </c>
      <c r="AA704" s="68">
        <f t="shared" si="65"/>
        <v>0</v>
      </c>
      <c r="AB704" s="68">
        <f t="shared" si="61"/>
        <v>0</v>
      </c>
    </row>
    <row r="705" spans="1:28" x14ac:dyDescent="0.25">
      <c r="A705">
        <v>700</v>
      </c>
      <c r="C705" s="24">
        <v>4.0586537878463114E-3</v>
      </c>
      <c r="D705" s="24">
        <v>1.1782902710390649E-3</v>
      </c>
      <c r="E705" s="24">
        <v>7.8225136686988896E-20</v>
      </c>
      <c r="F705" s="24">
        <v>8.5789153558835096E-11</v>
      </c>
      <c r="G705" s="24">
        <v>0.57754884144608276</v>
      </c>
      <c r="H705" s="24">
        <v>0.29586168605466923</v>
      </c>
      <c r="I705" s="53">
        <v>2044.5591623853754</v>
      </c>
      <c r="J705" s="53">
        <v>4649.885318789843</v>
      </c>
      <c r="K705" s="24">
        <v>0.57467051868731822</v>
      </c>
      <c r="L705" s="24">
        <v>0.88393763999304187</v>
      </c>
      <c r="M705" s="24">
        <v>0.85223224710435053</v>
      </c>
      <c r="O705" s="53">
        <v>4.0229141474619299</v>
      </c>
      <c r="P705" s="54">
        <v>13313.06172120181</v>
      </c>
      <c r="Q705" s="54">
        <v>4.2897932738258397</v>
      </c>
      <c r="R705" s="54">
        <v>34308.490695461085</v>
      </c>
      <c r="S705" s="54">
        <v>0.26687912636390987</v>
      </c>
      <c r="T705" s="54">
        <v>20995.428974259274</v>
      </c>
      <c r="V705" s="69">
        <f t="shared" si="62"/>
        <v>791269.76777118421</v>
      </c>
      <c r="W705" s="69">
        <f t="shared" si="63"/>
        <v>823650.16406970692</v>
      </c>
      <c r="X705" s="69">
        <f t="shared" si="60"/>
        <v>32380.396298522697</v>
      </c>
      <c r="Z705" s="68">
        <f t="shared" si="64"/>
        <v>0</v>
      </c>
      <c r="AA705" s="68">
        <f t="shared" si="65"/>
        <v>1</v>
      </c>
      <c r="AB705" s="68">
        <f t="shared" si="61"/>
        <v>1</v>
      </c>
    </row>
    <row r="706" spans="1:28" x14ac:dyDescent="0.25">
      <c r="A706">
        <v>701</v>
      </c>
      <c r="C706" s="24">
        <v>8.8884401708910765E-4</v>
      </c>
      <c r="D706" s="24">
        <v>8.7696467289687303E-4</v>
      </c>
      <c r="E706" s="24">
        <v>4.8786530371103254E-11</v>
      </c>
      <c r="F706" s="24">
        <v>6.310293843014847E-9</v>
      </c>
      <c r="G706" s="24">
        <v>0.67204064664414442</v>
      </c>
      <c r="H706" s="24">
        <v>0.33671656674943373</v>
      </c>
      <c r="I706" s="53">
        <v>2191.5277161752742</v>
      </c>
      <c r="J706" s="53">
        <v>4947.0975592461236</v>
      </c>
      <c r="K706" s="24">
        <v>0.55316693257287319</v>
      </c>
      <c r="L706" s="24">
        <v>0.80177348717565466</v>
      </c>
      <c r="M706" s="24">
        <v>0.61203399947571901</v>
      </c>
      <c r="O706" s="53">
        <v>3.5676051775143227</v>
      </c>
      <c r="P706" s="54">
        <v>22346.368370907181</v>
      </c>
      <c r="Q706" s="54">
        <v>3.8820807451294161</v>
      </c>
      <c r="R706" s="54">
        <v>43720.590672565981</v>
      </c>
      <c r="S706" s="54">
        <v>0.31447556761509343</v>
      </c>
      <c r="T706" s="54">
        <v>21374.2223016588</v>
      </c>
      <c r="V706" s="69">
        <f t="shared" si="62"/>
        <v>691174.66713195737</v>
      </c>
      <c r="W706" s="69">
        <f t="shared" si="63"/>
        <v>732695.5583533172</v>
      </c>
      <c r="X706" s="69">
        <f t="shared" si="60"/>
        <v>41520.891221359881</v>
      </c>
      <c r="Z706" s="68">
        <f t="shared" si="64"/>
        <v>0</v>
      </c>
      <c r="AA706" s="68">
        <f t="shared" si="65"/>
        <v>1</v>
      </c>
      <c r="AB706" s="68">
        <f t="shared" si="61"/>
        <v>1</v>
      </c>
    </row>
    <row r="707" spans="1:28" x14ac:dyDescent="0.25">
      <c r="A707">
        <v>702</v>
      </c>
      <c r="C707" s="24">
        <v>7.4529598713804899E-11</v>
      </c>
      <c r="D707" s="24">
        <v>6.4947565430743359E-4</v>
      </c>
      <c r="E707" s="24">
        <v>1.3687691417690591E-16</v>
      </c>
      <c r="F707" s="24">
        <v>4.3376434324607069E-33</v>
      </c>
      <c r="G707" s="24">
        <v>0.64614423741094651</v>
      </c>
      <c r="H707" s="24">
        <v>0.29592640035447193</v>
      </c>
      <c r="I707" s="53">
        <v>1451.4585415254764</v>
      </c>
      <c r="J707" s="53">
        <v>4456.8255663181408</v>
      </c>
      <c r="K707" s="24">
        <v>0.71269534891343966</v>
      </c>
      <c r="L707" s="24">
        <v>0.86741745247747126</v>
      </c>
      <c r="M707" s="24">
        <v>0.91392654467011614</v>
      </c>
      <c r="O707" s="53">
        <v>4.0863833233776878</v>
      </c>
      <c r="P707" s="54">
        <v>17079.086855096382</v>
      </c>
      <c r="Q707" s="54">
        <v>4.2724007290590125</v>
      </c>
      <c r="R707" s="54">
        <v>49782.483274930644</v>
      </c>
      <c r="S707" s="54">
        <v>0.18601740568132463</v>
      </c>
      <c r="T707" s="54">
        <v>32703.396419834262</v>
      </c>
      <c r="V707" s="69">
        <f t="shared" si="62"/>
        <v>800197.57782044122</v>
      </c>
      <c r="W707" s="69">
        <f t="shared" si="63"/>
        <v>804697.66253687185</v>
      </c>
      <c r="X707" s="69">
        <f t="shared" si="60"/>
        <v>4500.0847164306651</v>
      </c>
      <c r="Z707" s="68">
        <f t="shared" si="64"/>
        <v>0</v>
      </c>
      <c r="AA707" s="68">
        <f t="shared" si="65"/>
        <v>1</v>
      </c>
      <c r="AB707" s="68">
        <f t="shared" si="61"/>
        <v>1</v>
      </c>
    </row>
    <row r="708" spans="1:28" x14ac:dyDescent="0.25">
      <c r="A708">
        <v>703</v>
      </c>
      <c r="C708" s="24">
        <v>7.1662223936486136E-4</v>
      </c>
      <c r="D708" s="24">
        <v>7.9870296222231185E-5</v>
      </c>
      <c r="E708" s="24">
        <v>1.5502064140114902E-3</v>
      </c>
      <c r="F708" s="24">
        <v>3.317454700752786E-29</v>
      </c>
      <c r="G708" s="24">
        <v>0.62739206292419492</v>
      </c>
      <c r="H708" s="24">
        <v>0.31725142482548785</v>
      </c>
      <c r="I708" s="53">
        <v>2403.4372213589763</v>
      </c>
      <c r="J708" s="53">
        <v>4049.4203265623105</v>
      </c>
      <c r="K708" s="24">
        <v>0.74757015097532309</v>
      </c>
      <c r="L708" s="24">
        <v>0.91169296102976793</v>
      </c>
      <c r="M708" s="24">
        <v>0.91930253312957477</v>
      </c>
      <c r="O708" s="53">
        <v>4.2958314942334335</v>
      </c>
      <c r="P708" s="54">
        <v>19700.109329041818</v>
      </c>
      <c r="Q708" s="54">
        <v>4.4824513158013364</v>
      </c>
      <c r="R708" s="54">
        <v>47252.306460804648</v>
      </c>
      <c r="S708" s="54">
        <v>0.18661982156790291</v>
      </c>
      <c r="T708" s="54">
        <v>27552.19713176283</v>
      </c>
      <c r="V708" s="69">
        <f t="shared" si="62"/>
        <v>839466.18951764493</v>
      </c>
      <c r="W708" s="69">
        <f t="shared" si="63"/>
        <v>849237.95669946261</v>
      </c>
      <c r="X708" s="69">
        <f t="shared" si="60"/>
        <v>9771.7671818177514</v>
      </c>
      <c r="Z708" s="68">
        <f t="shared" si="64"/>
        <v>0</v>
      </c>
      <c r="AA708" s="68">
        <f t="shared" si="65"/>
        <v>1</v>
      </c>
      <c r="AB708" s="68">
        <f t="shared" si="61"/>
        <v>1</v>
      </c>
    </row>
    <row r="709" spans="1:28" x14ac:dyDescent="0.25">
      <c r="A709">
        <v>704</v>
      </c>
      <c r="C709" s="24">
        <v>3.1961766781873902E-4</v>
      </c>
      <c r="D709" s="24">
        <v>2.5205024816227109E-4</v>
      </c>
      <c r="E709" s="24">
        <v>1.554126582719226E-17</v>
      </c>
      <c r="F709" s="24">
        <v>9.8296689174114992E-33</v>
      </c>
      <c r="G709" s="24">
        <v>0.65767855071297343</v>
      </c>
      <c r="H709" s="24">
        <v>0.20369995882429193</v>
      </c>
      <c r="I709" s="53">
        <v>2176.9092879766968</v>
      </c>
      <c r="J709" s="53">
        <v>4595.2283886321138</v>
      </c>
      <c r="K709" s="24">
        <v>0.6564930711294974</v>
      </c>
      <c r="L709" s="24">
        <v>0.89295241911348111</v>
      </c>
      <c r="M709" s="24">
        <v>0.71081447192756264</v>
      </c>
      <c r="O709" s="53">
        <v>4.0658043675699895</v>
      </c>
      <c r="P709" s="54">
        <v>19667.368346704316</v>
      </c>
      <c r="Q709" s="54">
        <v>4.4040215904735502</v>
      </c>
      <c r="R709" s="54">
        <v>31022.347116196692</v>
      </c>
      <c r="S709" s="54">
        <v>0.33821722290356071</v>
      </c>
      <c r="T709" s="54">
        <v>11354.978769492376</v>
      </c>
      <c r="V709" s="69">
        <f t="shared" si="62"/>
        <v>793493.5051672936</v>
      </c>
      <c r="W709" s="69">
        <f t="shared" si="63"/>
        <v>849781.97097851336</v>
      </c>
      <c r="X709" s="69">
        <f t="shared" si="60"/>
        <v>56288.465811219765</v>
      </c>
      <c r="Z709" s="68">
        <f t="shared" si="64"/>
        <v>0</v>
      </c>
      <c r="AA709" s="68">
        <f t="shared" si="65"/>
        <v>1</v>
      </c>
      <c r="AB709" s="68">
        <f t="shared" si="61"/>
        <v>1</v>
      </c>
    </row>
    <row r="710" spans="1:28" x14ac:dyDescent="0.25">
      <c r="A710">
        <v>705</v>
      </c>
      <c r="C710" s="24">
        <v>1.9553689411797718E-8</v>
      </c>
      <c r="D710" s="24">
        <v>6.6243343381510735E-5</v>
      </c>
      <c r="E710" s="24">
        <v>6.1239156899314406E-30</v>
      </c>
      <c r="F710" s="24">
        <v>5.4432337665254433E-23</v>
      </c>
      <c r="G710" s="24">
        <v>0.54726071188315917</v>
      </c>
      <c r="H710" s="24">
        <v>0.16158936736408847</v>
      </c>
      <c r="I710" s="53">
        <v>2107.5374967335624</v>
      </c>
      <c r="J710" s="53">
        <v>3954.2659854831122</v>
      </c>
      <c r="K710" s="24">
        <v>0.67468409284694286</v>
      </c>
      <c r="L710" s="24">
        <v>0.86357610288852005</v>
      </c>
      <c r="M710" s="24">
        <v>0.69627272665074125</v>
      </c>
      <c r="O710" s="53">
        <v>4.1007602972716404</v>
      </c>
      <c r="P710" s="54">
        <v>15649.337842441833</v>
      </c>
      <c r="Q710" s="54">
        <v>4.281415261739463</v>
      </c>
      <c r="R710" s="54">
        <v>22615.22954706792</v>
      </c>
      <c r="S710" s="54">
        <v>0.18065496446782259</v>
      </c>
      <c r="T710" s="54">
        <v>6965.8917046260867</v>
      </c>
      <c r="V710" s="69">
        <f t="shared" si="62"/>
        <v>804502.72161188617</v>
      </c>
      <c r="W710" s="69">
        <f t="shared" si="63"/>
        <v>833667.82280082465</v>
      </c>
      <c r="X710" s="69">
        <f t="shared" si="60"/>
        <v>29165.101188938428</v>
      </c>
      <c r="Z710" s="68">
        <f t="shared" si="64"/>
        <v>0</v>
      </c>
      <c r="AA710" s="68">
        <f t="shared" si="65"/>
        <v>1</v>
      </c>
      <c r="AB710" s="68">
        <f t="shared" si="61"/>
        <v>1</v>
      </c>
    </row>
    <row r="711" spans="1:28" x14ac:dyDescent="0.25">
      <c r="A711">
        <v>706</v>
      </c>
      <c r="C711" s="24">
        <v>1.0380579628405107E-3</v>
      </c>
      <c r="D711" s="24">
        <v>1.2684756480801221E-3</v>
      </c>
      <c r="E711" s="24">
        <v>2.2889678608084552E-7</v>
      </c>
      <c r="F711" s="24">
        <v>2.7120718926187948E-7</v>
      </c>
      <c r="G711" s="24">
        <v>0.59503169340689399</v>
      </c>
      <c r="H711" s="24">
        <v>0.30948318774667483</v>
      </c>
      <c r="I711" s="53">
        <v>1673.680628595228</v>
      </c>
      <c r="J711" s="53">
        <v>6645.8426004933053</v>
      </c>
      <c r="K711" s="24">
        <v>0.65359752959373274</v>
      </c>
      <c r="L711" s="24">
        <v>0.98948009526902037</v>
      </c>
      <c r="M711" s="24">
        <v>0.86544461108340665</v>
      </c>
      <c r="O711" s="53">
        <v>4.4895325324671633</v>
      </c>
      <c r="P711" s="54">
        <v>22352.126454944108</v>
      </c>
      <c r="Q711" s="54">
        <v>4.7962492470690243</v>
      </c>
      <c r="R711" s="54">
        <v>55012.56953514013</v>
      </c>
      <c r="S711" s="54">
        <v>0.30671671460186101</v>
      </c>
      <c r="T711" s="54">
        <v>32660.443080196022</v>
      </c>
      <c r="V711" s="69">
        <f t="shared" si="62"/>
        <v>875554.38003848854</v>
      </c>
      <c r="W711" s="69">
        <f t="shared" si="63"/>
        <v>904237.27987866465</v>
      </c>
      <c r="X711" s="69">
        <f t="shared" ref="X711:X774" si="66">S711*cRatio-T711</f>
        <v>28682.899840176182</v>
      </c>
      <c r="Z711" s="68">
        <f t="shared" si="64"/>
        <v>0</v>
      </c>
      <c r="AA711" s="68">
        <f t="shared" si="65"/>
        <v>1</v>
      </c>
      <c r="AB711" s="68">
        <f t="shared" ref="AB711:AB774" si="67">IF(X711&gt;0,1,0)</f>
        <v>1</v>
      </c>
    </row>
    <row r="712" spans="1:28" x14ac:dyDescent="0.25">
      <c r="A712">
        <v>707</v>
      </c>
      <c r="C712" s="24">
        <v>1.0058909430062934E-3</v>
      </c>
      <c r="D712" s="24">
        <v>8.0128080813413949E-4</v>
      </c>
      <c r="E712" s="24">
        <v>2.4477385951233312E-22</v>
      </c>
      <c r="F712" s="24">
        <v>4.3580785820951373E-4</v>
      </c>
      <c r="G712" s="24">
        <v>0.63111850239392009</v>
      </c>
      <c r="H712" s="24">
        <v>0.29287920154129843</v>
      </c>
      <c r="I712" s="53">
        <v>1922.5766591015933</v>
      </c>
      <c r="J712" s="53">
        <v>5198.1774325023989</v>
      </c>
      <c r="K712" s="24">
        <v>0.71009767779309096</v>
      </c>
      <c r="L712" s="24">
        <v>0.89526510561230321</v>
      </c>
      <c r="M712" s="24">
        <v>0.82419559843037249</v>
      </c>
      <c r="O712" s="53">
        <v>4.1905731174564789</v>
      </c>
      <c r="P712" s="54">
        <v>16431.139227631818</v>
      </c>
      <c r="Q712" s="54">
        <v>4.3968969721669886</v>
      </c>
      <c r="R712" s="54">
        <v>35409.723677572343</v>
      </c>
      <c r="S712" s="54">
        <v>0.20632385471050974</v>
      </c>
      <c r="T712" s="54">
        <v>18978.584449940525</v>
      </c>
      <c r="V712" s="69">
        <f t="shared" si="62"/>
        <v>821683.48426366388</v>
      </c>
      <c r="W712" s="69">
        <f t="shared" si="63"/>
        <v>843969.67075582535</v>
      </c>
      <c r="X712" s="69">
        <f t="shared" si="66"/>
        <v>22286.186492161421</v>
      </c>
      <c r="Z712" s="68">
        <f t="shared" si="64"/>
        <v>0</v>
      </c>
      <c r="AA712" s="68">
        <f t="shared" si="65"/>
        <v>1</v>
      </c>
      <c r="AB712" s="68">
        <f t="shared" si="67"/>
        <v>1</v>
      </c>
    </row>
    <row r="713" spans="1:28" x14ac:dyDescent="0.25">
      <c r="A713">
        <v>708</v>
      </c>
      <c r="C713" s="24">
        <v>4.6195321188971628E-2</v>
      </c>
      <c r="D713" s="24">
        <v>3.7956156940860582E-6</v>
      </c>
      <c r="E713" s="24">
        <v>7.9321844648205797E-9</v>
      </c>
      <c r="F713" s="24">
        <v>8.0291007176902518E-4</v>
      </c>
      <c r="G713" s="24">
        <v>0.60835715846856164</v>
      </c>
      <c r="H713" s="24">
        <v>0.22390532147453579</v>
      </c>
      <c r="I713" s="53">
        <v>1832.9478101619843</v>
      </c>
      <c r="J713" s="53">
        <v>4644.5008386497075</v>
      </c>
      <c r="K713" s="24">
        <v>0.65680207822707803</v>
      </c>
      <c r="L713" s="24">
        <v>0.86397814536345563</v>
      </c>
      <c r="M713" s="24">
        <v>0.78507719292108802</v>
      </c>
      <c r="O713" s="53">
        <v>3.9916096489890194</v>
      </c>
      <c r="P713" s="54">
        <v>17514.116775573151</v>
      </c>
      <c r="Q713" s="54">
        <v>4.2559402910339807</v>
      </c>
      <c r="R713" s="54">
        <v>30284.08542961139</v>
      </c>
      <c r="S713" s="54">
        <v>0.26433064204496137</v>
      </c>
      <c r="T713" s="54">
        <v>12769.968654038239</v>
      </c>
      <c r="V713" s="69">
        <f t="shared" si="62"/>
        <v>780807.81302223075</v>
      </c>
      <c r="W713" s="69">
        <f t="shared" si="63"/>
        <v>820903.9727771848</v>
      </c>
      <c r="X713" s="69">
        <f t="shared" si="66"/>
        <v>40096.159754954038</v>
      </c>
      <c r="Z713" s="68">
        <f t="shared" si="64"/>
        <v>0</v>
      </c>
      <c r="AA713" s="68">
        <f t="shared" si="65"/>
        <v>1</v>
      </c>
      <c r="AB713" s="68">
        <f t="shared" si="67"/>
        <v>1</v>
      </c>
    </row>
    <row r="714" spans="1:28" x14ac:dyDescent="0.25">
      <c r="A714">
        <v>709</v>
      </c>
      <c r="C714" s="24">
        <v>2.266975747332356E-2</v>
      </c>
      <c r="D714" s="24">
        <v>5.9589407039438713E-3</v>
      </c>
      <c r="E714" s="24">
        <v>1.0162428267242447E-29</v>
      </c>
      <c r="F714" s="24">
        <v>1.8417857418271042E-24</v>
      </c>
      <c r="G714" s="24">
        <v>0.65411661141566069</v>
      </c>
      <c r="H714" s="24">
        <v>0.25649985302458056</v>
      </c>
      <c r="I714" s="53">
        <v>1722.1963558311879</v>
      </c>
      <c r="J714" s="53">
        <v>4594.0085346693522</v>
      </c>
      <c r="K714" s="24">
        <v>0.72207519139563958</v>
      </c>
      <c r="L714" s="24">
        <v>0.77297743803590613</v>
      </c>
      <c r="M714" s="24">
        <v>0.66057843075903611</v>
      </c>
      <c r="O714" s="53">
        <v>3.7555804436262714</v>
      </c>
      <c r="P714" s="54">
        <v>16997.753520939139</v>
      </c>
      <c r="Q714" s="54">
        <v>3.8431521477790214</v>
      </c>
      <c r="R714" s="54">
        <v>43182.203555220294</v>
      </c>
      <c r="S714" s="54">
        <v>8.7571704152749952E-2</v>
      </c>
      <c r="T714" s="54">
        <v>26184.450034281155</v>
      </c>
      <c r="V714" s="69">
        <f t="shared" ref="V714:V777" si="68">O714*cRatio-P714</f>
        <v>734118.33520431514</v>
      </c>
      <c r="W714" s="69">
        <f t="shared" ref="W714:W777" si="69">Q714*cRatio-R714</f>
        <v>725448.22600058396</v>
      </c>
      <c r="X714" s="69">
        <f t="shared" si="66"/>
        <v>-8670.1092037311646</v>
      </c>
      <c r="Z714" s="68">
        <f t="shared" ref="Z714:Z777" si="70">IF(MAX(V714:W714)=V714,1,0)</f>
        <v>1</v>
      </c>
      <c r="AA714" s="68">
        <f t="shared" ref="AA714:AA777" si="71">IF(MAX(V714:W714)=W714,1,0)</f>
        <v>0</v>
      </c>
      <c r="AB714" s="68">
        <f t="shared" si="67"/>
        <v>0</v>
      </c>
    </row>
    <row r="715" spans="1:28" x14ac:dyDescent="0.25">
      <c r="A715">
        <v>710</v>
      </c>
      <c r="C715" s="24">
        <v>1.6520595970503815E-2</v>
      </c>
      <c r="D715" s="24">
        <v>4.4845973174519955E-4</v>
      </c>
      <c r="E715" s="24">
        <v>5.1125770283988459E-13</v>
      </c>
      <c r="F715" s="24">
        <v>1.4053712600592405E-4</v>
      </c>
      <c r="G715" s="24">
        <v>0.70955501933253051</v>
      </c>
      <c r="H715" s="24">
        <v>0.37367485048924332</v>
      </c>
      <c r="I715" s="53">
        <v>1631.8886545775115</v>
      </c>
      <c r="J715" s="53">
        <v>5268.4107783306763</v>
      </c>
      <c r="K715" s="24">
        <v>0.76741149653445684</v>
      </c>
      <c r="L715" s="24">
        <v>0.88816228325072399</v>
      </c>
      <c r="M715" s="24">
        <v>0.79760782911422867</v>
      </c>
      <c r="O715" s="53">
        <v>4.183441340457545</v>
      </c>
      <c r="P715" s="54">
        <v>23815.457355781862</v>
      </c>
      <c r="Q715" s="54">
        <v>4.3681303783845005</v>
      </c>
      <c r="R715" s="54">
        <v>58895.964583027082</v>
      </c>
      <c r="S715" s="54">
        <v>0.18468903792695546</v>
      </c>
      <c r="T715" s="54">
        <v>35080.507227245223</v>
      </c>
      <c r="V715" s="69">
        <f t="shared" si="68"/>
        <v>812872.81073572719</v>
      </c>
      <c r="W715" s="69">
        <f t="shared" si="69"/>
        <v>814730.11109387304</v>
      </c>
      <c r="X715" s="69">
        <f t="shared" si="66"/>
        <v>1857.3003581458688</v>
      </c>
      <c r="Z715" s="68">
        <f t="shared" si="70"/>
        <v>0</v>
      </c>
      <c r="AA715" s="68">
        <f t="shared" si="71"/>
        <v>1</v>
      </c>
      <c r="AB715" s="68">
        <f t="shared" si="67"/>
        <v>1</v>
      </c>
    </row>
    <row r="716" spans="1:28" x14ac:dyDescent="0.25">
      <c r="A716">
        <v>711</v>
      </c>
      <c r="C716" s="24">
        <v>1.1434628747119755E-7</v>
      </c>
      <c r="D716" s="24">
        <v>6.0858779427974165E-4</v>
      </c>
      <c r="E716" s="24">
        <v>8.3596667366236943E-9</v>
      </c>
      <c r="F716" s="24">
        <v>6.334387011615984E-21</v>
      </c>
      <c r="G716" s="24">
        <v>0.43185828538237103</v>
      </c>
      <c r="H716" s="24">
        <v>0.32119016292435065</v>
      </c>
      <c r="I716" s="53">
        <v>1614.3954202555115</v>
      </c>
      <c r="J716" s="53">
        <v>5053.1585195816615</v>
      </c>
      <c r="K716" s="24">
        <v>0.69680889427462978</v>
      </c>
      <c r="L716" s="24">
        <v>0.96843771205274942</v>
      </c>
      <c r="M716" s="24">
        <v>0.98418547313817661</v>
      </c>
      <c r="O716" s="53">
        <v>4.6388183299308281</v>
      </c>
      <c r="P716" s="54">
        <v>15044.85819969908</v>
      </c>
      <c r="Q716" s="54">
        <v>4.7141661440952172</v>
      </c>
      <c r="R716" s="54">
        <v>41994.23001344574</v>
      </c>
      <c r="S716" s="54">
        <v>7.5347814164389071E-2</v>
      </c>
      <c r="T716" s="54">
        <v>26949.37181374666</v>
      </c>
      <c r="V716" s="69">
        <f t="shared" si="68"/>
        <v>912718.80778646655</v>
      </c>
      <c r="W716" s="69">
        <f t="shared" si="69"/>
        <v>900838.99880559777</v>
      </c>
      <c r="X716" s="69">
        <f t="shared" si="66"/>
        <v>-11879.808980868846</v>
      </c>
      <c r="Z716" s="68">
        <f t="shared" si="70"/>
        <v>1</v>
      </c>
      <c r="AA716" s="68">
        <f t="shared" si="71"/>
        <v>0</v>
      </c>
      <c r="AB716" s="68">
        <f t="shared" si="67"/>
        <v>0</v>
      </c>
    </row>
    <row r="717" spans="1:28" x14ac:dyDescent="0.25">
      <c r="A717">
        <v>712</v>
      </c>
      <c r="C717" s="24">
        <v>4.5704616196727832E-3</v>
      </c>
      <c r="D717" s="24">
        <v>2.9268723144540546E-4</v>
      </c>
      <c r="E717" s="24">
        <v>5.5368749030491049E-3</v>
      </c>
      <c r="F717" s="24">
        <v>2.8126100647618557E-4</v>
      </c>
      <c r="G717" s="24">
        <v>0.58847317204023353</v>
      </c>
      <c r="H717" s="24">
        <v>0.21594405933778094</v>
      </c>
      <c r="I717" s="53">
        <v>2025.9375362428541</v>
      </c>
      <c r="J717" s="53">
        <v>5072.1009645053709</v>
      </c>
      <c r="K717" s="24">
        <v>0.56018090756903616</v>
      </c>
      <c r="L717" s="24">
        <v>0.76908641878402728</v>
      </c>
      <c r="M717" s="24">
        <v>0.65880415428888539</v>
      </c>
      <c r="O717" s="53">
        <v>3.5253025783384997</v>
      </c>
      <c r="P717" s="54">
        <v>18383.88566016523</v>
      </c>
      <c r="Q717" s="54">
        <v>3.7864245098249478</v>
      </c>
      <c r="R717" s="54">
        <v>31090.027842651038</v>
      </c>
      <c r="S717" s="54">
        <v>0.26112193148644813</v>
      </c>
      <c r="T717" s="54">
        <v>12706.142182485808</v>
      </c>
      <c r="V717" s="69">
        <f t="shared" si="68"/>
        <v>686676.63000753475</v>
      </c>
      <c r="W717" s="69">
        <f t="shared" si="69"/>
        <v>726194.8741223386</v>
      </c>
      <c r="X717" s="69">
        <f t="shared" si="66"/>
        <v>39518.24411480382</v>
      </c>
      <c r="Z717" s="68">
        <f t="shared" si="70"/>
        <v>0</v>
      </c>
      <c r="AA717" s="68">
        <f t="shared" si="71"/>
        <v>1</v>
      </c>
      <c r="AB717" s="68">
        <f t="shared" si="67"/>
        <v>1</v>
      </c>
    </row>
    <row r="718" spans="1:28" x14ac:dyDescent="0.25">
      <c r="A718">
        <v>713</v>
      </c>
      <c r="C718" s="24">
        <v>4.7230000353165602E-3</v>
      </c>
      <c r="D718" s="24">
        <v>1.0130569352731352E-3</v>
      </c>
      <c r="E718" s="24">
        <v>2.7504387486511466E-39</v>
      </c>
      <c r="F718" s="24">
        <v>7.5014998253509203E-30</v>
      </c>
      <c r="G718" s="24">
        <v>0.41266960922345053</v>
      </c>
      <c r="H718" s="24">
        <v>0.34753927087360703</v>
      </c>
      <c r="I718" s="53">
        <v>2199.5485325931031</v>
      </c>
      <c r="J718" s="53">
        <v>4153.3170807216075</v>
      </c>
      <c r="K718" s="24">
        <v>0.55353105792220092</v>
      </c>
      <c r="L718" s="24">
        <v>0.9071149412431766</v>
      </c>
      <c r="M718" s="24">
        <v>0.61648902802355043</v>
      </c>
      <c r="O718" s="53">
        <v>4.2800501990347017</v>
      </c>
      <c r="P718" s="54">
        <v>13007.764837719249</v>
      </c>
      <c r="Q718" s="54">
        <v>4.3461727821563709</v>
      </c>
      <c r="R718" s="54">
        <v>51792.280095252005</v>
      </c>
      <c r="S718" s="54">
        <v>6.6122583121669187E-2</v>
      </c>
      <c r="T718" s="54">
        <v>38784.515257532752</v>
      </c>
      <c r="V718" s="69">
        <f t="shared" si="68"/>
        <v>843002.27496922109</v>
      </c>
      <c r="W718" s="69">
        <f t="shared" si="69"/>
        <v>817442.27633602219</v>
      </c>
      <c r="X718" s="69">
        <f t="shared" si="66"/>
        <v>-25559.998633198913</v>
      </c>
      <c r="Z718" s="68">
        <f t="shared" si="70"/>
        <v>1</v>
      </c>
      <c r="AA718" s="68">
        <f t="shared" si="71"/>
        <v>0</v>
      </c>
      <c r="AB718" s="68">
        <f t="shared" si="67"/>
        <v>0</v>
      </c>
    </row>
    <row r="719" spans="1:28" x14ac:dyDescent="0.25">
      <c r="A719">
        <v>714</v>
      </c>
      <c r="C719" s="24">
        <v>5.6348645652182228E-5</v>
      </c>
      <c r="D719" s="24">
        <v>1.2018707643797755E-2</v>
      </c>
      <c r="E719" s="24">
        <v>1.5898778140786175E-15</v>
      </c>
      <c r="F719" s="24">
        <v>1.5615952975167602E-11</v>
      </c>
      <c r="G719" s="24">
        <v>0.57037469387360407</v>
      </c>
      <c r="H719" s="24">
        <v>0.29036538690110503</v>
      </c>
      <c r="I719" s="53">
        <v>1847.6150315387042</v>
      </c>
      <c r="J719" s="53">
        <v>4568.4592512191175</v>
      </c>
      <c r="K719" s="24">
        <v>0.7592232139326488</v>
      </c>
      <c r="L719" s="24">
        <v>0.7248999696863897</v>
      </c>
      <c r="M719" s="24">
        <v>0.76463565902118236</v>
      </c>
      <c r="O719" s="53">
        <v>3.6673364688628918</v>
      </c>
      <c r="P719" s="54">
        <v>16957.899821442832</v>
      </c>
      <c r="Q719" s="54">
        <v>3.6416052170615671</v>
      </c>
      <c r="R719" s="54">
        <v>44114.324823884097</v>
      </c>
      <c r="S719" s="54">
        <v>-2.5731251801324628E-2</v>
      </c>
      <c r="T719" s="54">
        <v>27156.425002441265</v>
      </c>
      <c r="V719" s="69">
        <f t="shared" si="68"/>
        <v>716509.39395113557</v>
      </c>
      <c r="W719" s="69">
        <f t="shared" si="69"/>
        <v>684206.71858842939</v>
      </c>
      <c r="X719" s="69">
        <f t="shared" si="66"/>
        <v>-32302.675362706192</v>
      </c>
      <c r="Z719" s="68">
        <f t="shared" si="70"/>
        <v>1</v>
      </c>
      <c r="AA719" s="68">
        <f t="shared" si="71"/>
        <v>0</v>
      </c>
      <c r="AB719" s="68">
        <f t="shared" si="67"/>
        <v>0</v>
      </c>
    </row>
    <row r="720" spans="1:28" x14ac:dyDescent="0.25">
      <c r="A720">
        <v>715</v>
      </c>
      <c r="C720" s="24">
        <v>1.3697155551981588E-3</v>
      </c>
      <c r="D720" s="24">
        <v>1.041957122225301E-2</v>
      </c>
      <c r="E720" s="24">
        <v>6.0147580270060964E-42</v>
      </c>
      <c r="F720" s="24">
        <v>9.6878463884397803E-7</v>
      </c>
      <c r="G720" s="24">
        <v>0.52964695678529072</v>
      </c>
      <c r="H720" s="24">
        <v>0.25519278460692674</v>
      </c>
      <c r="I720" s="53">
        <v>2070.3594984686101</v>
      </c>
      <c r="J720" s="53">
        <v>4531.2318383327738</v>
      </c>
      <c r="K720" s="24">
        <v>0.63559916644696479</v>
      </c>
      <c r="L720" s="24">
        <v>0.89512079677193845</v>
      </c>
      <c r="M720" s="24">
        <v>0.90134090319049376</v>
      </c>
      <c r="O720" s="53">
        <v>4.1956180054275283</v>
      </c>
      <c r="P720" s="54">
        <v>14688.909135931865</v>
      </c>
      <c r="Q720" s="54">
        <v>4.3871803818570774</v>
      </c>
      <c r="R720" s="54">
        <v>41080.487453905072</v>
      </c>
      <c r="S720" s="54">
        <v>0.1915623764295491</v>
      </c>
      <c r="T720" s="54">
        <v>26391.57831797321</v>
      </c>
      <c r="V720" s="69">
        <f t="shared" si="68"/>
        <v>824434.69194957381</v>
      </c>
      <c r="W720" s="69">
        <f t="shared" si="69"/>
        <v>836355.58891751047</v>
      </c>
      <c r="X720" s="69">
        <f t="shared" si="66"/>
        <v>11920.896967936613</v>
      </c>
      <c r="Z720" s="68">
        <f t="shared" si="70"/>
        <v>0</v>
      </c>
      <c r="AA720" s="68">
        <f t="shared" si="71"/>
        <v>1</v>
      </c>
      <c r="AB720" s="68">
        <f t="shared" si="67"/>
        <v>1</v>
      </c>
    </row>
    <row r="721" spans="1:28" x14ac:dyDescent="0.25">
      <c r="A721">
        <v>716</v>
      </c>
      <c r="C721" s="24">
        <v>1.4624490516048749E-2</v>
      </c>
      <c r="D721" s="24">
        <v>1.195770924598098E-6</v>
      </c>
      <c r="E721" s="24">
        <v>1.1572501397753393E-29</v>
      </c>
      <c r="F721" s="24">
        <v>6.2327605696577137E-6</v>
      </c>
      <c r="G721" s="24">
        <v>0.54590975896622507</v>
      </c>
      <c r="H721" s="24">
        <v>0.21277028657193808</v>
      </c>
      <c r="I721" s="53">
        <v>1918.7230208270348</v>
      </c>
      <c r="J721" s="53">
        <v>6111.0066499723771</v>
      </c>
      <c r="K721" s="24">
        <v>0.61380560888811841</v>
      </c>
      <c r="L721" s="24">
        <v>0.94654102579548871</v>
      </c>
      <c r="M721" s="24">
        <v>0.6268069511008989</v>
      </c>
      <c r="O721" s="53">
        <v>4.3123758307016811</v>
      </c>
      <c r="P721" s="54">
        <v>17991.588709720945</v>
      </c>
      <c r="Q721" s="54">
        <v>4.6427757867028632</v>
      </c>
      <c r="R721" s="54">
        <v>24257.687342342935</v>
      </c>
      <c r="S721" s="54">
        <v>0.3303999560011821</v>
      </c>
      <c r="T721" s="54">
        <v>6266.09863262199</v>
      </c>
      <c r="V721" s="69">
        <f t="shared" si="68"/>
        <v>844483.5774306152</v>
      </c>
      <c r="W721" s="69">
        <f t="shared" si="69"/>
        <v>904297.46999822976</v>
      </c>
      <c r="X721" s="69">
        <f t="shared" si="66"/>
        <v>59813.892567614428</v>
      </c>
      <c r="Z721" s="68">
        <f t="shared" si="70"/>
        <v>0</v>
      </c>
      <c r="AA721" s="68">
        <f t="shared" si="71"/>
        <v>1</v>
      </c>
      <c r="AB721" s="68">
        <f t="shared" si="67"/>
        <v>1</v>
      </c>
    </row>
    <row r="722" spans="1:28" x14ac:dyDescent="0.25">
      <c r="A722">
        <v>717</v>
      </c>
      <c r="C722" s="24">
        <v>3.9106450543280324E-4</v>
      </c>
      <c r="D722" s="24">
        <v>9.9402524146483874E-4</v>
      </c>
      <c r="E722" s="24">
        <v>1.5169550465762629E-17</v>
      </c>
      <c r="F722" s="24">
        <v>1.9872992140790302E-14</v>
      </c>
      <c r="G722" s="24">
        <v>0.63129552073334261</v>
      </c>
      <c r="H722" s="24">
        <v>0.30224976089679489</v>
      </c>
      <c r="I722" s="53">
        <v>2009.1060628883158</v>
      </c>
      <c r="J722" s="53">
        <v>4813.503138372932</v>
      </c>
      <c r="K722" s="24">
        <v>0.74447921742009771</v>
      </c>
      <c r="L722" s="24">
        <v>0.7664289956773408</v>
      </c>
      <c r="M722" s="24">
        <v>0.6822121003006284</v>
      </c>
      <c r="O722" s="53">
        <v>3.798021891592287</v>
      </c>
      <c r="P722" s="54">
        <v>19394.444360166675</v>
      </c>
      <c r="Q722" s="54">
        <v>3.8221127677266495</v>
      </c>
      <c r="R722" s="54">
        <v>44197.580348224648</v>
      </c>
      <c r="S722" s="54">
        <v>2.409087613436256E-2</v>
      </c>
      <c r="T722" s="54">
        <v>24803.135988057973</v>
      </c>
      <c r="V722" s="69">
        <f t="shared" si="68"/>
        <v>740209.93395829073</v>
      </c>
      <c r="W722" s="69">
        <f t="shared" si="69"/>
        <v>720224.97319710534</v>
      </c>
      <c r="X722" s="69">
        <f t="shared" si="66"/>
        <v>-19984.960761185459</v>
      </c>
      <c r="Z722" s="68">
        <f t="shared" si="70"/>
        <v>1</v>
      </c>
      <c r="AA722" s="68">
        <f t="shared" si="71"/>
        <v>0</v>
      </c>
      <c r="AB722" s="68">
        <f t="shared" si="67"/>
        <v>0</v>
      </c>
    </row>
    <row r="723" spans="1:28" x14ac:dyDescent="0.25">
      <c r="A723">
        <v>718</v>
      </c>
      <c r="C723" s="24">
        <v>3.1727872283302538E-3</v>
      </c>
      <c r="D723" s="24">
        <v>1.8216384231428684E-3</v>
      </c>
      <c r="E723" s="24">
        <v>3.5916492067800916E-21</v>
      </c>
      <c r="F723" s="24">
        <v>1.8802214639629889E-29</v>
      </c>
      <c r="G723" s="24">
        <v>0.57829103550451955</v>
      </c>
      <c r="H723" s="24">
        <v>0.29002629290972215</v>
      </c>
      <c r="I723" s="53">
        <v>2516.3139034748247</v>
      </c>
      <c r="J723" s="53">
        <v>6126.6222134524451</v>
      </c>
      <c r="K723" s="24">
        <v>0.4842974389241943</v>
      </c>
      <c r="L723" s="24">
        <v>0.94504620898502245</v>
      </c>
      <c r="M723" s="24">
        <v>0.79434134327464567</v>
      </c>
      <c r="O723" s="53">
        <v>4.130052614961933</v>
      </c>
      <c r="P723" s="54">
        <v>16380.612500703835</v>
      </c>
      <c r="Q723" s="54">
        <v>4.5356243370104661</v>
      </c>
      <c r="R723" s="54">
        <v>35939.181265117244</v>
      </c>
      <c r="S723" s="54">
        <v>0.40557172204853309</v>
      </c>
      <c r="T723" s="54">
        <v>19558.568764413409</v>
      </c>
      <c r="V723" s="69">
        <f t="shared" si="68"/>
        <v>809629.91049168282</v>
      </c>
      <c r="W723" s="69">
        <f t="shared" si="69"/>
        <v>871185.686136976</v>
      </c>
      <c r="X723" s="69">
        <f t="shared" si="66"/>
        <v>61555.775645293215</v>
      </c>
      <c r="Z723" s="68">
        <f t="shared" si="70"/>
        <v>0</v>
      </c>
      <c r="AA723" s="68">
        <f t="shared" si="71"/>
        <v>1</v>
      </c>
      <c r="AB723" s="68">
        <f t="shared" si="67"/>
        <v>1</v>
      </c>
    </row>
    <row r="724" spans="1:28" x14ac:dyDescent="0.25">
      <c r="A724">
        <v>719</v>
      </c>
      <c r="C724" s="24">
        <v>5.7142482820929454E-7</v>
      </c>
      <c r="D724" s="24">
        <v>2.519732293584568E-5</v>
      </c>
      <c r="E724" s="24">
        <v>6.2881786985691552E-15</v>
      </c>
      <c r="F724" s="24">
        <v>3.9919274402568912E-18</v>
      </c>
      <c r="G724" s="24">
        <v>0.65526576431207006</v>
      </c>
      <c r="H724" s="24">
        <v>0.17751094775325194</v>
      </c>
      <c r="I724" s="53">
        <v>1876.5312728985016</v>
      </c>
      <c r="J724" s="53">
        <v>5635.1983461450463</v>
      </c>
      <c r="K724" s="24">
        <v>0.71181843498331565</v>
      </c>
      <c r="L724" s="24">
        <v>0.88015335991190291</v>
      </c>
      <c r="M724" s="24">
        <v>0.78274630464910266</v>
      </c>
      <c r="O724" s="53">
        <v>4.1194517342311379</v>
      </c>
      <c r="P724" s="54">
        <v>19308.678386291715</v>
      </c>
      <c r="Q724" s="54">
        <v>4.364428604160409</v>
      </c>
      <c r="R724" s="54">
        <v>21630.423251134103</v>
      </c>
      <c r="S724" s="54">
        <v>0.24497686992927115</v>
      </c>
      <c r="T724" s="54">
        <v>2321.7448648423888</v>
      </c>
      <c r="V724" s="69">
        <f t="shared" si="68"/>
        <v>804581.66845993581</v>
      </c>
      <c r="W724" s="69">
        <f t="shared" si="69"/>
        <v>851255.29758094763</v>
      </c>
      <c r="X724" s="69">
        <f t="shared" si="66"/>
        <v>46673.629121011843</v>
      </c>
      <c r="Z724" s="68">
        <f t="shared" si="70"/>
        <v>0</v>
      </c>
      <c r="AA724" s="68">
        <f t="shared" si="71"/>
        <v>1</v>
      </c>
      <c r="AB724" s="68">
        <f t="shared" si="67"/>
        <v>1</v>
      </c>
    </row>
    <row r="725" spans="1:28" x14ac:dyDescent="0.25">
      <c r="A725">
        <v>720</v>
      </c>
      <c r="C725" s="24">
        <v>2.5203499154343167E-2</v>
      </c>
      <c r="D725" s="24">
        <v>2.9854236394362069E-5</v>
      </c>
      <c r="E725" s="24">
        <v>1.8946174326113931E-25</v>
      </c>
      <c r="F725" s="24">
        <v>9.1269686537031207E-30</v>
      </c>
      <c r="G725" s="24">
        <v>0.66323563423264453</v>
      </c>
      <c r="H725" s="24">
        <v>0.31854193423075938</v>
      </c>
      <c r="I725" s="53">
        <v>2039.0861564744905</v>
      </c>
      <c r="J725" s="53">
        <v>4660.5969329415057</v>
      </c>
      <c r="K725" s="24">
        <v>0.76446425065161683</v>
      </c>
      <c r="L725" s="24">
        <v>0.97132198429117922</v>
      </c>
      <c r="M725" s="24">
        <v>0.66856103896407659</v>
      </c>
      <c r="O725" s="53">
        <v>4.427103627129509</v>
      </c>
      <c r="P725" s="54">
        <v>16822.463768694372</v>
      </c>
      <c r="Q725" s="54">
        <v>4.760172972704126</v>
      </c>
      <c r="R725" s="54">
        <v>54237.74819017548</v>
      </c>
      <c r="S725" s="54">
        <v>0.33306934557461698</v>
      </c>
      <c r="T725" s="54">
        <v>37415.284421481105</v>
      </c>
      <c r="V725" s="69">
        <f t="shared" si="68"/>
        <v>868598.26165720751</v>
      </c>
      <c r="W725" s="69">
        <f t="shared" si="69"/>
        <v>897796.84635064972</v>
      </c>
      <c r="X725" s="69">
        <f t="shared" si="66"/>
        <v>29198.584693442288</v>
      </c>
      <c r="Z725" s="68">
        <f t="shared" si="70"/>
        <v>0</v>
      </c>
      <c r="AA725" s="68">
        <f t="shared" si="71"/>
        <v>1</v>
      </c>
      <c r="AB725" s="68">
        <f t="shared" si="67"/>
        <v>1</v>
      </c>
    </row>
    <row r="726" spans="1:28" x14ac:dyDescent="0.25">
      <c r="A726">
        <v>721</v>
      </c>
      <c r="C726" s="24">
        <v>2.0052111404870288E-2</v>
      </c>
      <c r="D726" s="24">
        <v>3.5095030789212833E-3</v>
      </c>
      <c r="E726" s="24">
        <v>9.2601837309302937E-10</v>
      </c>
      <c r="F726" s="24">
        <v>4.9704684812468258E-13</v>
      </c>
      <c r="G726" s="24">
        <v>0.55682717650086955</v>
      </c>
      <c r="H726" s="24">
        <v>0.2767251515543333</v>
      </c>
      <c r="I726" s="53">
        <v>1458.3199995132409</v>
      </c>
      <c r="J726" s="53">
        <v>4240.1258083231396</v>
      </c>
      <c r="K726" s="24">
        <v>0.54165315264895253</v>
      </c>
      <c r="L726" s="24">
        <v>0.73587596253232013</v>
      </c>
      <c r="M726" s="24">
        <v>0.93280626273016198</v>
      </c>
      <c r="O726" s="53">
        <v>3.4823665434800568</v>
      </c>
      <c r="P726" s="54">
        <v>16817.936636072005</v>
      </c>
      <c r="Q726" s="54">
        <v>3.6096034607779175</v>
      </c>
      <c r="R726" s="54">
        <v>29385.642765204302</v>
      </c>
      <c r="S726" s="54">
        <v>0.12723691729786069</v>
      </c>
      <c r="T726" s="54">
        <v>12567.706129132297</v>
      </c>
      <c r="V726" s="69">
        <f t="shared" si="68"/>
        <v>679655.37205993931</v>
      </c>
      <c r="W726" s="69">
        <f t="shared" si="69"/>
        <v>692535.04939037922</v>
      </c>
      <c r="X726" s="69">
        <f t="shared" si="66"/>
        <v>12879.677330439841</v>
      </c>
      <c r="Z726" s="68">
        <f t="shared" si="70"/>
        <v>0</v>
      </c>
      <c r="AA726" s="68">
        <f t="shared" si="71"/>
        <v>1</v>
      </c>
      <c r="AB726" s="68">
        <f t="shared" si="67"/>
        <v>1</v>
      </c>
    </row>
    <row r="727" spans="1:28" x14ac:dyDescent="0.25">
      <c r="A727">
        <v>722</v>
      </c>
      <c r="C727" s="24">
        <v>5.2294909440799918E-9</v>
      </c>
      <c r="D727" s="24">
        <v>1.0742630230328413E-3</v>
      </c>
      <c r="E727" s="24">
        <v>2.4694527914445507E-17</v>
      </c>
      <c r="F727" s="24">
        <v>6.2317317723051145E-16</v>
      </c>
      <c r="G727" s="24">
        <v>0.59546314205623807</v>
      </c>
      <c r="H727" s="24">
        <v>0.32104017403533136</v>
      </c>
      <c r="I727" s="53">
        <v>1929.5692674152706</v>
      </c>
      <c r="J727" s="53">
        <v>5457.1585460026745</v>
      </c>
      <c r="K727" s="24">
        <v>0.59334433708468592</v>
      </c>
      <c r="L727" s="24">
        <v>0.87995255964277774</v>
      </c>
      <c r="M727" s="24">
        <v>0.96189227971387403</v>
      </c>
      <c r="O727" s="53">
        <v>4.0094696766922224</v>
      </c>
      <c r="P727" s="54">
        <v>17037.378287852014</v>
      </c>
      <c r="Q727" s="54">
        <v>4.2652919330830992</v>
      </c>
      <c r="R727" s="54">
        <v>57165.155704582234</v>
      </c>
      <c r="S727" s="54">
        <v>0.25582225639087675</v>
      </c>
      <c r="T727" s="54">
        <v>40127.77741673022</v>
      </c>
      <c r="V727" s="69">
        <f t="shared" si="68"/>
        <v>784856.5570505925</v>
      </c>
      <c r="W727" s="69">
        <f t="shared" si="69"/>
        <v>795893.23091203766</v>
      </c>
      <c r="X727" s="69">
        <f t="shared" si="66"/>
        <v>11036.673861445131</v>
      </c>
      <c r="Z727" s="68">
        <f t="shared" si="70"/>
        <v>0</v>
      </c>
      <c r="AA727" s="68">
        <f t="shared" si="71"/>
        <v>1</v>
      </c>
      <c r="AB727" s="68">
        <f t="shared" si="67"/>
        <v>1</v>
      </c>
    </row>
    <row r="728" spans="1:28" x14ac:dyDescent="0.25">
      <c r="A728">
        <v>723</v>
      </c>
      <c r="C728" s="24">
        <v>2.313421172852974E-11</v>
      </c>
      <c r="D728" s="24">
        <v>9.7464266817549308E-4</v>
      </c>
      <c r="E728" s="24">
        <v>8.4973716951708411E-10</v>
      </c>
      <c r="F728" s="24">
        <v>4.2218252576922133E-3</v>
      </c>
      <c r="G728" s="24">
        <v>0.52351707575849682</v>
      </c>
      <c r="H728" s="24">
        <v>0.32281304657356347</v>
      </c>
      <c r="I728" s="53">
        <v>1800.9048349667421</v>
      </c>
      <c r="J728" s="53">
        <v>4997.2801569463627</v>
      </c>
      <c r="K728" s="24">
        <v>0.62911259555172516</v>
      </c>
      <c r="L728" s="24">
        <v>0.77759720677752608</v>
      </c>
      <c r="M728" s="24">
        <v>0.80915587704069736</v>
      </c>
      <c r="O728" s="53">
        <v>3.731259671703099</v>
      </c>
      <c r="P728" s="54">
        <v>16642.028486431849</v>
      </c>
      <c r="Q728" s="54">
        <v>3.7957212576661181</v>
      </c>
      <c r="R728" s="54">
        <v>38056.699420430443</v>
      </c>
      <c r="S728" s="54">
        <v>6.4461585963019097E-2</v>
      </c>
      <c r="T728" s="54">
        <v>21414.670933998594</v>
      </c>
      <c r="V728" s="69">
        <f t="shared" si="68"/>
        <v>729609.90585418802</v>
      </c>
      <c r="W728" s="69">
        <f t="shared" si="69"/>
        <v>721087.5521127932</v>
      </c>
      <c r="X728" s="69">
        <f t="shared" si="66"/>
        <v>-8522.3537413947743</v>
      </c>
      <c r="Z728" s="68">
        <f t="shared" si="70"/>
        <v>1</v>
      </c>
      <c r="AA728" s="68">
        <f t="shared" si="71"/>
        <v>0</v>
      </c>
      <c r="AB728" s="68">
        <f t="shared" si="67"/>
        <v>0</v>
      </c>
    </row>
    <row r="729" spans="1:28" x14ac:dyDescent="0.25">
      <c r="A729">
        <v>724</v>
      </c>
      <c r="C729" s="24">
        <v>1.811785613565764E-4</v>
      </c>
      <c r="D729" s="24">
        <v>2.0084869213542726E-6</v>
      </c>
      <c r="E729" s="24">
        <v>9.7421404277042711E-11</v>
      </c>
      <c r="F729" s="24">
        <v>4.6084735371281518E-18</v>
      </c>
      <c r="G729" s="24">
        <v>0.54103667737652938</v>
      </c>
      <c r="H729" s="24">
        <v>0.16992633417549818</v>
      </c>
      <c r="I729" s="53">
        <v>2022.8393472817756</v>
      </c>
      <c r="J729" s="53">
        <v>5349.7613428496425</v>
      </c>
      <c r="K729" s="24">
        <v>0.52442673062963008</v>
      </c>
      <c r="L729" s="24">
        <v>0.86611679731528035</v>
      </c>
      <c r="M729" s="24">
        <v>0.95816436646213676</v>
      </c>
      <c r="O729" s="53">
        <v>3.9466056155044069</v>
      </c>
      <c r="P729" s="54">
        <v>15814.370724790748</v>
      </c>
      <c r="Q729" s="54">
        <v>4.2606467868334397</v>
      </c>
      <c r="R729" s="54">
        <v>23869.47065376622</v>
      </c>
      <c r="S729" s="54">
        <v>0.31404117132903275</v>
      </c>
      <c r="T729" s="54">
        <v>8055.0999289754727</v>
      </c>
      <c r="V729" s="69">
        <f t="shared" si="68"/>
        <v>773506.75237609062</v>
      </c>
      <c r="W729" s="69">
        <f t="shared" si="69"/>
        <v>828259.88671292178</v>
      </c>
      <c r="X729" s="69">
        <f t="shared" si="66"/>
        <v>54753.134336831077</v>
      </c>
      <c r="Z729" s="68">
        <f t="shared" si="70"/>
        <v>0</v>
      </c>
      <c r="AA729" s="68">
        <f t="shared" si="71"/>
        <v>1</v>
      </c>
      <c r="AB729" s="68">
        <f t="shared" si="67"/>
        <v>1</v>
      </c>
    </row>
    <row r="730" spans="1:28" x14ac:dyDescent="0.25">
      <c r="A730">
        <v>725</v>
      </c>
      <c r="C730" s="24">
        <v>3.5773788857295097E-3</v>
      </c>
      <c r="D730" s="24">
        <v>1.1915883677485902E-3</v>
      </c>
      <c r="E730" s="24">
        <v>2.1680608030808529E-32</v>
      </c>
      <c r="F730" s="24">
        <v>9.5815578821512037E-4</v>
      </c>
      <c r="G730" s="24">
        <v>0.50337227109131566</v>
      </c>
      <c r="H730" s="24">
        <v>0.25841332789576477</v>
      </c>
      <c r="I730" s="53">
        <v>2254.5667272472147</v>
      </c>
      <c r="J730" s="53">
        <v>4718.9923842982407</v>
      </c>
      <c r="K730" s="24">
        <v>0.44156997460060721</v>
      </c>
      <c r="L730" s="24">
        <v>0.91225628692923544</v>
      </c>
      <c r="M730" s="24">
        <v>0.79297457325060916</v>
      </c>
      <c r="O730" s="53">
        <v>4.0961677923152235</v>
      </c>
      <c r="P730" s="54">
        <v>16338.475813607129</v>
      </c>
      <c r="Q730" s="54">
        <v>4.3910803639159868</v>
      </c>
      <c r="R730" s="54">
        <v>41675.823429505421</v>
      </c>
      <c r="S730" s="54">
        <v>0.29491257160076323</v>
      </c>
      <c r="T730" s="54">
        <v>25337.347615898292</v>
      </c>
      <c r="V730" s="69">
        <f t="shared" si="68"/>
        <v>802895.08264943759</v>
      </c>
      <c r="W730" s="69">
        <f t="shared" si="69"/>
        <v>836540.24935369194</v>
      </c>
      <c r="X730" s="69">
        <f t="shared" si="66"/>
        <v>33645.166704254356</v>
      </c>
      <c r="Z730" s="68">
        <f t="shared" si="70"/>
        <v>0</v>
      </c>
      <c r="AA730" s="68">
        <f t="shared" si="71"/>
        <v>1</v>
      </c>
      <c r="AB730" s="68">
        <f t="shared" si="67"/>
        <v>1</v>
      </c>
    </row>
    <row r="731" spans="1:28" x14ac:dyDescent="0.25">
      <c r="A731">
        <v>726</v>
      </c>
      <c r="C731" s="24">
        <v>4.5415274883421563E-8</v>
      </c>
      <c r="D731" s="24">
        <v>7.5538687507125323E-4</v>
      </c>
      <c r="E731" s="24">
        <v>4.1277784523785499E-9</v>
      </c>
      <c r="F731" s="24">
        <v>6.4654336329184048E-9</v>
      </c>
      <c r="G731" s="24">
        <v>0.70093262933991263</v>
      </c>
      <c r="H731" s="24">
        <v>0.26059802343075811</v>
      </c>
      <c r="I731" s="53">
        <v>1779.5878451621145</v>
      </c>
      <c r="J731" s="53">
        <v>4540.2338178582495</v>
      </c>
      <c r="K731" s="24">
        <v>0.65158846303246898</v>
      </c>
      <c r="L731" s="24">
        <v>0.89224396650992577</v>
      </c>
      <c r="M731" s="24">
        <v>0.90560774786395604</v>
      </c>
      <c r="O731" s="53">
        <v>3.9926186034354134</v>
      </c>
      <c r="P731" s="54">
        <v>20207.048611719976</v>
      </c>
      <c r="Q731" s="54">
        <v>4.3765675288908046</v>
      </c>
      <c r="R731" s="54">
        <v>39253.688629580742</v>
      </c>
      <c r="S731" s="54">
        <v>0.38394892545539117</v>
      </c>
      <c r="T731" s="54">
        <v>19046.640017860766</v>
      </c>
      <c r="V731" s="69">
        <f t="shared" si="68"/>
        <v>778316.67207536276</v>
      </c>
      <c r="W731" s="69">
        <f t="shared" si="69"/>
        <v>836059.8171485801</v>
      </c>
      <c r="X731" s="69">
        <f t="shared" si="66"/>
        <v>57743.145073217464</v>
      </c>
      <c r="Z731" s="68">
        <f t="shared" si="70"/>
        <v>0</v>
      </c>
      <c r="AA731" s="68">
        <f t="shared" si="71"/>
        <v>1</v>
      </c>
      <c r="AB731" s="68">
        <f t="shared" si="67"/>
        <v>1</v>
      </c>
    </row>
    <row r="732" spans="1:28" x14ac:dyDescent="0.25">
      <c r="A732">
        <v>727</v>
      </c>
      <c r="C732" s="24">
        <v>1.7522457352039389E-3</v>
      </c>
      <c r="D732" s="24">
        <v>3.9977152854159259E-3</v>
      </c>
      <c r="E732" s="24">
        <v>5.3906523311331167E-4</v>
      </c>
      <c r="F732" s="24">
        <v>2.8966063798103718E-44</v>
      </c>
      <c r="G732" s="24">
        <v>0.46862597129998518</v>
      </c>
      <c r="H732" s="24">
        <v>0.26003994474355219</v>
      </c>
      <c r="I732" s="53">
        <v>1591.5210065048734</v>
      </c>
      <c r="J732" s="53">
        <v>4764.6106301753935</v>
      </c>
      <c r="K732" s="24">
        <v>0.61346826610397609</v>
      </c>
      <c r="L732" s="24">
        <v>0.84877710205142654</v>
      </c>
      <c r="M732" s="24">
        <v>0.95686214373426526</v>
      </c>
      <c r="O732" s="53">
        <v>4.0389654770772285</v>
      </c>
      <c r="P732" s="54">
        <v>16717.672305774053</v>
      </c>
      <c r="Q732" s="54">
        <v>4.1640053329135087</v>
      </c>
      <c r="R732" s="54">
        <v>32484.377957269</v>
      </c>
      <c r="S732" s="54">
        <v>0.12503985583628019</v>
      </c>
      <c r="T732" s="54">
        <v>15766.705651494947</v>
      </c>
      <c r="V732" s="69">
        <f t="shared" si="68"/>
        <v>791075.42310967168</v>
      </c>
      <c r="W732" s="69">
        <f t="shared" si="69"/>
        <v>800316.68862543278</v>
      </c>
      <c r="X732" s="69">
        <f t="shared" si="66"/>
        <v>9241.2655157610898</v>
      </c>
      <c r="Z732" s="68">
        <f t="shared" si="70"/>
        <v>0</v>
      </c>
      <c r="AA732" s="68">
        <f t="shared" si="71"/>
        <v>1</v>
      </c>
      <c r="AB732" s="68">
        <f t="shared" si="67"/>
        <v>1</v>
      </c>
    </row>
    <row r="733" spans="1:28" x14ac:dyDescent="0.25">
      <c r="A733">
        <v>728</v>
      </c>
      <c r="C733" s="24">
        <v>3.5263144196320739E-12</v>
      </c>
      <c r="D733" s="24">
        <v>1.9906107297296843E-4</v>
      </c>
      <c r="E733" s="24">
        <v>1.9185698036483512E-3</v>
      </c>
      <c r="F733" s="24">
        <v>3.7603647073947144E-7</v>
      </c>
      <c r="G733" s="24">
        <v>0.48656914400153584</v>
      </c>
      <c r="H733" s="24">
        <v>0.27641681069587887</v>
      </c>
      <c r="I733" s="53">
        <v>1582.8365144163104</v>
      </c>
      <c r="J733" s="53">
        <v>6620.7510840129289</v>
      </c>
      <c r="K733" s="24">
        <v>0.74864671736893795</v>
      </c>
      <c r="L733" s="24">
        <v>0.78156559133490544</v>
      </c>
      <c r="M733" s="24">
        <v>0.8917689716664865</v>
      </c>
      <c r="O733" s="53">
        <v>3.8655717577440143</v>
      </c>
      <c r="P733" s="54">
        <v>13107.080506429716</v>
      </c>
      <c r="Q733" s="54">
        <v>3.8954110226900851</v>
      </c>
      <c r="R733" s="54">
        <v>30247.866599482906</v>
      </c>
      <c r="S733" s="54">
        <v>2.9839264946070809E-2</v>
      </c>
      <c r="T733" s="54">
        <v>17140.78609305319</v>
      </c>
      <c r="V733" s="69">
        <f t="shared" si="68"/>
        <v>760007.27104237303</v>
      </c>
      <c r="W733" s="69">
        <f t="shared" si="69"/>
        <v>748834.3379385341</v>
      </c>
      <c r="X733" s="69">
        <f t="shared" si="66"/>
        <v>-11172.933103839028</v>
      </c>
      <c r="Z733" s="68">
        <f t="shared" si="70"/>
        <v>1</v>
      </c>
      <c r="AA733" s="68">
        <f t="shared" si="71"/>
        <v>0</v>
      </c>
      <c r="AB733" s="68">
        <f t="shared" si="67"/>
        <v>0</v>
      </c>
    </row>
    <row r="734" spans="1:28" x14ac:dyDescent="0.25">
      <c r="A734">
        <v>729</v>
      </c>
      <c r="C734" s="24">
        <v>2.4913060259194042E-3</v>
      </c>
      <c r="D734" s="24">
        <v>4.5570592229220993E-4</v>
      </c>
      <c r="E734" s="24">
        <v>7.9668736052695976E-9</v>
      </c>
      <c r="F734" s="24">
        <v>5.7160717270576811E-9</v>
      </c>
      <c r="G734" s="24">
        <v>0.57456457501774938</v>
      </c>
      <c r="H734" s="24">
        <v>0.37677246048556801</v>
      </c>
      <c r="I734" s="53">
        <v>1856.0099264762596</v>
      </c>
      <c r="J734" s="53">
        <v>5828.5529133879872</v>
      </c>
      <c r="K734" s="24">
        <v>0.65868959753526113</v>
      </c>
      <c r="L734" s="24">
        <v>0.53445049923297394</v>
      </c>
      <c r="M734" s="24">
        <v>0.938419348905706</v>
      </c>
      <c r="O734" s="53">
        <v>2.8383681977478923</v>
      </c>
      <c r="P734" s="54">
        <v>21202.464159919866</v>
      </c>
      <c r="Q734" s="54">
        <v>2.7480906918720689</v>
      </c>
      <c r="R734" s="54">
        <v>43986.003744943584</v>
      </c>
      <c r="S734" s="54">
        <v>-9.0277505875823394E-2</v>
      </c>
      <c r="T734" s="54">
        <v>22783.539585023718</v>
      </c>
      <c r="V734" s="69">
        <f t="shared" si="68"/>
        <v>546471.17538965854</v>
      </c>
      <c r="W734" s="69">
        <f t="shared" si="69"/>
        <v>505632.13462947024</v>
      </c>
      <c r="X734" s="69">
        <f t="shared" si="66"/>
        <v>-40839.040760188393</v>
      </c>
      <c r="Z734" s="68">
        <f t="shared" si="70"/>
        <v>1</v>
      </c>
      <c r="AA734" s="68">
        <f t="shared" si="71"/>
        <v>0</v>
      </c>
      <c r="AB734" s="68">
        <f t="shared" si="67"/>
        <v>0</v>
      </c>
    </row>
    <row r="735" spans="1:28" x14ac:dyDescent="0.25">
      <c r="A735">
        <v>730</v>
      </c>
      <c r="C735" s="24">
        <v>1.9703437141898418E-5</v>
      </c>
      <c r="D735" s="24">
        <v>4.9011228726228984E-3</v>
      </c>
      <c r="E735" s="24">
        <v>2.6477731806157219E-66</v>
      </c>
      <c r="F735" s="24">
        <v>7.5173476454803989E-7</v>
      </c>
      <c r="G735" s="24">
        <v>0.54812002257828385</v>
      </c>
      <c r="H735" s="24">
        <v>0.36826083960705269</v>
      </c>
      <c r="I735" s="53">
        <v>1583.1329310230481</v>
      </c>
      <c r="J735" s="53">
        <v>5919.969750635737</v>
      </c>
      <c r="K735" s="24">
        <v>0.63303805445851802</v>
      </c>
      <c r="L735" s="24">
        <v>0.97901249520752565</v>
      </c>
      <c r="M735" s="24">
        <v>0.89437394605424747</v>
      </c>
      <c r="O735" s="53">
        <v>4.4961515108804155</v>
      </c>
      <c r="P735" s="54">
        <v>16062.028850524573</v>
      </c>
      <c r="Q735" s="54">
        <v>4.6918407829648379</v>
      </c>
      <c r="R735" s="54">
        <v>60743.717232326147</v>
      </c>
      <c r="S735" s="54">
        <v>0.19568927208442233</v>
      </c>
      <c r="T735" s="54">
        <v>44681.688381801578</v>
      </c>
      <c r="V735" s="69">
        <f t="shared" si="68"/>
        <v>883168.27332555852</v>
      </c>
      <c r="W735" s="69">
        <f t="shared" si="69"/>
        <v>877624.43936064141</v>
      </c>
      <c r="X735" s="69">
        <f t="shared" si="66"/>
        <v>-5543.8339649171103</v>
      </c>
      <c r="Z735" s="68">
        <f t="shared" si="70"/>
        <v>1</v>
      </c>
      <c r="AA735" s="68">
        <f t="shared" si="71"/>
        <v>0</v>
      </c>
      <c r="AB735" s="68">
        <f t="shared" si="67"/>
        <v>0</v>
      </c>
    </row>
    <row r="736" spans="1:28" x14ac:dyDescent="0.25">
      <c r="A736">
        <v>731</v>
      </c>
      <c r="C736" s="24">
        <v>3.9346210487099014E-19</v>
      </c>
      <c r="D736" s="24">
        <v>4.1454331244678374E-5</v>
      </c>
      <c r="E736" s="24">
        <v>8.2895201301636978E-24</v>
      </c>
      <c r="F736" s="24">
        <v>7.2028943941537804E-6</v>
      </c>
      <c r="G736" s="24">
        <v>0.6705799412809752</v>
      </c>
      <c r="H736" s="24">
        <v>0.26074224050064365</v>
      </c>
      <c r="I736" s="53">
        <v>2193.7163081173512</v>
      </c>
      <c r="J736" s="53">
        <v>4224.9687480150005</v>
      </c>
      <c r="K736" s="24">
        <v>0.70159265766992696</v>
      </c>
      <c r="L736" s="24">
        <v>0.8903639905109606</v>
      </c>
      <c r="M736" s="24">
        <v>0.86062779848664017</v>
      </c>
      <c r="O736" s="53">
        <v>4.1196560758100214</v>
      </c>
      <c r="P736" s="54">
        <v>20127.838036193098</v>
      </c>
      <c r="Q736" s="54">
        <v>4.3852709375047692</v>
      </c>
      <c r="R736" s="54">
        <v>37785.796178126802</v>
      </c>
      <c r="S736" s="54">
        <v>0.26561486169474779</v>
      </c>
      <c r="T736" s="54">
        <v>17657.958141933705</v>
      </c>
      <c r="V736" s="69">
        <f t="shared" si="68"/>
        <v>803803.37712581118</v>
      </c>
      <c r="W736" s="69">
        <f t="shared" si="69"/>
        <v>839268.39132282697</v>
      </c>
      <c r="X736" s="69">
        <f t="shared" si="66"/>
        <v>35465.014197015851</v>
      </c>
      <c r="Z736" s="68">
        <f t="shared" si="70"/>
        <v>0</v>
      </c>
      <c r="AA736" s="68">
        <f t="shared" si="71"/>
        <v>1</v>
      </c>
      <c r="AB736" s="68">
        <f t="shared" si="67"/>
        <v>1</v>
      </c>
    </row>
    <row r="737" spans="1:28" x14ac:dyDescent="0.25">
      <c r="A737">
        <v>732</v>
      </c>
      <c r="C737" s="24">
        <v>2.7373020763961263E-6</v>
      </c>
      <c r="D737" s="24">
        <v>7.1309277579584274E-3</v>
      </c>
      <c r="E737" s="24">
        <v>1.2056888082367934E-6</v>
      </c>
      <c r="F737" s="24">
        <v>1.3068714104821505E-51</v>
      </c>
      <c r="G737" s="24">
        <v>0.64972674225328997</v>
      </c>
      <c r="H737" s="24">
        <v>0.16136686484989859</v>
      </c>
      <c r="I737" s="53">
        <v>1542.9784225718977</v>
      </c>
      <c r="J737" s="53">
        <v>5351.5779421009174</v>
      </c>
      <c r="K737" s="24">
        <v>0.55138432136024507</v>
      </c>
      <c r="L737" s="24">
        <v>0.85437327047371625</v>
      </c>
      <c r="M737" s="24">
        <v>0.90634158980949775</v>
      </c>
      <c r="O737" s="53">
        <v>3.7749129303720603</v>
      </c>
      <c r="P737" s="54">
        <v>18175.733158768398</v>
      </c>
      <c r="Q737" s="54">
        <v>4.215697078778847</v>
      </c>
      <c r="R737" s="54">
        <v>23726.775459710803</v>
      </c>
      <c r="S737" s="54">
        <v>0.4407841484067867</v>
      </c>
      <c r="T737" s="54">
        <v>5551.0423009424048</v>
      </c>
      <c r="V737" s="69">
        <f t="shared" si="68"/>
        <v>736806.85291564371</v>
      </c>
      <c r="W737" s="69">
        <f t="shared" si="69"/>
        <v>819412.6402960585</v>
      </c>
      <c r="X737" s="69">
        <f t="shared" si="66"/>
        <v>82605.787380414928</v>
      </c>
      <c r="Z737" s="68">
        <f t="shared" si="70"/>
        <v>0</v>
      </c>
      <c r="AA737" s="68">
        <f t="shared" si="71"/>
        <v>1</v>
      </c>
      <c r="AB737" s="68">
        <f t="shared" si="67"/>
        <v>1</v>
      </c>
    </row>
    <row r="738" spans="1:28" x14ac:dyDescent="0.25">
      <c r="A738">
        <v>733</v>
      </c>
      <c r="C738" s="24">
        <v>7.1987171152259631E-8</v>
      </c>
      <c r="D738" s="24">
        <v>1.1675426332809996E-3</v>
      </c>
      <c r="E738" s="24">
        <v>1.3205680985098889E-3</v>
      </c>
      <c r="F738" s="24">
        <v>1.1844703091488618E-26</v>
      </c>
      <c r="G738" s="24">
        <v>0.55154064449376028</v>
      </c>
      <c r="H738" s="24">
        <v>0.23065832179701051</v>
      </c>
      <c r="I738" s="53">
        <v>1765.1530105728461</v>
      </c>
      <c r="J738" s="53">
        <v>5059.3234715536009</v>
      </c>
      <c r="K738" s="24">
        <v>0.56744235755550076</v>
      </c>
      <c r="L738" s="24">
        <v>0.52347304690985375</v>
      </c>
      <c r="M738" s="24">
        <v>0.7193963724867779</v>
      </c>
      <c r="O738" s="53">
        <v>2.6627731295542927</v>
      </c>
      <c r="P738" s="54">
        <v>13129.701130461221</v>
      </c>
      <c r="Q738" s="54">
        <v>2.6319367484453235</v>
      </c>
      <c r="R738" s="54">
        <v>31327.581267282942</v>
      </c>
      <c r="S738" s="54">
        <v>-3.0836381108969135E-2</v>
      </c>
      <c r="T738" s="54">
        <v>18197.880136821721</v>
      </c>
      <c r="V738" s="69">
        <f t="shared" si="68"/>
        <v>519424.92478039727</v>
      </c>
      <c r="W738" s="69">
        <f t="shared" si="69"/>
        <v>495059.76842178172</v>
      </c>
      <c r="X738" s="69">
        <f t="shared" si="66"/>
        <v>-24365.156358615546</v>
      </c>
      <c r="Z738" s="68">
        <f t="shared" si="70"/>
        <v>1</v>
      </c>
      <c r="AA738" s="68">
        <f t="shared" si="71"/>
        <v>0</v>
      </c>
      <c r="AB738" s="68">
        <f t="shared" si="67"/>
        <v>0</v>
      </c>
    </row>
    <row r="739" spans="1:28" x14ac:dyDescent="0.25">
      <c r="A739">
        <v>734</v>
      </c>
      <c r="C739" s="24">
        <v>9.6124603414192711E-3</v>
      </c>
      <c r="D739" s="24">
        <v>7.5683036101132758E-5</v>
      </c>
      <c r="E739" s="24">
        <v>3.9441001464801673E-8</v>
      </c>
      <c r="F739" s="24">
        <v>8.0136742224895688E-32</v>
      </c>
      <c r="G739" s="24">
        <v>0.50486522831863023</v>
      </c>
      <c r="H739" s="24">
        <v>0.34398132324135922</v>
      </c>
      <c r="I739" s="53">
        <v>1599.8910019470663</v>
      </c>
      <c r="J739" s="53">
        <v>5204.97652592743</v>
      </c>
      <c r="K739" s="24">
        <v>0.70286842863898491</v>
      </c>
      <c r="L739" s="24">
        <v>0.9324079302830226</v>
      </c>
      <c r="M739" s="24">
        <v>0.68511057495451511</v>
      </c>
      <c r="O739" s="53">
        <v>4.4163956554239103</v>
      </c>
      <c r="P739" s="54">
        <v>13194.195110205741</v>
      </c>
      <c r="Q739" s="54">
        <v>4.5421332049494811</v>
      </c>
      <c r="R739" s="54">
        <v>45809.096998757239</v>
      </c>
      <c r="S739" s="54">
        <v>0.12573754952557081</v>
      </c>
      <c r="T739" s="54">
        <v>32614.901888551496</v>
      </c>
      <c r="V739" s="69">
        <f t="shared" si="68"/>
        <v>870084.93597457628</v>
      </c>
      <c r="W739" s="69">
        <f t="shared" si="69"/>
        <v>862617.54399113904</v>
      </c>
      <c r="X739" s="69">
        <f t="shared" si="66"/>
        <v>-7467.3919834373337</v>
      </c>
      <c r="Z739" s="68">
        <f t="shared" si="70"/>
        <v>1</v>
      </c>
      <c r="AA739" s="68">
        <f t="shared" si="71"/>
        <v>0</v>
      </c>
      <c r="AB739" s="68">
        <f t="shared" si="67"/>
        <v>0</v>
      </c>
    </row>
    <row r="740" spans="1:28" x14ac:dyDescent="0.25">
      <c r="A740">
        <v>735</v>
      </c>
      <c r="C740" s="24">
        <v>4.2612913027475496E-3</v>
      </c>
      <c r="D740" s="24">
        <v>2.6780664046896593E-5</v>
      </c>
      <c r="E740" s="24">
        <v>5.3956838996782608E-13</v>
      </c>
      <c r="F740" s="24">
        <v>2.0109919305886977E-16</v>
      </c>
      <c r="G740" s="24">
        <v>0.64053969145261502</v>
      </c>
      <c r="H740" s="24">
        <v>0.36446081923661711</v>
      </c>
      <c r="I740" s="53">
        <v>1938.6045663143911</v>
      </c>
      <c r="J740" s="53">
        <v>5187.3495573318896</v>
      </c>
      <c r="K740" s="24">
        <v>0.43132450149149465</v>
      </c>
      <c r="L740" s="24">
        <v>0.95000640841929485</v>
      </c>
      <c r="M740" s="24">
        <v>0.77781389369305787</v>
      </c>
      <c r="O740" s="53">
        <v>3.9184677708632312</v>
      </c>
      <c r="P740" s="54">
        <v>19791.606419791522</v>
      </c>
      <c r="Q740" s="54">
        <v>4.4544656557856701</v>
      </c>
      <c r="R740" s="54">
        <v>64439.063088181152</v>
      </c>
      <c r="S740" s="54">
        <v>0.53599788492243894</v>
      </c>
      <c r="T740" s="54">
        <v>44647.456668389626</v>
      </c>
      <c r="V740" s="69">
        <f t="shared" si="68"/>
        <v>763901.94775285479</v>
      </c>
      <c r="W740" s="69">
        <f t="shared" si="69"/>
        <v>826454.06806895288</v>
      </c>
      <c r="X740" s="69">
        <f t="shared" si="66"/>
        <v>62552.120316098168</v>
      </c>
      <c r="Z740" s="68">
        <f t="shared" si="70"/>
        <v>0</v>
      </c>
      <c r="AA740" s="68">
        <f t="shared" si="71"/>
        <v>1</v>
      </c>
      <c r="AB740" s="68">
        <f t="shared" si="67"/>
        <v>1</v>
      </c>
    </row>
    <row r="741" spans="1:28" x14ac:dyDescent="0.25">
      <c r="A741">
        <v>736</v>
      </c>
      <c r="C741" s="24">
        <v>1.7676290978652087E-4</v>
      </c>
      <c r="D741" s="24">
        <v>8.2622255290500571E-6</v>
      </c>
      <c r="E741" s="24">
        <v>7.9515079304015579E-4</v>
      </c>
      <c r="F741" s="24">
        <v>1.2657943239424707E-4</v>
      </c>
      <c r="G741" s="24">
        <v>0.54467247221999948</v>
      </c>
      <c r="H741" s="24">
        <v>0.27121682310717332</v>
      </c>
      <c r="I741" s="53">
        <v>1841.425547219623</v>
      </c>
      <c r="J741" s="53">
        <v>5068.1392131044367</v>
      </c>
      <c r="K741" s="24">
        <v>0.75435072061505382</v>
      </c>
      <c r="L741" s="24">
        <v>0.89412720737245732</v>
      </c>
      <c r="M741" s="24">
        <v>0.84985226961393201</v>
      </c>
      <c r="O741" s="53">
        <v>4.3053525149545262</v>
      </c>
      <c r="P741" s="54">
        <v>15488.297814835536</v>
      </c>
      <c r="Q741" s="54">
        <v>4.4179734220327918</v>
      </c>
      <c r="R741" s="54">
        <v>42368.37449054973</v>
      </c>
      <c r="S741" s="54">
        <v>0.11262090707826555</v>
      </c>
      <c r="T741" s="54">
        <v>26880.076675714194</v>
      </c>
      <c r="V741" s="69">
        <f t="shared" si="68"/>
        <v>845582.20517606963</v>
      </c>
      <c r="W741" s="69">
        <f t="shared" si="69"/>
        <v>841226.30991600873</v>
      </c>
      <c r="X741" s="69">
        <f t="shared" si="66"/>
        <v>-4355.8952600610828</v>
      </c>
      <c r="Z741" s="68">
        <f t="shared" si="70"/>
        <v>1</v>
      </c>
      <c r="AA741" s="68">
        <f t="shared" si="71"/>
        <v>0</v>
      </c>
      <c r="AB741" s="68">
        <f t="shared" si="67"/>
        <v>0</v>
      </c>
    </row>
    <row r="742" spans="1:28" x14ac:dyDescent="0.25">
      <c r="A742">
        <v>737</v>
      </c>
      <c r="C742" s="24">
        <v>1.9040989132850461E-2</v>
      </c>
      <c r="D742" s="24">
        <v>2.4435716293647909E-5</v>
      </c>
      <c r="E742" s="24">
        <v>3.3730946536607788E-18</v>
      </c>
      <c r="F742" s="24">
        <v>4.3988745975118271E-37</v>
      </c>
      <c r="G742" s="24">
        <v>0.54460827249071853</v>
      </c>
      <c r="H742" s="24">
        <v>0.27776271440093081</v>
      </c>
      <c r="I742" s="53">
        <v>1490.7274350019425</v>
      </c>
      <c r="J742" s="53">
        <v>4174.1540438830234</v>
      </c>
      <c r="K742" s="24">
        <v>0.68329791529699879</v>
      </c>
      <c r="L742" s="24">
        <v>0.94429718610921665</v>
      </c>
      <c r="M742" s="24">
        <v>0.68649888831016048</v>
      </c>
      <c r="O742" s="53">
        <v>4.3826855114038317</v>
      </c>
      <c r="P742" s="54">
        <v>16129.94247996111</v>
      </c>
      <c r="Q742" s="54">
        <v>4.6212348306694473</v>
      </c>
      <c r="R742" s="54">
        <v>42375.510061657893</v>
      </c>
      <c r="S742" s="54">
        <v>0.23854931926561562</v>
      </c>
      <c r="T742" s="54">
        <v>26245.567581696785</v>
      </c>
      <c r="V742" s="69">
        <f t="shared" si="68"/>
        <v>860407.15980080527</v>
      </c>
      <c r="W742" s="69">
        <f t="shared" si="69"/>
        <v>881871.45607223164</v>
      </c>
      <c r="X742" s="69">
        <f t="shared" si="66"/>
        <v>21464.296271426341</v>
      </c>
      <c r="Z742" s="68">
        <f t="shared" si="70"/>
        <v>0</v>
      </c>
      <c r="AA742" s="68">
        <f t="shared" si="71"/>
        <v>1</v>
      </c>
      <c r="AB742" s="68">
        <f t="shared" si="67"/>
        <v>1</v>
      </c>
    </row>
    <row r="743" spans="1:28" x14ac:dyDescent="0.25">
      <c r="A743">
        <v>738</v>
      </c>
      <c r="C743" s="24">
        <v>1.1727348537438398E-2</v>
      </c>
      <c r="D743" s="24">
        <v>4.8911205120404457E-4</v>
      </c>
      <c r="E743" s="24">
        <v>1.0622346999178411E-4</v>
      </c>
      <c r="F743" s="24">
        <v>1.5704418797334885E-41</v>
      </c>
      <c r="G743" s="24">
        <v>0.50671982027853713</v>
      </c>
      <c r="H743" s="24">
        <v>0.21408334250696648</v>
      </c>
      <c r="I743" s="53">
        <v>1963.4313176036324</v>
      </c>
      <c r="J743" s="53">
        <v>5734.5546065719664</v>
      </c>
      <c r="K743" s="24">
        <v>0.52484985186498112</v>
      </c>
      <c r="L743" s="24">
        <v>0.49117712993892398</v>
      </c>
      <c r="M743" s="24">
        <v>0.86791854715347938</v>
      </c>
      <c r="O743" s="53">
        <v>2.5247866765845481</v>
      </c>
      <c r="P743" s="54">
        <v>14935.229022131429</v>
      </c>
      <c r="Q743" s="54">
        <v>2.4661624376265485</v>
      </c>
      <c r="R743" s="54">
        <v>30146.688360773125</v>
      </c>
      <c r="S743" s="54">
        <v>-5.8624238957999619E-2</v>
      </c>
      <c r="T743" s="54">
        <v>15211.459338641696</v>
      </c>
      <c r="V743" s="69">
        <f t="shared" si="68"/>
        <v>490022.10629477823</v>
      </c>
      <c r="W743" s="69">
        <f t="shared" si="69"/>
        <v>463085.79916453658</v>
      </c>
      <c r="X743" s="69">
        <f t="shared" si="66"/>
        <v>-26936.307130241621</v>
      </c>
      <c r="Z743" s="68">
        <f t="shared" si="70"/>
        <v>1</v>
      </c>
      <c r="AA743" s="68">
        <f t="shared" si="71"/>
        <v>0</v>
      </c>
      <c r="AB743" s="68">
        <f t="shared" si="67"/>
        <v>0</v>
      </c>
    </row>
    <row r="744" spans="1:28" x14ac:dyDescent="0.25">
      <c r="A744">
        <v>739</v>
      </c>
      <c r="C744" s="24">
        <v>2.5791284797894898E-9</v>
      </c>
      <c r="D744" s="24">
        <v>4.3625850234673308E-4</v>
      </c>
      <c r="E744" s="24">
        <v>4.1801584416134574E-10</v>
      </c>
      <c r="F744" s="24">
        <v>4.8044947765331559E-23</v>
      </c>
      <c r="G744" s="24">
        <v>0.5596667403390041</v>
      </c>
      <c r="H744" s="24">
        <v>0.36174886685678043</v>
      </c>
      <c r="I744" s="53">
        <v>1974.6094732142615</v>
      </c>
      <c r="J744" s="53">
        <v>6201.4881933205688</v>
      </c>
      <c r="K744" s="24">
        <v>0.76058831798194049</v>
      </c>
      <c r="L744" s="24">
        <v>0.76368762687304781</v>
      </c>
      <c r="M744" s="24">
        <v>0.93913172753150109</v>
      </c>
      <c r="O744" s="53">
        <v>3.8147151935355081</v>
      </c>
      <c r="P744" s="54">
        <v>16369.689454955083</v>
      </c>
      <c r="Q744" s="54">
        <v>3.8172244379150362</v>
      </c>
      <c r="R744" s="54">
        <v>53416.598722030278</v>
      </c>
      <c r="S744" s="54">
        <v>2.5092443795280417E-3</v>
      </c>
      <c r="T744" s="54">
        <v>37046.909267075192</v>
      </c>
      <c r="V744" s="69">
        <f t="shared" si="68"/>
        <v>746573.34925214655</v>
      </c>
      <c r="W744" s="69">
        <f t="shared" si="69"/>
        <v>710028.28886097693</v>
      </c>
      <c r="X744" s="69">
        <f t="shared" si="66"/>
        <v>-36545.060391169587</v>
      </c>
      <c r="Z744" s="68">
        <f t="shared" si="70"/>
        <v>1</v>
      </c>
      <c r="AA744" s="68">
        <f t="shared" si="71"/>
        <v>0</v>
      </c>
      <c r="AB744" s="68">
        <f t="shared" si="67"/>
        <v>0</v>
      </c>
    </row>
    <row r="745" spans="1:28" x14ac:dyDescent="0.25">
      <c r="A745">
        <v>740</v>
      </c>
      <c r="C745" s="24">
        <v>7.455150321421522E-4</v>
      </c>
      <c r="D745" s="24">
        <v>1.4123675508653788E-3</v>
      </c>
      <c r="E745" s="24">
        <v>1.7420787919172548E-14</v>
      </c>
      <c r="F745" s="24">
        <v>3.3713674665171265E-32</v>
      </c>
      <c r="G745" s="24">
        <v>0.62387942409972341</v>
      </c>
      <c r="H745" s="24">
        <v>0.25131986728175082</v>
      </c>
      <c r="I745" s="53">
        <v>1842.736251425659</v>
      </c>
      <c r="J745" s="53">
        <v>4302.1565977390273</v>
      </c>
      <c r="K745" s="24">
        <v>0.54332318814145597</v>
      </c>
      <c r="L745" s="24">
        <v>0.76843179609439705</v>
      </c>
      <c r="M745" s="24">
        <v>0.66946917973033415</v>
      </c>
      <c r="O745" s="53">
        <v>3.5033716555205503</v>
      </c>
      <c r="P745" s="54">
        <v>20547.687627789761</v>
      </c>
      <c r="Q745" s="54">
        <v>3.7657985607263798</v>
      </c>
      <c r="R745" s="54">
        <v>50257.796310742255</v>
      </c>
      <c r="S745" s="54">
        <v>0.26242690520582945</v>
      </c>
      <c r="T745" s="54">
        <v>29710.108682952494</v>
      </c>
      <c r="V745" s="69">
        <f t="shared" si="68"/>
        <v>680126.64347632031</v>
      </c>
      <c r="W745" s="69">
        <f t="shared" si="69"/>
        <v>702901.91583453363</v>
      </c>
      <c r="X745" s="69">
        <f t="shared" si="66"/>
        <v>22775.272358213399</v>
      </c>
      <c r="Z745" s="68">
        <f t="shared" si="70"/>
        <v>0</v>
      </c>
      <c r="AA745" s="68">
        <f t="shared" si="71"/>
        <v>1</v>
      </c>
      <c r="AB745" s="68">
        <f t="shared" si="67"/>
        <v>1</v>
      </c>
    </row>
    <row r="746" spans="1:28" x14ac:dyDescent="0.25">
      <c r="A746">
        <v>741</v>
      </c>
      <c r="C746" s="24">
        <v>4.7994491992766983E-22</v>
      </c>
      <c r="D746" s="24">
        <v>1.0205980285187472E-4</v>
      </c>
      <c r="E746" s="24">
        <v>1.1537474739859999E-3</v>
      </c>
      <c r="F746" s="24">
        <v>5.3207760419837768E-9</v>
      </c>
      <c r="G746" s="24">
        <v>0.63480478902958482</v>
      </c>
      <c r="H746" s="24">
        <v>0.26602201486585453</v>
      </c>
      <c r="I746" s="53">
        <v>2177.5801946791853</v>
      </c>
      <c r="J746" s="53">
        <v>5318.3200896822946</v>
      </c>
      <c r="K746" s="24">
        <v>0.80626321054625816</v>
      </c>
      <c r="L746" s="24">
        <v>0.66709211251100475</v>
      </c>
      <c r="M746" s="24">
        <v>0.77904914408142489</v>
      </c>
      <c r="O746" s="53">
        <v>3.545186302893184</v>
      </c>
      <c r="P746" s="54">
        <v>19308.750867457689</v>
      </c>
      <c r="Q746" s="54">
        <v>3.3859065328264242</v>
      </c>
      <c r="R746" s="54">
        <v>37941.6145956256</v>
      </c>
      <c r="S746" s="54">
        <v>-0.15927977006675986</v>
      </c>
      <c r="T746" s="54">
        <v>18632.863728167911</v>
      </c>
      <c r="V746" s="69">
        <f t="shared" si="68"/>
        <v>689728.50971117907</v>
      </c>
      <c r="W746" s="69">
        <f t="shared" si="69"/>
        <v>639239.6919696593</v>
      </c>
      <c r="X746" s="69">
        <f t="shared" si="66"/>
        <v>-50488.817741519888</v>
      </c>
      <c r="Z746" s="68">
        <f t="shared" si="70"/>
        <v>1</v>
      </c>
      <c r="AA746" s="68">
        <f t="shared" si="71"/>
        <v>0</v>
      </c>
      <c r="AB746" s="68">
        <f t="shared" si="67"/>
        <v>0</v>
      </c>
    </row>
    <row r="747" spans="1:28" x14ac:dyDescent="0.25">
      <c r="A747">
        <v>742</v>
      </c>
      <c r="C747" s="24">
        <v>7.5971188078231E-3</v>
      </c>
      <c r="D747" s="24">
        <v>9.9991578495068983E-4</v>
      </c>
      <c r="E747" s="24">
        <v>1.0839154186531933E-34</v>
      </c>
      <c r="F747" s="24">
        <v>9.3235445641770553E-7</v>
      </c>
      <c r="G747" s="24">
        <v>0.57085466618862568</v>
      </c>
      <c r="H747" s="24">
        <v>0.4419890174624681</v>
      </c>
      <c r="I747" s="53">
        <v>2533.1371161929201</v>
      </c>
      <c r="J747" s="53">
        <v>6285.8668146206237</v>
      </c>
      <c r="K747" s="24">
        <v>0.70055750286633578</v>
      </c>
      <c r="L747" s="24">
        <v>0.90613193631891553</v>
      </c>
      <c r="M747" s="24">
        <v>0.92816854366342338</v>
      </c>
      <c r="O747" s="53">
        <v>4.2752424631221242</v>
      </c>
      <c r="P747" s="54">
        <v>18045.605023183609</v>
      </c>
      <c r="Q747" s="54">
        <v>4.3707353005881604</v>
      </c>
      <c r="R747" s="54">
        <v>57597.06222968112</v>
      </c>
      <c r="S747" s="54">
        <v>9.5492837466036207E-2</v>
      </c>
      <c r="T747" s="54">
        <v>39551.457206497507</v>
      </c>
      <c r="V747" s="69">
        <f t="shared" si="68"/>
        <v>837002.88760124124</v>
      </c>
      <c r="W747" s="69">
        <f t="shared" si="69"/>
        <v>816549.99788795086</v>
      </c>
      <c r="X747" s="69">
        <f t="shared" si="66"/>
        <v>-20452.889713290268</v>
      </c>
      <c r="Z747" s="68">
        <f t="shared" si="70"/>
        <v>1</v>
      </c>
      <c r="AA747" s="68">
        <f t="shared" si="71"/>
        <v>0</v>
      </c>
      <c r="AB747" s="68">
        <f t="shared" si="67"/>
        <v>0</v>
      </c>
    </row>
    <row r="748" spans="1:28" x14ac:dyDescent="0.25">
      <c r="A748">
        <v>743</v>
      </c>
      <c r="C748" s="24">
        <v>4.348247978858133E-4</v>
      </c>
      <c r="D748" s="24">
        <v>1.0735720687040443E-4</v>
      </c>
      <c r="E748" s="24">
        <v>1.0197336267341667E-13</v>
      </c>
      <c r="F748" s="24">
        <v>1.6587531348477569E-10</v>
      </c>
      <c r="G748" s="24">
        <v>0.5724164243467269</v>
      </c>
      <c r="H748" s="24">
        <v>0.34692838819502714</v>
      </c>
      <c r="I748" s="53">
        <v>2016.2957804567347</v>
      </c>
      <c r="J748" s="53">
        <v>5292.8807613362487</v>
      </c>
      <c r="K748" s="24">
        <v>0.62898648699300586</v>
      </c>
      <c r="L748" s="24">
        <v>0.92980431384347417</v>
      </c>
      <c r="M748" s="24">
        <v>0.84685694480149332</v>
      </c>
      <c r="O748" s="53">
        <v>4.2707425806869033</v>
      </c>
      <c r="P748" s="54">
        <v>17376.327404038846</v>
      </c>
      <c r="Q748" s="54">
        <v>4.4899615759251157</v>
      </c>
      <c r="R748" s="54">
        <v>36458.383765771025</v>
      </c>
      <c r="S748" s="54">
        <v>0.21921899523821242</v>
      </c>
      <c r="T748" s="54">
        <v>19082.056361732179</v>
      </c>
      <c r="V748" s="69">
        <f t="shared" si="68"/>
        <v>836772.18873334175</v>
      </c>
      <c r="W748" s="69">
        <f t="shared" si="69"/>
        <v>861533.93141925207</v>
      </c>
      <c r="X748" s="69">
        <f t="shared" si="66"/>
        <v>24761.742685910303</v>
      </c>
      <c r="Z748" s="68">
        <f t="shared" si="70"/>
        <v>0</v>
      </c>
      <c r="AA748" s="68">
        <f t="shared" si="71"/>
        <v>1</v>
      </c>
      <c r="AB748" s="68">
        <f t="shared" si="67"/>
        <v>1</v>
      </c>
    </row>
    <row r="749" spans="1:28" x14ac:dyDescent="0.25">
      <c r="A749">
        <v>744</v>
      </c>
      <c r="C749" s="24">
        <v>9.7817966664635509E-13</v>
      </c>
      <c r="D749" s="24">
        <v>4.1536374540362964E-3</v>
      </c>
      <c r="E749" s="24">
        <v>2.2789702417140675E-45</v>
      </c>
      <c r="F749" s="24">
        <v>6.1502064568004785E-25</v>
      </c>
      <c r="G749" s="24">
        <v>0.49324099991329262</v>
      </c>
      <c r="H749" s="24">
        <v>0.21866549782185563</v>
      </c>
      <c r="I749" s="53">
        <v>1819.5664699627337</v>
      </c>
      <c r="J749" s="53">
        <v>5157.8149657091499</v>
      </c>
      <c r="K749" s="24">
        <v>0.71589920333739299</v>
      </c>
      <c r="L749" s="24">
        <v>0.9163383665412147</v>
      </c>
      <c r="M749" s="24">
        <v>0.89599834186054172</v>
      </c>
      <c r="O749" s="53">
        <v>4.3922950208227558</v>
      </c>
      <c r="P749" s="54">
        <v>11831.153526889138</v>
      </c>
      <c r="Q749" s="54">
        <v>4.5251142576528274</v>
      </c>
      <c r="R749" s="54">
        <v>30651.519185564433</v>
      </c>
      <c r="S749" s="54">
        <v>0.13281923683007157</v>
      </c>
      <c r="T749" s="54">
        <v>18820.365658675295</v>
      </c>
      <c r="V749" s="69">
        <f t="shared" si="68"/>
        <v>866627.85063766199</v>
      </c>
      <c r="W749" s="69">
        <f t="shared" si="69"/>
        <v>874371.33234500105</v>
      </c>
      <c r="X749" s="69">
        <f t="shared" si="66"/>
        <v>7743.4817073390186</v>
      </c>
      <c r="Z749" s="68">
        <f t="shared" si="70"/>
        <v>0</v>
      </c>
      <c r="AA749" s="68">
        <f t="shared" si="71"/>
        <v>1</v>
      </c>
      <c r="AB749" s="68">
        <f t="shared" si="67"/>
        <v>1</v>
      </c>
    </row>
    <row r="750" spans="1:28" x14ac:dyDescent="0.25">
      <c r="A750">
        <v>745</v>
      </c>
      <c r="C750" s="24">
        <v>4.5527016284815577E-5</v>
      </c>
      <c r="D750" s="24">
        <v>4.096329031153978E-3</v>
      </c>
      <c r="E750" s="24">
        <v>1.5955812349305966E-40</v>
      </c>
      <c r="F750" s="24">
        <v>1.553378704077058E-55</v>
      </c>
      <c r="G750" s="24">
        <v>0.53975833711122101</v>
      </c>
      <c r="H750" s="24">
        <v>0.18727507118146969</v>
      </c>
      <c r="I750" s="53">
        <v>1441.1077306031859</v>
      </c>
      <c r="J750" s="53">
        <v>3882.2771643744018</v>
      </c>
      <c r="K750" s="24">
        <v>0.70292328626163303</v>
      </c>
      <c r="L750" s="24">
        <v>0.57089644304062326</v>
      </c>
      <c r="M750" s="24">
        <v>0.95804981857519678</v>
      </c>
      <c r="O750" s="53">
        <v>3.0023744786188371</v>
      </c>
      <c r="P750" s="54">
        <v>14127.782120953907</v>
      </c>
      <c r="Q750" s="54">
        <v>2.8942051564409188</v>
      </c>
      <c r="R750" s="54">
        <v>23951.691844964051</v>
      </c>
      <c r="S750" s="54">
        <v>-0.1081693221779183</v>
      </c>
      <c r="T750" s="54">
        <v>9823.9097240101437</v>
      </c>
      <c r="V750" s="69">
        <f t="shared" si="68"/>
        <v>586347.11360281357</v>
      </c>
      <c r="W750" s="69">
        <f t="shared" si="69"/>
        <v>554889.33944321971</v>
      </c>
      <c r="X750" s="69">
        <f t="shared" si="66"/>
        <v>-31457.774159593806</v>
      </c>
      <c r="Z750" s="68">
        <f t="shared" si="70"/>
        <v>1</v>
      </c>
      <c r="AA750" s="68">
        <f t="shared" si="71"/>
        <v>0</v>
      </c>
      <c r="AB750" s="68">
        <f t="shared" si="67"/>
        <v>0</v>
      </c>
    </row>
    <row r="751" spans="1:28" x14ac:dyDescent="0.25">
      <c r="A751">
        <v>746</v>
      </c>
      <c r="C751" s="24">
        <v>3.0046027841778793E-23</v>
      </c>
      <c r="D751" s="24">
        <v>5.422369892492218E-4</v>
      </c>
      <c r="E751" s="24">
        <v>1.6225956956355786E-31</v>
      </c>
      <c r="F751" s="24">
        <v>6.5520791014961333E-9</v>
      </c>
      <c r="G751" s="24">
        <v>0.5356072693440812</v>
      </c>
      <c r="H751" s="24">
        <v>0.18447020005380266</v>
      </c>
      <c r="I751" s="53">
        <v>1464.3264741599553</v>
      </c>
      <c r="J751" s="53">
        <v>3577.3146558544086</v>
      </c>
      <c r="K751" s="24">
        <v>0.75218671018699768</v>
      </c>
      <c r="L751" s="24">
        <v>0.94305366692223314</v>
      </c>
      <c r="M751" s="24">
        <v>0.87514414718045419</v>
      </c>
      <c r="O751" s="53">
        <v>4.5048353696062433</v>
      </c>
      <c r="P751" s="54">
        <v>14890.090517374601</v>
      </c>
      <c r="Q751" s="54">
        <v>4.6718884829272707</v>
      </c>
      <c r="R751" s="54">
        <v>25161.63243433107</v>
      </c>
      <c r="S751" s="54">
        <v>0.16705311332102735</v>
      </c>
      <c r="T751" s="54">
        <v>10271.541916956468</v>
      </c>
      <c r="V751" s="69">
        <f t="shared" si="68"/>
        <v>886076.9834038741</v>
      </c>
      <c r="W751" s="69">
        <f t="shared" si="69"/>
        <v>909216.06415112305</v>
      </c>
      <c r="X751" s="69">
        <f t="shared" si="66"/>
        <v>23139.080747248998</v>
      </c>
      <c r="Z751" s="68">
        <f t="shared" si="70"/>
        <v>0</v>
      </c>
      <c r="AA751" s="68">
        <f t="shared" si="71"/>
        <v>1</v>
      </c>
      <c r="AB751" s="68">
        <f t="shared" si="67"/>
        <v>1</v>
      </c>
    </row>
    <row r="752" spans="1:28" x14ac:dyDescent="0.25">
      <c r="A752">
        <v>747</v>
      </c>
      <c r="C752" s="24">
        <v>4.993098190035683E-3</v>
      </c>
      <c r="D752" s="24">
        <v>8.8074185049210607E-3</v>
      </c>
      <c r="E752" s="24">
        <v>6.5894666636590087E-24</v>
      </c>
      <c r="F752" s="24">
        <v>1.1066634447375782E-18</v>
      </c>
      <c r="G752" s="24">
        <v>0.68148952594246992</v>
      </c>
      <c r="H752" s="24">
        <v>0.32064049193407829</v>
      </c>
      <c r="I752" s="53">
        <v>1894.5999358400895</v>
      </c>
      <c r="J752" s="53">
        <v>4362.2139213187884</v>
      </c>
      <c r="K752" s="24">
        <v>0.69882135295483139</v>
      </c>
      <c r="L752" s="24">
        <v>0.87913444014826891</v>
      </c>
      <c r="M752" s="24">
        <v>0.78538823077921771</v>
      </c>
      <c r="O752" s="53">
        <v>4.0619157979143505</v>
      </c>
      <c r="P752" s="54">
        <v>16898.91676566259</v>
      </c>
      <c r="Q752" s="54">
        <v>4.305352319454653</v>
      </c>
      <c r="R752" s="54">
        <v>45629.871700458767</v>
      </c>
      <c r="S752" s="54">
        <v>0.24343652154030249</v>
      </c>
      <c r="T752" s="54">
        <v>28730.954934796177</v>
      </c>
      <c r="V752" s="69">
        <f t="shared" si="68"/>
        <v>795484.24281720747</v>
      </c>
      <c r="W752" s="69">
        <f t="shared" si="69"/>
        <v>815440.59219047183</v>
      </c>
      <c r="X752" s="69">
        <f t="shared" si="66"/>
        <v>19956.349373264322</v>
      </c>
      <c r="Z752" s="68">
        <f t="shared" si="70"/>
        <v>0</v>
      </c>
      <c r="AA752" s="68">
        <f t="shared" si="71"/>
        <v>1</v>
      </c>
      <c r="AB752" s="68">
        <f t="shared" si="67"/>
        <v>1</v>
      </c>
    </row>
    <row r="753" spans="1:28" x14ac:dyDescent="0.25">
      <c r="A753">
        <v>748</v>
      </c>
      <c r="C753" s="24">
        <v>1.466455781634024E-2</v>
      </c>
      <c r="D753" s="24">
        <v>1.8515152501525911E-3</v>
      </c>
      <c r="E753" s="24">
        <v>5.5078593203523218E-48</v>
      </c>
      <c r="F753" s="24">
        <v>2.6641154937667721E-7</v>
      </c>
      <c r="G753" s="24">
        <v>0.64858095047696529</v>
      </c>
      <c r="H753" s="24">
        <v>0.22394588194125642</v>
      </c>
      <c r="I753" s="53">
        <v>2094.8869796753065</v>
      </c>
      <c r="J753" s="53">
        <v>4096.0703341561293</v>
      </c>
      <c r="K753" s="24">
        <v>0.74668204660992177</v>
      </c>
      <c r="L753" s="24">
        <v>0.91634477215984622</v>
      </c>
      <c r="M753" s="24">
        <v>0.84629150761746841</v>
      </c>
      <c r="O753" s="53">
        <v>4.294690346010432</v>
      </c>
      <c r="P753" s="54">
        <v>18319.092046332611</v>
      </c>
      <c r="Q753" s="54">
        <v>4.5320029300835047</v>
      </c>
      <c r="R753" s="54">
        <v>33796.267094857372</v>
      </c>
      <c r="S753" s="54">
        <v>0.23731258407307276</v>
      </c>
      <c r="T753" s="54">
        <v>15477.175048524761</v>
      </c>
      <c r="V753" s="69">
        <f t="shared" si="68"/>
        <v>840618.97715575376</v>
      </c>
      <c r="W753" s="69">
        <f t="shared" si="69"/>
        <v>872604.31892184354</v>
      </c>
      <c r="X753" s="69">
        <f t="shared" si="66"/>
        <v>31985.34176608979</v>
      </c>
      <c r="Z753" s="68">
        <f t="shared" si="70"/>
        <v>0</v>
      </c>
      <c r="AA753" s="68">
        <f t="shared" si="71"/>
        <v>1</v>
      </c>
      <c r="AB753" s="68">
        <f t="shared" si="67"/>
        <v>1</v>
      </c>
    </row>
    <row r="754" spans="1:28" x14ac:dyDescent="0.25">
      <c r="A754">
        <v>749</v>
      </c>
      <c r="C754" s="24">
        <v>1.2525298732268819E-4</v>
      </c>
      <c r="D754" s="24">
        <v>9.0387702227156727E-4</v>
      </c>
      <c r="E754" s="24">
        <v>3.8915742850420543E-9</v>
      </c>
      <c r="F754" s="24">
        <v>6.0683902347591356E-11</v>
      </c>
      <c r="G754" s="24">
        <v>0.50814172847390271</v>
      </c>
      <c r="H754" s="24">
        <v>0.21338735065402559</v>
      </c>
      <c r="I754" s="53">
        <v>2183.7176488524283</v>
      </c>
      <c r="J754" s="53">
        <v>4490.8388944594044</v>
      </c>
      <c r="K754" s="24">
        <v>0.65271812085789849</v>
      </c>
      <c r="L754" s="24">
        <v>0.88403971421753724</v>
      </c>
      <c r="M754" s="24">
        <v>0.90537585776105289</v>
      </c>
      <c r="O754" s="53">
        <v>4.1893368389935297</v>
      </c>
      <c r="P754" s="54">
        <v>14486.065662559055</v>
      </c>
      <c r="Q754" s="54">
        <v>4.3575907977484931</v>
      </c>
      <c r="R754" s="54">
        <v>30511.127749712407</v>
      </c>
      <c r="S754" s="54">
        <v>0.16825395875496341</v>
      </c>
      <c r="T754" s="54">
        <v>16025.062087153352</v>
      </c>
      <c r="V754" s="69">
        <f t="shared" si="68"/>
        <v>823381.30213614693</v>
      </c>
      <c r="W754" s="69">
        <f t="shared" si="69"/>
        <v>841007.03179998614</v>
      </c>
      <c r="X754" s="69">
        <f t="shared" si="66"/>
        <v>17625.729663839331</v>
      </c>
      <c r="Z754" s="68">
        <f t="shared" si="70"/>
        <v>0</v>
      </c>
      <c r="AA754" s="68">
        <f t="shared" si="71"/>
        <v>1</v>
      </c>
      <c r="AB754" s="68">
        <f t="shared" si="67"/>
        <v>1</v>
      </c>
    </row>
    <row r="755" spans="1:28" x14ac:dyDescent="0.25">
      <c r="A755">
        <v>750</v>
      </c>
      <c r="C755" s="24">
        <v>7.6680694690988E-6</v>
      </c>
      <c r="D755" s="24">
        <v>1.9343503838505915E-3</v>
      </c>
      <c r="E755" s="24">
        <v>2.5739211206854407E-8</v>
      </c>
      <c r="F755" s="24">
        <v>4.1135353069370019E-29</v>
      </c>
      <c r="G755" s="24">
        <v>0.56162098648235115</v>
      </c>
      <c r="H755" s="24">
        <v>0.23716273481408734</v>
      </c>
      <c r="I755" s="53">
        <v>1703.4145038047509</v>
      </c>
      <c r="J755" s="53">
        <v>4562.1325418640727</v>
      </c>
      <c r="K755" s="24">
        <v>0.73703675576272065</v>
      </c>
      <c r="L755" s="24">
        <v>0.86765342654648092</v>
      </c>
      <c r="M755" s="24">
        <v>0.8668975746038956</v>
      </c>
      <c r="O755" s="53">
        <v>4.180279750773833</v>
      </c>
      <c r="P755" s="54">
        <v>17500.439079070413</v>
      </c>
      <c r="Q755" s="54">
        <v>4.2976804673151063</v>
      </c>
      <c r="R755" s="54">
        <v>35305.638653370406</v>
      </c>
      <c r="S755" s="54">
        <v>0.11740071654127338</v>
      </c>
      <c r="T755" s="54">
        <v>17805.199574299993</v>
      </c>
      <c r="V755" s="69">
        <f t="shared" si="68"/>
        <v>818555.51107569609</v>
      </c>
      <c r="W755" s="69">
        <f t="shared" si="69"/>
        <v>824230.45480965078</v>
      </c>
      <c r="X755" s="69">
        <f t="shared" si="66"/>
        <v>5674.9437339546821</v>
      </c>
      <c r="Z755" s="68">
        <f t="shared" si="70"/>
        <v>0</v>
      </c>
      <c r="AA755" s="68">
        <f t="shared" si="71"/>
        <v>1</v>
      </c>
      <c r="AB755" s="68">
        <f t="shared" si="67"/>
        <v>1</v>
      </c>
    </row>
    <row r="756" spans="1:28" x14ac:dyDescent="0.25">
      <c r="A756">
        <v>751</v>
      </c>
      <c r="C756" s="24">
        <v>2.6556115433728991E-6</v>
      </c>
      <c r="D756" s="24">
        <v>1.934004775223945E-4</v>
      </c>
      <c r="E756" s="24">
        <v>6.7833154315799504E-7</v>
      </c>
      <c r="F756" s="24">
        <v>6.2085918575551952E-40</v>
      </c>
      <c r="G756" s="24">
        <v>0.62324253365533222</v>
      </c>
      <c r="H756" s="24">
        <v>0.11279679532989961</v>
      </c>
      <c r="I756" s="53">
        <v>2867.7834655691595</v>
      </c>
      <c r="J756" s="53">
        <v>3892.7519041539185</v>
      </c>
      <c r="K756" s="24">
        <v>0.64951849569506015</v>
      </c>
      <c r="L756" s="24">
        <v>0.96634908540599518</v>
      </c>
      <c r="M756" s="24">
        <v>0.86441325163724458</v>
      </c>
      <c r="O756" s="53">
        <v>4.3569111724809853</v>
      </c>
      <c r="P756" s="54">
        <v>21367.1253326933</v>
      </c>
      <c r="Q756" s="54">
        <v>4.7913568348242368</v>
      </c>
      <c r="R756" s="54">
        <v>19338.183296294927</v>
      </c>
      <c r="S756" s="54">
        <v>0.43444566234325155</v>
      </c>
      <c r="T756" s="54">
        <v>-2028.9420363983736</v>
      </c>
      <c r="V756" s="69">
        <f t="shared" si="68"/>
        <v>850015.10916350374</v>
      </c>
      <c r="W756" s="69">
        <f t="shared" si="69"/>
        <v>938933.18366855243</v>
      </c>
      <c r="X756" s="69">
        <f t="shared" si="66"/>
        <v>88918.074505048688</v>
      </c>
      <c r="Z756" s="68">
        <f t="shared" si="70"/>
        <v>0</v>
      </c>
      <c r="AA756" s="68">
        <f t="shared" si="71"/>
        <v>1</v>
      </c>
      <c r="AB756" s="68">
        <f t="shared" si="67"/>
        <v>1</v>
      </c>
    </row>
    <row r="757" spans="1:28" x14ac:dyDescent="0.25">
      <c r="A757">
        <v>752</v>
      </c>
      <c r="C757" s="24">
        <v>5.5703404038512182E-8</v>
      </c>
      <c r="D757" s="24">
        <v>2.2653599741565109E-4</v>
      </c>
      <c r="E757" s="24">
        <v>2.2807217225917498E-9</v>
      </c>
      <c r="F757" s="24">
        <v>3.6647390529601362E-28</v>
      </c>
      <c r="G757" s="24">
        <v>0.58814258944699138</v>
      </c>
      <c r="H757" s="24">
        <v>0.20132827002445741</v>
      </c>
      <c r="I757" s="53">
        <v>2046.1495468271248</v>
      </c>
      <c r="J757" s="53">
        <v>4717.3580235698164</v>
      </c>
      <c r="K757" s="24">
        <v>0.8141906976815203</v>
      </c>
      <c r="L757" s="24">
        <v>0.66142975924944936</v>
      </c>
      <c r="M757" s="24">
        <v>0.8164220084455498</v>
      </c>
      <c r="O757" s="53">
        <v>3.5099433984389274</v>
      </c>
      <c r="P757" s="54">
        <v>16708.197438768206</v>
      </c>
      <c r="Q757" s="54">
        <v>3.3458525968403747</v>
      </c>
      <c r="R757" s="54">
        <v>24509.320720364307</v>
      </c>
      <c r="S757" s="54">
        <v>-0.16409080159855272</v>
      </c>
      <c r="T757" s="54">
        <v>7801.1232815961012</v>
      </c>
      <c r="V757" s="69">
        <f t="shared" si="68"/>
        <v>685280.48224901722</v>
      </c>
      <c r="W757" s="69">
        <f t="shared" si="69"/>
        <v>644661.19864771061</v>
      </c>
      <c r="X757" s="69">
        <f t="shared" si="66"/>
        <v>-40619.283601306641</v>
      </c>
      <c r="Z757" s="68">
        <f t="shared" si="70"/>
        <v>1</v>
      </c>
      <c r="AA757" s="68">
        <f t="shared" si="71"/>
        <v>0</v>
      </c>
      <c r="AB757" s="68">
        <f t="shared" si="67"/>
        <v>0</v>
      </c>
    </row>
    <row r="758" spans="1:28" x14ac:dyDescent="0.25">
      <c r="A758">
        <v>753</v>
      </c>
      <c r="C758" s="24">
        <v>2.9442132254213897E-6</v>
      </c>
      <c r="D758" s="24">
        <v>1.1301851934337765E-3</v>
      </c>
      <c r="E758" s="24">
        <v>5.0909342209647761E-78</v>
      </c>
      <c r="F758" s="24">
        <v>6.9552993400279206E-6</v>
      </c>
      <c r="G758" s="24">
        <v>0.6359872960676165</v>
      </c>
      <c r="H758" s="24">
        <v>0.2232390904495658</v>
      </c>
      <c r="I758" s="53">
        <v>2165.4761643114894</v>
      </c>
      <c r="J758" s="53">
        <v>4572.0356196621242</v>
      </c>
      <c r="K758" s="24">
        <v>0.52503028237058225</v>
      </c>
      <c r="L758" s="24">
        <v>0.84808186758933135</v>
      </c>
      <c r="M758" s="24">
        <v>0.72837894277950632</v>
      </c>
      <c r="O758" s="53">
        <v>3.734712320381596</v>
      </c>
      <c r="P758" s="54">
        <v>17892.415204706434</v>
      </c>
      <c r="Q758" s="54">
        <v>4.1467600200705785</v>
      </c>
      <c r="R758" s="54">
        <v>28192.756005992702</v>
      </c>
      <c r="S758" s="54">
        <v>0.41204769968898258</v>
      </c>
      <c r="T758" s="54">
        <v>10300.340801286267</v>
      </c>
      <c r="V758" s="69">
        <f t="shared" si="68"/>
        <v>729050.04887161276</v>
      </c>
      <c r="W758" s="69">
        <f t="shared" si="69"/>
        <v>801159.24800812302</v>
      </c>
      <c r="X758" s="69">
        <f t="shared" si="66"/>
        <v>72109.199136510259</v>
      </c>
      <c r="Z758" s="68">
        <f t="shared" si="70"/>
        <v>0</v>
      </c>
      <c r="AA758" s="68">
        <f t="shared" si="71"/>
        <v>1</v>
      </c>
      <c r="AB758" s="68">
        <f t="shared" si="67"/>
        <v>1</v>
      </c>
    </row>
    <row r="759" spans="1:28" x14ac:dyDescent="0.25">
      <c r="A759">
        <v>754</v>
      </c>
      <c r="C759" s="24">
        <v>3.6068094439597815E-6</v>
      </c>
      <c r="D759" s="24">
        <v>2.017461587988878E-3</v>
      </c>
      <c r="E759" s="24">
        <v>1.688401448993847E-27</v>
      </c>
      <c r="F759" s="24">
        <v>2.1417171936440509E-28</v>
      </c>
      <c r="G759" s="24">
        <v>0.57484086285282965</v>
      </c>
      <c r="H759" s="24">
        <v>0.30684121007385334</v>
      </c>
      <c r="I759" s="53">
        <v>1844.9388251587914</v>
      </c>
      <c r="J759" s="53">
        <v>4256.7613532043933</v>
      </c>
      <c r="K759" s="24">
        <v>0.43208371279518193</v>
      </c>
      <c r="L759" s="24">
        <v>0.89623523630168123</v>
      </c>
      <c r="M759" s="24">
        <v>0.89670032206063688</v>
      </c>
      <c r="O759" s="53">
        <v>3.8930060018327906</v>
      </c>
      <c r="P759" s="54">
        <v>15923.206911992806</v>
      </c>
      <c r="Q759" s="54">
        <v>4.2762748576580973</v>
      </c>
      <c r="R759" s="54">
        <v>42625.799150911749</v>
      </c>
      <c r="S759" s="54">
        <v>0.38326885582530679</v>
      </c>
      <c r="T759" s="54">
        <v>26702.592238918944</v>
      </c>
      <c r="V759" s="69">
        <f t="shared" si="68"/>
        <v>762677.99345456529</v>
      </c>
      <c r="W759" s="69">
        <f t="shared" si="69"/>
        <v>812629.17238070769</v>
      </c>
      <c r="X759" s="69">
        <f t="shared" si="66"/>
        <v>49951.17892614242</v>
      </c>
      <c r="Z759" s="68">
        <f t="shared" si="70"/>
        <v>0</v>
      </c>
      <c r="AA759" s="68">
        <f t="shared" si="71"/>
        <v>1</v>
      </c>
      <c r="AB759" s="68">
        <f t="shared" si="67"/>
        <v>1</v>
      </c>
    </row>
    <row r="760" spans="1:28" x14ac:dyDescent="0.25">
      <c r="A760">
        <v>755</v>
      </c>
      <c r="C760" s="24">
        <v>2.0082860014369874E-4</v>
      </c>
      <c r="D760" s="24">
        <v>9.7276828458109778E-4</v>
      </c>
      <c r="E760" s="24">
        <v>4.0636147780048759E-9</v>
      </c>
      <c r="F760" s="24">
        <v>6.744382829992901E-11</v>
      </c>
      <c r="G760" s="24">
        <v>0.59326292195795816</v>
      </c>
      <c r="H760" s="24">
        <v>0.21799757163657052</v>
      </c>
      <c r="I760" s="53">
        <v>1963.5843306711354</v>
      </c>
      <c r="J760" s="53">
        <v>4790.372950787797</v>
      </c>
      <c r="K760" s="24">
        <v>0.71585614266234576</v>
      </c>
      <c r="L760" s="24">
        <v>0.96279905240465014</v>
      </c>
      <c r="M760" s="24">
        <v>0.80331128737941393</v>
      </c>
      <c r="O760" s="53">
        <v>4.4799900109641584</v>
      </c>
      <c r="P760" s="54">
        <v>16429.797373431305</v>
      </c>
      <c r="Q760" s="54">
        <v>4.7442525804755524</v>
      </c>
      <c r="R760" s="54">
        <v>29204.792746629402</v>
      </c>
      <c r="S760" s="54">
        <v>0.26426256951139404</v>
      </c>
      <c r="T760" s="54">
        <v>12774.995373198097</v>
      </c>
      <c r="V760" s="69">
        <f t="shared" si="68"/>
        <v>879568.20481940045</v>
      </c>
      <c r="W760" s="69">
        <f t="shared" si="69"/>
        <v>919645.723348481</v>
      </c>
      <c r="X760" s="69">
        <f t="shared" si="66"/>
        <v>40077.518529080713</v>
      </c>
      <c r="Z760" s="68">
        <f t="shared" si="70"/>
        <v>0</v>
      </c>
      <c r="AA760" s="68">
        <f t="shared" si="71"/>
        <v>1</v>
      </c>
      <c r="AB760" s="68">
        <f t="shared" si="67"/>
        <v>1</v>
      </c>
    </row>
    <row r="761" spans="1:28" x14ac:dyDescent="0.25">
      <c r="A761">
        <v>756</v>
      </c>
      <c r="C761" s="24">
        <v>1.8509895094699802E-2</v>
      </c>
      <c r="D761" s="24">
        <v>1.8408696263279796E-4</v>
      </c>
      <c r="E761" s="24">
        <v>5.0935603407079542E-20</v>
      </c>
      <c r="F761" s="24">
        <v>1.0851469767203525E-7</v>
      </c>
      <c r="G761" s="24">
        <v>0.60730565818946092</v>
      </c>
      <c r="H761" s="24">
        <v>0.25533323812537578</v>
      </c>
      <c r="I761" s="53">
        <v>1646.5777322777128</v>
      </c>
      <c r="J761" s="53">
        <v>4093.7111381877776</v>
      </c>
      <c r="K761" s="24">
        <v>0.73905970278040367</v>
      </c>
      <c r="L761" s="24">
        <v>0.82045992756828168</v>
      </c>
      <c r="M761" s="24">
        <v>0.92121384023607444</v>
      </c>
      <c r="O761" s="53">
        <v>4.0038206536760281</v>
      </c>
      <c r="P761" s="54">
        <v>14075.84890563418</v>
      </c>
      <c r="Q761" s="54">
        <v>4.0745346594594238</v>
      </c>
      <c r="R761" s="54">
        <v>40296.000555129402</v>
      </c>
      <c r="S761" s="54">
        <v>7.0714005783395706E-2</v>
      </c>
      <c r="T761" s="54">
        <v>26220.151649495223</v>
      </c>
      <c r="V761" s="69">
        <f t="shared" si="68"/>
        <v>786688.28182957147</v>
      </c>
      <c r="W761" s="69">
        <f t="shared" si="69"/>
        <v>774610.9313367554</v>
      </c>
      <c r="X761" s="69">
        <f t="shared" si="66"/>
        <v>-12077.350492816082</v>
      </c>
      <c r="Z761" s="68">
        <f t="shared" si="70"/>
        <v>1</v>
      </c>
      <c r="AA761" s="68">
        <f t="shared" si="71"/>
        <v>0</v>
      </c>
      <c r="AB761" s="68">
        <f t="shared" si="67"/>
        <v>0</v>
      </c>
    </row>
    <row r="762" spans="1:28" x14ac:dyDescent="0.25">
      <c r="A762">
        <v>757</v>
      </c>
      <c r="C762" s="24">
        <v>2.8474023153553296E-5</v>
      </c>
      <c r="D762" s="24">
        <v>4.2086762183918578E-4</v>
      </c>
      <c r="E762" s="24">
        <v>9.5943107769626837E-18</v>
      </c>
      <c r="F762" s="24">
        <v>2.3911691515721145E-9</v>
      </c>
      <c r="G762" s="24">
        <v>0.60027298703409504</v>
      </c>
      <c r="H762" s="24">
        <v>0.17556886606278832</v>
      </c>
      <c r="I762" s="53">
        <v>2636.2261147299773</v>
      </c>
      <c r="J762" s="53">
        <v>5576.0210835068983</v>
      </c>
      <c r="K762" s="24">
        <v>0.69999943716134005</v>
      </c>
      <c r="L762" s="24">
        <v>0.92713947316113221</v>
      </c>
      <c r="M762" s="24">
        <v>0.68518114004678077</v>
      </c>
      <c r="O762" s="53">
        <v>4.3211213586019479</v>
      </c>
      <c r="P762" s="54">
        <v>18273.004258415243</v>
      </c>
      <c r="Q762" s="54">
        <v>4.5867429354424845</v>
      </c>
      <c r="R762" s="54">
        <v>27799.110077129822</v>
      </c>
      <c r="S762" s="54">
        <v>0.26562157684053656</v>
      </c>
      <c r="T762" s="54">
        <v>9526.1058187145791</v>
      </c>
      <c r="V762" s="69">
        <f t="shared" si="68"/>
        <v>845951.26746197441</v>
      </c>
      <c r="W762" s="69">
        <f t="shared" si="69"/>
        <v>889549.4770113671</v>
      </c>
      <c r="X762" s="69">
        <f t="shared" si="66"/>
        <v>43598.209549392734</v>
      </c>
      <c r="Z762" s="68">
        <f t="shared" si="70"/>
        <v>0</v>
      </c>
      <c r="AA762" s="68">
        <f t="shared" si="71"/>
        <v>1</v>
      </c>
      <c r="AB762" s="68">
        <f t="shared" si="67"/>
        <v>1</v>
      </c>
    </row>
    <row r="763" spans="1:28" x14ac:dyDescent="0.25">
      <c r="A763">
        <v>758</v>
      </c>
      <c r="C763" s="24">
        <v>1.9383958655717242E-7</v>
      </c>
      <c r="D763" s="24">
        <v>7.1410240663791658E-4</v>
      </c>
      <c r="E763" s="24">
        <v>1.1809081921211018E-15</v>
      </c>
      <c r="F763" s="24">
        <v>8.0265068116818824E-28</v>
      </c>
      <c r="G763" s="24">
        <v>0.54898143706811353</v>
      </c>
      <c r="H763" s="24">
        <v>0.26182366300024196</v>
      </c>
      <c r="I763" s="53">
        <v>1908.33058498437</v>
      </c>
      <c r="J763" s="53">
        <v>4582.1066553970104</v>
      </c>
      <c r="K763" s="24">
        <v>0.64705435437174041</v>
      </c>
      <c r="L763" s="24">
        <v>0.91708504627670129</v>
      </c>
      <c r="M763" s="24">
        <v>0.68895037746878962</v>
      </c>
      <c r="O763" s="53">
        <v>4.2731319740854357</v>
      </c>
      <c r="P763" s="54">
        <v>15223.591957444138</v>
      </c>
      <c r="Q763" s="54">
        <v>4.4887406351961801</v>
      </c>
      <c r="R763" s="54">
        <v>39011.932795270397</v>
      </c>
      <c r="S763" s="54">
        <v>0.21560866111074439</v>
      </c>
      <c r="T763" s="54">
        <v>23788.340837826261</v>
      </c>
      <c r="V763" s="69">
        <f t="shared" si="68"/>
        <v>839402.80285964301</v>
      </c>
      <c r="W763" s="69">
        <f t="shared" si="69"/>
        <v>858736.19424396567</v>
      </c>
      <c r="X763" s="69">
        <f t="shared" si="66"/>
        <v>19333.391384322618</v>
      </c>
      <c r="Z763" s="68">
        <f t="shared" si="70"/>
        <v>0</v>
      </c>
      <c r="AA763" s="68">
        <f t="shared" si="71"/>
        <v>1</v>
      </c>
      <c r="AB763" s="68">
        <f t="shared" si="67"/>
        <v>1</v>
      </c>
    </row>
    <row r="764" spans="1:28" x14ac:dyDescent="0.25">
      <c r="A764">
        <v>759</v>
      </c>
      <c r="C764" s="24">
        <v>1.8935385336293908E-4</v>
      </c>
      <c r="D764" s="24">
        <v>5.1205421297907314E-4</v>
      </c>
      <c r="E764" s="24">
        <v>6.7638228351540874E-11</v>
      </c>
      <c r="F764" s="24">
        <v>9.9735656565163863E-29</v>
      </c>
      <c r="G764" s="24">
        <v>0.61480254338371609</v>
      </c>
      <c r="H764" s="24">
        <v>0.19318570576370164</v>
      </c>
      <c r="I764" s="53">
        <v>2108.687196037487</v>
      </c>
      <c r="J764" s="53">
        <v>4938.7722798993955</v>
      </c>
      <c r="K764" s="24">
        <v>0.5450162760655094</v>
      </c>
      <c r="L764" s="24">
        <v>0.96411084521766788</v>
      </c>
      <c r="M764" s="24">
        <v>0.87975868927643086</v>
      </c>
      <c r="O764" s="53">
        <v>4.2102572123722126</v>
      </c>
      <c r="P764" s="54">
        <v>19813.680448293489</v>
      </c>
      <c r="Q764" s="54">
        <v>4.7199772774213891</v>
      </c>
      <c r="R764" s="54">
        <v>20380.7844170723</v>
      </c>
      <c r="S764" s="54">
        <v>0.50972006504917644</v>
      </c>
      <c r="T764" s="54">
        <v>567.10396877881067</v>
      </c>
      <c r="V764" s="69">
        <f t="shared" si="68"/>
        <v>822237.76202614908</v>
      </c>
      <c r="W764" s="69">
        <f t="shared" si="69"/>
        <v>923614.67106720549</v>
      </c>
      <c r="X764" s="69">
        <f t="shared" si="66"/>
        <v>101376.90904105647</v>
      </c>
      <c r="Z764" s="68">
        <f t="shared" si="70"/>
        <v>0</v>
      </c>
      <c r="AA764" s="68">
        <f t="shared" si="71"/>
        <v>1</v>
      </c>
      <c r="AB764" s="68">
        <f t="shared" si="67"/>
        <v>1</v>
      </c>
    </row>
    <row r="765" spans="1:28" x14ac:dyDescent="0.25">
      <c r="A765">
        <v>760</v>
      </c>
      <c r="C765" s="24">
        <v>1.9240468909807815E-7</v>
      </c>
      <c r="D765" s="24">
        <v>2.3283323341458941E-4</v>
      </c>
      <c r="E765" s="24">
        <v>1.3832156187110201E-7</v>
      </c>
      <c r="F765" s="24">
        <v>1.8910900452904851E-26</v>
      </c>
      <c r="G765" s="24">
        <v>0.52224901486761177</v>
      </c>
      <c r="H765" s="24">
        <v>0.17855581606024928</v>
      </c>
      <c r="I765" s="53">
        <v>1847.1058837794646</v>
      </c>
      <c r="J765" s="53">
        <v>6048.4082368349837</v>
      </c>
      <c r="K765" s="24">
        <v>0.7517816781301655</v>
      </c>
      <c r="L765" s="24">
        <v>0.94346348506672362</v>
      </c>
      <c r="M765" s="24">
        <v>0.95556174098074165</v>
      </c>
      <c r="O765" s="53">
        <v>4.515921581316297</v>
      </c>
      <c r="P765" s="54">
        <v>14991.836280182319</v>
      </c>
      <c r="Q765" s="54">
        <v>4.6756758652231332</v>
      </c>
      <c r="R765" s="54">
        <v>23312.472107834568</v>
      </c>
      <c r="S765" s="54">
        <v>0.15975428390683621</v>
      </c>
      <c r="T765" s="54">
        <v>8320.6358276522496</v>
      </c>
      <c r="V765" s="69">
        <f t="shared" si="68"/>
        <v>888192.47998307704</v>
      </c>
      <c r="W765" s="69">
        <f t="shared" si="69"/>
        <v>911822.70093679207</v>
      </c>
      <c r="X765" s="69">
        <f t="shared" si="66"/>
        <v>23630.22095371499</v>
      </c>
      <c r="Z765" s="68">
        <f t="shared" si="70"/>
        <v>0</v>
      </c>
      <c r="AA765" s="68">
        <f t="shared" si="71"/>
        <v>1</v>
      </c>
      <c r="AB765" s="68">
        <f t="shared" si="67"/>
        <v>1</v>
      </c>
    </row>
    <row r="766" spans="1:28" x14ac:dyDescent="0.25">
      <c r="A766">
        <v>761</v>
      </c>
      <c r="C766" s="24">
        <v>5.4452797247727388E-8</v>
      </c>
      <c r="D766" s="24">
        <v>1.6341554143129988E-3</v>
      </c>
      <c r="E766" s="24">
        <v>3.7693912628249765E-19</v>
      </c>
      <c r="F766" s="24">
        <v>2.886013755711847E-4</v>
      </c>
      <c r="G766" s="24">
        <v>0.65315123367773764</v>
      </c>
      <c r="H766" s="24">
        <v>0.24056479041414114</v>
      </c>
      <c r="I766" s="53">
        <v>1931.2164454224794</v>
      </c>
      <c r="J766" s="53">
        <v>4616.9520523632009</v>
      </c>
      <c r="K766" s="24">
        <v>0.7339969391908272</v>
      </c>
      <c r="L766" s="24">
        <v>0.82976394585707614</v>
      </c>
      <c r="M766" s="24">
        <v>0.9379168980886734</v>
      </c>
      <c r="O766" s="53">
        <v>3.9899175635710407</v>
      </c>
      <c r="P766" s="54">
        <v>17654.396219334576</v>
      </c>
      <c r="Q766" s="54">
        <v>4.1181213706312141</v>
      </c>
      <c r="R766" s="54">
        <v>33400.630714689556</v>
      </c>
      <c r="S766" s="54">
        <v>0.12820380706017342</v>
      </c>
      <c r="T766" s="54">
        <v>15746.23449535498</v>
      </c>
      <c r="V766" s="69">
        <f t="shared" si="68"/>
        <v>780329.11649487354</v>
      </c>
      <c r="W766" s="69">
        <f t="shared" si="69"/>
        <v>790223.64341155323</v>
      </c>
      <c r="X766" s="69">
        <f t="shared" si="66"/>
        <v>9894.5269166797043</v>
      </c>
      <c r="Z766" s="68">
        <f t="shared" si="70"/>
        <v>0</v>
      </c>
      <c r="AA766" s="68">
        <f t="shared" si="71"/>
        <v>1</v>
      </c>
      <c r="AB766" s="68">
        <f t="shared" si="67"/>
        <v>1</v>
      </c>
    </row>
    <row r="767" spans="1:28" x14ac:dyDescent="0.25">
      <c r="A767">
        <v>762</v>
      </c>
      <c r="C767" s="24">
        <v>7.3879835901245967E-12</v>
      </c>
      <c r="D767" s="24">
        <v>2.2876263950001308E-3</v>
      </c>
      <c r="E767" s="24">
        <v>2.5159024863441459E-9</v>
      </c>
      <c r="F767" s="24">
        <v>5.4451669573296613E-7</v>
      </c>
      <c r="G767" s="24">
        <v>0.52410483248695749</v>
      </c>
      <c r="H767" s="24">
        <v>0.14293916274956853</v>
      </c>
      <c r="I767" s="53">
        <v>1857.7459477356927</v>
      </c>
      <c r="J767" s="53">
        <v>5014.8436834408285</v>
      </c>
      <c r="K767" s="24">
        <v>0.74859510686294195</v>
      </c>
      <c r="L767" s="24">
        <v>0.89632603910743014</v>
      </c>
      <c r="M767" s="24">
        <v>0.9077310999938486</v>
      </c>
      <c r="O767" s="53">
        <v>4.3253674636330004</v>
      </c>
      <c r="P767" s="54">
        <v>14329.842740133266</v>
      </c>
      <c r="Q767" s="54">
        <v>4.457137729843919</v>
      </c>
      <c r="R767" s="54">
        <v>24413.747450772666</v>
      </c>
      <c r="S767" s="54">
        <v>0.13177026621091859</v>
      </c>
      <c r="T767" s="54">
        <v>10083.904710639399</v>
      </c>
      <c r="V767" s="69">
        <f t="shared" si="68"/>
        <v>850743.64998646674</v>
      </c>
      <c r="W767" s="69">
        <f t="shared" si="69"/>
        <v>867013.79851801111</v>
      </c>
      <c r="X767" s="69">
        <f t="shared" si="66"/>
        <v>16270.148531544317</v>
      </c>
      <c r="Z767" s="68">
        <f t="shared" si="70"/>
        <v>0</v>
      </c>
      <c r="AA767" s="68">
        <f t="shared" si="71"/>
        <v>1</v>
      </c>
      <c r="AB767" s="68">
        <f t="shared" si="67"/>
        <v>1</v>
      </c>
    </row>
    <row r="768" spans="1:28" x14ac:dyDescent="0.25">
      <c r="A768">
        <v>763</v>
      </c>
      <c r="C768" s="24">
        <v>9.3947315288892649E-8</v>
      </c>
      <c r="D768" s="24">
        <v>3.4062736122505433E-3</v>
      </c>
      <c r="E768" s="24">
        <v>2.9881343013447301E-14</v>
      </c>
      <c r="F768" s="24">
        <v>4.3187717740430646E-32</v>
      </c>
      <c r="G768" s="24">
        <v>0.60604821659899888</v>
      </c>
      <c r="H768" s="24">
        <v>0.22691772726883164</v>
      </c>
      <c r="I768" s="53">
        <v>1676.1007040830359</v>
      </c>
      <c r="J768" s="53">
        <v>5826.6976117487638</v>
      </c>
      <c r="K768" s="24">
        <v>0.56250737321287125</v>
      </c>
      <c r="L768" s="24">
        <v>0.84138489906522496</v>
      </c>
      <c r="M768" s="24">
        <v>0.67780579093532378</v>
      </c>
      <c r="O768" s="53">
        <v>3.8129805500654887</v>
      </c>
      <c r="P768" s="54">
        <v>12908.151815455776</v>
      </c>
      <c r="Q768" s="54">
        <v>4.1217243715619807</v>
      </c>
      <c r="R768" s="54">
        <v>34191.453587563097</v>
      </c>
      <c r="S768" s="54">
        <v>0.30874382149649193</v>
      </c>
      <c r="T768" s="54">
        <v>21283.301772107319</v>
      </c>
      <c r="V768" s="69">
        <f t="shared" si="68"/>
        <v>749687.958197642</v>
      </c>
      <c r="W768" s="69">
        <f t="shared" si="69"/>
        <v>790153.42072483303</v>
      </c>
      <c r="X768" s="69">
        <f t="shared" si="66"/>
        <v>40465.46252719107</v>
      </c>
      <c r="Z768" s="68">
        <f t="shared" si="70"/>
        <v>0</v>
      </c>
      <c r="AA768" s="68">
        <f t="shared" si="71"/>
        <v>1</v>
      </c>
      <c r="AB768" s="68">
        <f t="shared" si="67"/>
        <v>1</v>
      </c>
    </row>
    <row r="769" spans="1:28" x14ac:dyDescent="0.25">
      <c r="A769">
        <v>764</v>
      </c>
      <c r="C769" s="24">
        <v>2.4911856993819814E-2</v>
      </c>
      <c r="D769" s="24">
        <v>1.6907139852714304E-3</v>
      </c>
      <c r="E769" s="24">
        <v>3.1750023474930251E-36</v>
      </c>
      <c r="F769" s="24">
        <v>5.3471115805698309E-19</v>
      </c>
      <c r="G769" s="24">
        <v>0.60589036787798034</v>
      </c>
      <c r="H769" s="24">
        <v>0.22511323801936833</v>
      </c>
      <c r="I769" s="53">
        <v>2185.4614327342315</v>
      </c>
      <c r="J769" s="53">
        <v>4539.6815387447668</v>
      </c>
      <c r="K769" s="24">
        <v>0.61468665797917632</v>
      </c>
      <c r="L769" s="24">
        <v>0.76639904086048738</v>
      </c>
      <c r="M769" s="24">
        <v>0.83216000295605019</v>
      </c>
      <c r="O769" s="53">
        <v>3.632717552390444</v>
      </c>
      <c r="P769" s="54">
        <v>21488.102828276002</v>
      </c>
      <c r="Q769" s="54">
        <v>3.7886223011943034</v>
      </c>
      <c r="R769" s="54">
        <v>22372.408186239263</v>
      </c>
      <c r="S769" s="54">
        <v>0.15590474880385941</v>
      </c>
      <c r="T769" s="54">
        <v>884.30535796326149</v>
      </c>
      <c r="V769" s="69">
        <f t="shared" si="68"/>
        <v>705055.40764981275</v>
      </c>
      <c r="W769" s="69">
        <f t="shared" si="69"/>
        <v>735352.05205262138</v>
      </c>
      <c r="X769" s="69">
        <f t="shared" si="66"/>
        <v>30296.644402808619</v>
      </c>
      <c r="Z769" s="68">
        <f t="shared" si="70"/>
        <v>0</v>
      </c>
      <c r="AA769" s="68">
        <f t="shared" si="71"/>
        <v>1</v>
      </c>
      <c r="AB769" s="68">
        <f t="shared" si="67"/>
        <v>1</v>
      </c>
    </row>
    <row r="770" spans="1:28" x14ac:dyDescent="0.25">
      <c r="A770">
        <v>765</v>
      </c>
      <c r="C770" s="24">
        <v>3.6354608021327284E-4</v>
      </c>
      <c r="D770" s="24">
        <v>3.5393925937217375E-4</v>
      </c>
      <c r="E770" s="24">
        <v>9.5572090074141456E-77</v>
      </c>
      <c r="F770" s="24">
        <v>4.9822128035184577E-16</v>
      </c>
      <c r="G770" s="24">
        <v>0.50921339464205617</v>
      </c>
      <c r="H770" s="24">
        <v>0.36624878286146045</v>
      </c>
      <c r="I770" s="53">
        <v>2322.1480296101245</v>
      </c>
      <c r="J770" s="53">
        <v>5041.3266670756439</v>
      </c>
      <c r="K770" s="24">
        <v>0.57346846435132481</v>
      </c>
      <c r="L770" s="24">
        <v>0.83423332305996889</v>
      </c>
      <c r="M770" s="24">
        <v>0.93056777041795369</v>
      </c>
      <c r="O770" s="53">
        <v>3.9101595989029176</v>
      </c>
      <c r="P770" s="54">
        <v>15053.995695266072</v>
      </c>
      <c r="Q770" s="54">
        <v>4.021700182180461</v>
      </c>
      <c r="R770" s="54">
        <v>54331.223580366262</v>
      </c>
      <c r="S770" s="54">
        <v>0.11154058327754335</v>
      </c>
      <c r="T770" s="54">
        <v>39277.22788510019</v>
      </c>
      <c r="V770" s="69">
        <f t="shared" si="68"/>
        <v>766977.92408531753</v>
      </c>
      <c r="W770" s="69">
        <f t="shared" si="69"/>
        <v>750008.81285572599</v>
      </c>
      <c r="X770" s="69">
        <f t="shared" si="66"/>
        <v>-16969.111229591519</v>
      </c>
      <c r="Z770" s="68">
        <f t="shared" si="70"/>
        <v>1</v>
      </c>
      <c r="AA770" s="68">
        <f t="shared" si="71"/>
        <v>0</v>
      </c>
      <c r="AB770" s="68">
        <f t="shared" si="67"/>
        <v>0</v>
      </c>
    </row>
    <row r="771" spans="1:28" x14ac:dyDescent="0.25">
      <c r="A771">
        <v>766</v>
      </c>
      <c r="C771" s="24">
        <v>3.9488627861914769E-7</v>
      </c>
      <c r="D771" s="24">
        <v>1.1585700146933614E-3</v>
      </c>
      <c r="E771" s="24">
        <v>1.5722113982592233E-25</v>
      </c>
      <c r="F771" s="24">
        <v>1.4530820990898974E-11</v>
      </c>
      <c r="G771" s="24">
        <v>0.58621353077137872</v>
      </c>
      <c r="H771" s="24">
        <v>0.27668822732116294</v>
      </c>
      <c r="I771" s="53">
        <v>1892.1092024372829</v>
      </c>
      <c r="J771" s="53">
        <v>4830.8281384408356</v>
      </c>
      <c r="K771" s="24">
        <v>0.45246962127284207</v>
      </c>
      <c r="L771" s="24">
        <v>0.85554842826107358</v>
      </c>
      <c r="M771" s="24">
        <v>0.78294771112723227</v>
      </c>
      <c r="O771" s="53">
        <v>3.7462299515467938</v>
      </c>
      <c r="P771" s="54">
        <v>16844.336796009422</v>
      </c>
      <c r="Q771" s="54">
        <v>4.1232655381226593</v>
      </c>
      <c r="R771" s="54">
        <v>40888.782786022646</v>
      </c>
      <c r="S771" s="54">
        <v>0.37703558657586544</v>
      </c>
      <c r="T771" s="54">
        <v>24044.445990013224</v>
      </c>
      <c r="V771" s="69">
        <f t="shared" si="68"/>
        <v>732401.65351334936</v>
      </c>
      <c r="W771" s="69">
        <f t="shared" si="69"/>
        <v>783764.3248385092</v>
      </c>
      <c r="X771" s="69">
        <f t="shared" si="66"/>
        <v>51362.67132515987</v>
      </c>
      <c r="Z771" s="68">
        <f t="shared" si="70"/>
        <v>0</v>
      </c>
      <c r="AA771" s="68">
        <f t="shared" si="71"/>
        <v>1</v>
      </c>
      <c r="AB771" s="68">
        <f t="shared" si="67"/>
        <v>1</v>
      </c>
    </row>
    <row r="772" spans="1:28" x14ac:dyDescent="0.25">
      <c r="A772">
        <v>767</v>
      </c>
      <c r="C772" s="24">
        <v>1.3743233498151319E-3</v>
      </c>
      <c r="D772" s="24">
        <v>6.9256475276346929E-3</v>
      </c>
      <c r="E772" s="24">
        <v>2.1879354471231309E-21</v>
      </c>
      <c r="F772" s="24">
        <v>4.6629367034256575E-15</v>
      </c>
      <c r="G772" s="24">
        <v>0.6865796249532129</v>
      </c>
      <c r="H772" s="24">
        <v>0.35629115523391353</v>
      </c>
      <c r="I772" s="53">
        <v>1537.1681904080258</v>
      </c>
      <c r="J772" s="53">
        <v>6104.9218316756951</v>
      </c>
      <c r="K772" s="24">
        <v>0.76456128591925243</v>
      </c>
      <c r="L772" s="24">
        <v>0.78184481135743655</v>
      </c>
      <c r="M772" s="24">
        <v>0.83456779140847148</v>
      </c>
      <c r="O772" s="53">
        <v>3.8778657824811611</v>
      </c>
      <c r="P772" s="54">
        <v>20478.664837793331</v>
      </c>
      <c r="Q772" s="54">
        <v>3.9022366563154289</v>
      </c>
      <c r="R772" s="54">
        <v>75566.980177417601</v>
      </c>
      <c r="S772" s="54">
        <v>2.4370873834267837E-2</v>
      </c>
      <c r="T772" s="54">
        <v>55088.315339624271</v>
      </c>
      <c r="V772" s="69">
        <f t="shared" si="68"/>
        <v>755094.49165843893</v>
      </c>
      <c r="W772" s="69">
        <f t="shared" si="69"/>
        <v>704880.3510856682</v>
      </c>
      <c r="X772" s="69">
        <f t="shared" si="66"/>
        <v>-50214.140572770702</v>
      </c>
      <c r="Z772" s="68">
        <f t="shared" si="70"/>
        <v>1</v>
      </c>
      <c r="AA772" s="68">
        <f t="shared" si="71"/>
        <v>0</v>
      </c>
      <c r="AB772" s="68">
        <f t="shared" si="67"/>
        <v>0</v>
      </c>
    </row>
    <row r="773" spans="1:28" x14ac:dyDescent="0.25">
      <c r="A773">
        <v>768</v>
      </c>
      <c r="C773" s="24">
        <v>2.5404084300284513E-3</v>
      </c>
      <c r="D773" s="24">
        <v>3.5529215861845875E-3</v>
      </c>
      <c r="E773" s="24">
        <v>2.545268944509349E-4</v>
      </c>
      <c r="F773" s="24">
        <v>2.9143354396410359E-13</v>
      </c>
      <c r="G773" s="24">
        <v>0.4631145000657737</v>
      </c>
      <c r="H773" s="24">
        <v>0.27914961398872695</v>
      </c>
      <c r="I773" s="53">
        <v>1531.8836479638185</v>
      </c>
      <c r="J773" s="53">
        <v>4265.3196221982162</v>
      </c>
      <c r="K773" s="24">
        <v>0.72067406793110145</v>
      </c>
      <c r="L773" s="24">
        <v>0.70204225156285927</v>
      </c>
      <c r="M773" s="24">
        <v>0.80928219328437745</v>
      </c>
      <c r="O773" s="53">
        <v>3.5266662180365791</v>
      </c>
      <c r="P773" s="54">
        <v>13932.916421716336</v>
      </c>
      <c r="Q773" s="54">
        <v>3.5198526837288062</v>
      </c>
      <c r="R773" s="54">
        <v>45070.937269617905</v>
      </c>
      <c r="S773" s="54">
        <v>-6.8135343077728727E-3</v>
      </c>
      <c r="T773" s="54">
        <v>31138.020847901571</v>
      </c>
      <c r="V773" s="69">
        <f t="shared" si="68"/>
        <v>691400.32718559948</v>
      </c>
      <c r="W773" s="69">
        <f t="shared" si="69"/>
        <v>658899.59947614337</v>
      </c>
      <c r="X773" s="69">
        <f t="shared" si="66"/>
        <v>-32500.727709456147</v>
      </c>
      <c r="Z773" s="68">
        <f t="shared" si="70"/>
        <v>1</v>
      </c>
      <c r="AA773" s="68">
        <f t="shared" si="71"/>
        <v>0</v>
      </c>
      <c r="AB773" s="68">
        <f t="shared" si="67"/>
        <v>0</v>
      </c>
    </row>
    <row r="774" spans="1:28" x14ac:dyDescent="0.25">
      <c r="A774">
        <v>769</v>
      </c>
      <c r="C774" s="24">
        <v>1.1702632886513051E-7</v>
      </c>
      <c r="D774" s="24">
        <v>3.4627034381362306E-4</v>
      </c>
      <c r="E774" s="24">
        <v>8.280857493082161E-3</v>
      </c>
      <c r="F774" s="24">
        <v>1.0658141036401503E-14</v>
      </c>
      <c r="G774" s="24">
        <v>0.60816848305553783</v>
      </c>
      <c r="H774" s="24">
        <v>0.33890959913459762</v>
      </c>
      <c r="I774" s="53">
        <v>1844.3844791563952</v>
      </c>
      <c r="J774" s="53">
        <v>5499.1815363446885</v>
      </c>
      <c r="K774" s="24">
        <v>0.59398893454975266</v>
      </c>
      <c r="L774" s="24">
        <v>0.92431083435100914</v>
      </c>
      <c r="M774" s="24">
        <v>0.61900633995230014</v>
      </c>
      <c r="O774" s="53">
        <v>4.0816377200639629</v>
      </c>
      <c r="P774" s="54">
        <v>16715.499646941735</v>
      </c>
      <c r="Q774" s="54">
        <v>4.4522530358176828</v>
      </c>
      <c r="R774" s="54">
        <v>59439.887631486083</v>
      </c>
      <c r="S774" s="54">
        <v>0.37061531575371998</v>
      </c>
      <c r="T774" s="54">
        <v>42724.387984544344</v>
      </c>
      <c r="V774" s="69">
        <f t="shared" si="68"/>
        <v>799612.04436585074</v>
      </c>
      <c r="W774" s="69">
        <f t="shared" si="69"/>
        <v>831010.71953205054</v>
      </c>
      <c r="X774" s="69">
        <f t="shared" si="66"/>
        <v>31398.675166199653</v>
      </c>
      <c r="Z774" s="68">
        <f t="shared" si="70"/>
        <v>0</v>
      </c>
      <c r="AA774" s="68">
        <f t="shared" si="71"/>
        <v>1</v>
      </c>
      <c r="AB774" s="68">
        <f t="shared" si="67"/>
        <v>1</v>
      </c>
    </row>
    <row r="775" spans="1:28" x14ac:dyDescent="0.25">
      <c r="A775">
        <v>770</v>
      </c>
      <c r="C775" s="24">
        <v>6.5579787677738643E-5</v>
      </c>
      <c r="D775" s="24">
        <v>6.0955049997731003E-4</v>
      </c>
      <c r="E775" s="24">
        <v>5.9773841517621203E-42</v>
      </c>
      <c r="F775" s="24">
        <v>1.7931895850314473E-47</v>
      </c>
      <c r="G775" s="24">
        <v>0.61861998329403423</v>
      </c>
      <c r="H775" s="24">
        <v>0.23309009519073409</v>
      </c>
      <c r="I775" s="53">
        <v>2312.6171110441464</v>
      </c>
      <c r="J775" s="53">
        <v>5828.8578113503117</v>
      </c>
      <c r="K775" s="24">
        <v>0.86780372574146181</v>
      </c>
      <c r="L775" s="24">
        <v>0.93624066340628087</v>
      </c>
      <c r="M775" s="24">
        <v>0.96131440774206345</v>
      </c>
      <c r="O775" s="53">
        <v>4.5802671083764013</v>
      </c>
      <c r="P775" s="54">
        <v>14652.603048290122</v>
      </c>
      <c r="Q775" s="54">
        <v>4.6605108993658853</v>
      </c>
      <c r="R775" s="54">
        <v>40235.479567162409</v>
      </c>
      <c r="S775" s="54">
        <v>8.0243790989483976E-2</v>
      </c>
      <c r="T775" s="54">
        <v>25582.876518872286</v>
      </c>
      <c r="V775" s="69">
        <f t="shared" si="68"/>
        <v>901400.81862699008</v>
      </c>
      <c r="W775" s="69">
        <f t="shared" si="69"/>
        <v>891866.70030601462</v>
      </c>
      <c r="X775" s="69">
        <f t="shared" ref="X775:X838" si="72">S775*cRatio-T775</f>
        <v>-9534.1183209754909</v>
      </c>
      <c r="Z775" s="68">
        <f t="shared" si="70"/>
        <v>1</v>
      </c>
      <c r="AA775" s="68">
        <f t="shared" si="71"/>
        <v>0</v>
      </c>
      <c r="AB775" s="68">
        <f t="shared" ref="AB775:AB838" si="73">IF(X775&gt;0,1,0)</f>
        <v>0</v>
      </c>
    </row>
    <row r="776" spans="1:28" x14ac:dyDescent="0.25">
      <c r="A776">
        <v>771</v>
      </c>
      <c r="C776" s="24">
        <v>1.4906349359675941E-2</v>
      </c>
      <c r="D776" s="24">
        <v>2.0682585982066959E-3</v>
      </c>
      <c r="E776" s="24">
        <v>1.0638849029284642E-20</v>
      </c>
      <c r="F776" s="24">
        <v>6.1780227592804771E-3</v>
      </c>
      <c r="G776" s="24">
        <v>0.5752322663380085</v>
      </c>
      <c r="H776" s="24">
        <v>0.3258607680712311</v>
      </c>
      <c r="I776" s="53">
        <v>1698.7627090924475</v>
      </c>
      <c r="J776" s="53">
        <v>5532.568642468209</v>
      </c>
      <c r="K776" s="24">
        <v>0.7793037748471261</v>
      </c>
      <c r="L776" s="24">
        <v>0.94627717978220161</v>
      </c>
      <c r="M776" s="24">
        <v>0.74339874995231292</v>
      </c>
      <c r="O776" s="53">
        <v>4.4929436701910905</v>
      </c>
      <c r="P776" s="54">
        <v>17200.942406797916</v>
      </c>
      <c r="Q776" s="54">
        <v>4.6089760987260506</v>
      </c>
      <c r="R776" s="54">
        <v>59695.329149108446</v>
      </c>
      <c r="S776" s="54">
        <v>0.1160324285349601</v>
      </c>
      <c r="T776" s="54">
        <v>42494.386742310526</v>
      </c>
      <c r="V776" s="69">
        <f t="shared" si="68"/>
        <v>881387.79163142026</v>
      </c>
      <c r="W776" s="69">
        <f t="shared" si="69"/>
        <v>862099.89059610164</v>
      </c>
      <c r="X776" s="69">
        <f t="shared" si="72"/>
        <v>-19287.901035318508</v>
      </c>
      <c r="Z776" s="68">
        <f t="shared" si="70"/>
        <v>1</v>
      </c>
      <c r="AA776" s="68">
        <f t="shared" si="71"/>
        <v>0</v>
      </c>
      <c r="AB776" s="68">
        <f t="shared" si="73"/>
        <v>0</v>
      </c>
    </row>
    <row r="777" spans="1:28" x14ac:dyDescent="0.25">
      <c r="A777">
        <v>772</v>
      </c>
      <c r="C777" s="24">
        <v>5.6510945866800719E-10</v>
      </c>
      <c r="D777" s="24">
        <v>1.9185554240852554E-3</v>
      </c>
      <c r="E777" s="24">
        <v>1.2716357518971006E-21</v>
      </c>
      <c r="F777" s="24">
        <v>1.4418590226750183E-4</v>
      </c>
      <c r="G777" s="24">
        <v>0.61809234574284144</v>
      </c>
      <c r="H777" s="24">
        <v>0.17766074090777084</v>
      </c>
      <c r="I777" s="53">
        <v>2396.164701474594</v>
      </c>
      <c r="J777" s="53">
        <v>3814.7809224228499</v>
      </c>
      <c r="K777" s="24">
        <v>0.48924289068331273</v>
      </c>
      <c r="L777" s="24">
        <v>0.83265537898409459</v>
      </c>
      <c r="M777" s="24">
        <v>0.7181626002974677</v>
      </c>
      <c r="O777" s="53">
        <v>3.6576256946992225</v>
      </c>
      <c r="P777" s="54">
        <v>19435.808650593684</v>
      </c>
      <c r="Q777" s="54">
        <v>4.0871217962849924</v>
      </c>
      <c r="R777" s="54">
        <v>26424.595477082279</v>
      </c>
      <c r="S777" s="54">
        <v>0.4294961015857699</v>
      </c>
      <c r="T777" s="54">
        <v>6988.7868264885947</v>
      </c>
      <c r="V777" s="69">
        <f t="shared" si="68"/>
        <v>712089.33028925071</v>
      </c>
      <c r="W777" s="69">
        <f t="shared" si="69"/>
        <v>790999.76377991622</v>
      </c>
      <c r="X777" s="69">
        <f t="shared" si="72"/>
        <v>78910.433490665382</v>
      </c>
      <c r="Z777" s="68">
        <f t="shared" si="70"/>
        <v>0</v>
      </c>
      <c r="AA777" s="68">
        <f t="shared" si="71"/>
        <v>1</v>
      </c>
      <c r="AB777" s="68">
        <f t="shared" si="73"/>
        <v>1</v>
      </c>
    </row>
    <row r="778" spans="1:28" x14ac:dyDescent="0.25">
      <c r="A778">
        <v>773</v>
      </c>
      <c r="C778" s="24">
        <v>7.0970347965085751E-13</v>
      </c>
      <c r="D778" s="24">
        <v>2.284245269460472E-3</v>
      </c>
      <c r="E778" s="24">
        <v>5.8786602064042626E-7</v>
      </c>
      <c r="F778" s="24">
        <v>3.4239938301478229E-48</v>
      </c>
      <c r="G778" s="24">
        <v>0.59788015308351672</v>
      </c>
      <c r="H778" s="24">
        <v>0.2691498103369514</v>
      </c>
      <c r="I778" s="53">
        <v>1904.2359800758047</v>
      </c>
      <c r="J778" s="53">
        <v>4520.219565502447</v>
      </c>
      <c r="K778" s="24">
        <v>0.58070738791687293</v>
      </c>
      <c r="L778" s="24">
        <v>0.84826395725084991</v>
      </c>
      <c r="M778" s="24">
        <v>0.98249256349424996</v>
      </c>
      <c r="O778" s="53">
        <v>3.8738976118064183</v>
      </c>
      <c r="P778" s="54">
        <v>15760.438259613496</v>
      </c>
      <c r="Q778" s="54">
        <v>4.1448693949842372</v>
      </c>
      <c r="R778" s="54">
        <v>28617.860286554678</v>
      </c>
      <c r="S778" s="54">
        <v>0.27097178317781889</v>
      </c>
      <c r="T778" s="54">
        <v>12857.422026941182</v>
      </c>
      <c r="V778" s="69">
        <f t="shared" ref="V778:V841" si="74">O778*cRatio-P778</f>
        <v>759019.08410167019</v>
      </c>
      <c r="W778" s="69">
        <f t="shared" ref="W778:W841" si="75">Q778*cRatio-R778</f>
        <v>800356.01871029276</v>
      </c>
      <c r="X778" s="69">
        <f t="shared" si="72"/>
        <v>41336.9346086226</v>
      </c>
      <c r="Z778" s="68">
        <f t="shared" ref="Z778:Z841" si="76">IF(MAX(V778:W778)=V778,1,0)</f>
        <v>0</v>
      </c>
      <c r="AA778" s="68">
        <f t="shared" ref="AA778:AA841" si="77">IF(MAX(V778:W778)=W778,1,0)</f>
        <v>1</v>
      </c>
      <c r="AB778" s="68">
        <f t="shared" si="73"/>
        <v>1</v>
      </c>
    </row>
    <row r="779" spans="1:28" x14ac:dyDescent="0.25">
      <c r="A779">
        <v>774</v>
      </c>
      <c r="C779" s="24">
        <v>7.7471755762785917E-7</v>
      </c>
      <c r="D779" s="24">
        <v>2.1397818243332756E-3</v>
      </c>
      <c r="E779" s="24">
        <v>1.3173942005822531E-13</v>
      </c>
      <c r="F779" s="24">
        <v>5.310216578457907E-72</v>
      </c>
      <c r="G779" s="24">
        <v>0.58751873260174514</v>
      </c>
      <c r="H779" s="24">
        <v>0.28999138192714735</v>
      </c>
      <c r="I779" s="53">
        <v>2094.7140632850092</v>
      </c>
      <c r="J779" s="53">
        <v>4409.2162600587562</v>
      </c>
      <c r="K779" s="24">
        <v>0.74243644669769515</v>
      </c>
      <c r="L779" s="24">
        <v>0.95892794526436598</v>
      </c>
      <c r="M779" s="24">
        <v>0.76252702262676886</v>
      </c>
      <c r="O779" s="53">
        <v>4.5078638983035262</v>
      </c>
      <c r="P779" s="54">
        <v>19897.656786449745</v>
      </c>
      <c r="Q779" s="54">
        <v>4.7036804093672435</v>
      </c>
      <c r="R779" s="54">
        <v>42204.380266324857</v>
      </c>
      <c r="S779" s="54">
        <v>0.19581651106371734</v>
      </c>
      <c r="T779" s="54">
        <v>22306.723479875112</v>
      </c>
      <c r="V779" s="69">
        <f t="shared" si="74"/>
        <v>881675.12287425552</v>
      </c>
      <c r="W779" s="69">
        <f t="shared" si="75"/>
        <v>898531.70160712383</v>
      </c>
      <c r="X779" s="69">
        <f t="shared" si="72"/>
        <v>16856.578732868355</v>
      </c>
      <c r="Z779" s="68">
        <f t="shared" si="76"/>
        <v>0</v>
      </c>
      <c r="AA779" s="68">
        <f t="shared" si="77"/>
        <v>1</v>
      </c>
      <c r="AB779" s="68">
        <f t="shared" si="73"/>
        <v>1</v>
      </c>
    </row>
    <row r="780" spans="1:28" x14ac:dyDescent="0.25">
      <c r="A780">
        <v>775</v>
      </c>
      <c r="C780" s="24">
        <v>2.6259704533367238E-5</v>
      </c>
      <c r="D780" s="24">
        <v>6.835272869197162E-3</v>
      </c>
      <c r="E780" s="24">
        <v>1.8626257947702207E-21</v>
      </c>
      <c r="F780" s="24">
        <v>1.2167156136743051E-29</v>
      </c>
      <c r="G780" s="24">
        <v>0.54506827841869088</v>
      </c>
      <c r="H780" s="24">
        <v>0.35908789673996444</v>
      </c>
      <c r="I780" s="53">
        <v>1742.9752036963889</v>
      </c>
      <c r="J780" s="53">
        <v>5143.7399868912553</v>
      </c>
      <c r="K780" s="24">
        <v>0.52571054566971931</v>
      </c>
      <c r="L780" s="24">
        <v>0.92352220025039689</v>
      </c>
      <c r="M780" s="24">
        <v>0.73803303188025837</v>
      </c>
      <c r="O780" s="53">
        <v>4.1638705080566591</v>
      </c>
      <c r="P780" s="54">
        <v>15516.413821936821</v>
      </c>
      <c r="Q780" s="54">
        <v>4.387267853597872</v>
      </c>
      <c r="R780" s="54">
        <v>54092.286399203564</v>
      </c>
      <c r="S780" s="54">
        <v>0.22339734554121282</v>
      </c>
      <c r="T780" s="54">
        <v>38575.872577266739</v>
      </c>
      <c r="V780" s="69">
        <f t="shared" si="74"/>
        <v>817257.68778939499</v>
      </c>
      <c r="W780" s="69">
        <f t="shared" si="75"/>
        <v>823361.28432037076</v>
      </c>
      <c r="X780" s="69">
        <f t="shared" si="72"/>
        <v>6103.5965309758249</v>
      </c>
      <c r="Z780" s="68">
        <f t="shared" si="76"/>
        <v>0</v>
      </c>
      <c r="AA780" s="68">
        <f t="shared" si="77"/>
        <v>1</v>
      </c>
      <c r="AB780" s="68">
        <f t="shared" si="73"/>
        <v>1</v>
      </c>
    </row>
    <row r="781" spans="1:28" x14ac:dyDescent="0.25">
      <c r="A781">
        <v>776</v>
      </c>
      <c r="C781" s="24">
        <v>5.5502749518189007E-9</v>
      </c>
      <c r="D781" s="24">
        <v>7.578739704657611E-3</v>
      </c>
      <c r="E781" s="24">
        <v>1.3871119137103202E-24</v>
      </c>
      <c r="F781" s="24">
        <v>9.0265476893793509E-30</v>
      </c>
      <c r="G781" s="24">
        <v>0.509094693959806</v>
      </c>
      <c r="H781" s="24">
        <v>0.23145429577171295</v>
      </c>
      <c r="I781" s="53">
        <v>2207.8937845038008</v>
      </c>
      <c r="J781" s="53">
        <v>5123.8383017847364</v>
      </c>
      <c r="K781" s="24">
        <v>0.73928948797047278</v>
      </c>
      <c r="L781" s="24">
        <v>0.80284996634375383</v>
      </c>
      <c r="M781" s="24">
        <v>0.79314450056175079</v>
      </c>
      <c r="O781" s="53">
        <v>3.9505884027042999</v>
      </c>
      <c r="P781" s="54">
        <v>15966.354649505696</v>
      </c>
      <c r="Q781" s="54">
        <v>3.9946710185130958</v>
      </c>
      <c r="R781" s="54">
        <v>37579.789227309629</v>
      </c>
      <c r="S781" s="54">
        <v>4.4082615808795911E-2</v>
      </c>
      <c r="T781" s="54">
        <v>21613.434577803935</v>
      </c>
      <c r="V781" s="69">
        <f t="shared" si="74"/>
        <v>774151.32589135424</v>
      </c>
      <c r="W781" s="69">
        <f t="shared" si="75"/>
        <v>761354.41447530955</v>
      </c>
      <c r="X781" s="69">
        <f t="shared" si="72"/>
        <v>-12796.911416044753</v>
      </c>
      <c r="Z781" s="68">
        <f t="shared" si="76"/>
        <v>1</v>
      </c>
      <c r="AA781" s="68">
        <f t="shared" si="77"/>
        <v>0</v>
      </c>
      <c r="AB781" s="68">
        <f t="shared" si="73"/>
        <v>0</v>
      </c>
    </row>
    <row r="782" spans="1:28" x14ac:dyDescent="0.25">
      <c r="A782">
        <v>777</v>
      </c>
      <c r="C782" s="24">
        <v>1.4824601670843719E-10</v>
      </c>
      <c r="D782" s="24">
        <v>8.2741862141521585E-4</v>
      </c>
      <c r="E782" s="24">
        <v>1.7060796433172198E-22</v>
      </c>
      <c r="F782" s="24">
        <v>3.1746773788841205E-45</v>
      </c>
      <c r="G782" s="24">
        <v>0.60567840416254037</v>
      </c>
      <c r="H782" s="24">
        <v>0.29992605012350293</v>
      </c>
      <c r="I782" s="53">
        <v>2507.8156693796154</v>
      </c>
      <c r="J782" s="53">
        <v>5367.8095176053312</v>
      </c>
      <c r="K782" s="24">
        <v>0.47204854503797955</v>
      </c>
      <c r="L782" s="24">
        <v>0.86437144785403508</v>
      </c>
      <c r="M782" s="24">
        <v>0.84785390704019814</v>
      </c>
      <c r="O782" s="53">
        <v>3.7683673904780846</v>
      </c>
      <c r="P782" s="54">
        <v>18512.793066560327</v>
      </c>
      <c r="Q782" s="54">
        <v>4.1540967168249292</v>
      </c>
      <c r="R782" s="54">
        <v>46545.689429227248</v>
      </c>
      <c r="S782" s="54">
        <v>0.38572932634684465</v>
      </c>
      <c r="T782" s="54">
        <v>28032.896362666921</v>
      </c>
      <c r="V782" s="69">
        <f t="shared" si="74"/>
        <v>735160.68502905662</v>
      </c>
      <c r="W782" s="69">
        <f t="shared" si="75"/>
        <v>784273.65393575863</v>
      </c>
      <c r="X782" s="69">
        <f t="shared" si="72"/>
        <v>49112.968906702015</v>
      </c>
      <c r="Z782" s="68">
        <f t="shared" si="76"/>
        <v>0</v>
      </c>
      <c r="AA782" s="68">
        <f t="shared" si="77"/>
        <v>1</v>
      </c>
      <c r="AB782" s="68">
        <f t="shared" si="73"/>
        <v>1</v>
      </c>
    </row>
    <row r="783" spans="1:28" x14ac:dyDescent="0.25">
      <c r="A783">
        <v>778</v>
      </c>
      <c r="C783" s="24">
        <v>6.5300022988650655E-9</v>
      </c>
      <c r="D783" s="24">
        <v>1.1256807068785948E-6</v>
      </c>
      <c r="E783" s="24">
        <v>4.4837599855185317E-8</v>
      </c>
      <c r="F783" s="24">
        <v>3.9508504138363598E-4</v>
      </c>
      <c r="G783" s="24">
        <v>0.54997998023248851</v>
      </c>
      <c r="H783" s="24">
        <v>0.16157896668289062</v>
      </c>
      <c r="I783" s="53">
        <v>1971.5612919127373</v>
      </c>
      <c r="J783" s="53">
        <v>3700.5878887348867</v>
      </c>
      <c r="K783" s="24">
        <v>0.63147261481836137</v>
      </c>
      <c r="L783" s="24">
        <v>0.84325371438939134</v>
      </c>
      <c r="M783" s="24">
        <v>0.9587209297877195</v>
      </c>
      <c r="O783" s="53">
        <v>3.9704693940452627</v>
      </c>
      <c r="P783" s="54">
        <v>17567.916210255589</v>
      </c>
      <c r="Q783" s="54">
        <v>4.1735495053442095</v>
      </c>
      <c r="R783" s="54">
        <v>25092.955827005073</v>
      </c>
      <c r="S783" s="54">
        <v>0.20308011129894687</v>
      </c>
      <c r="T783" s="54">
        <v>7525.0396167494837</v>
      </c>
      <c r="V783" s="69">
        <f t="shared" si="74"/>
        <v>776525.96259879693</v>
      </c>
      <c r="W783" s="69">
        <f t="shared" si="75"/>
        <v>809616.94524183683</v>
      </c>
      <c r="X783" s="69">
        <f t="shared" si="72"/>
        <v>33090.98264303989</v>
      </c>
      <c r="Z783" s="68">
        <f t="shared" si="76"/>
        <v>0</v>
      </c>
      <c r="AA783" s="68">
        <f t="shared" si="77"/>
        <v>1</v>
      </c>
      <c r="AB783" s="68">
        <f t="shared" si="73"/>
        <v>1</v>
      </c>
    </row>
    <row r="784" spans="1:28" x14ac:dyDescent="0.25">
      <c r="A784">
        <v>779</v>
      </c>
      <c r="C784" s="24">
        <v>1.8997038434580985E-7</v>
      </c>
      <c r="D784" s="24">
        <v>7.1654747203393646E-4</v>
      </c>
      <c r="E784" s="24">
        <v>1.189038867366321E-10</v>
      </c>
      <c r="F784" s="24">
        <v>1.5953904863863499E-13</v>
      </c>
      <c r="G784" s="24">
        <v>0.60322292022921908</v>
      </c>
      <c r="H784" s="24">
        <v>0.24278031571460745</v>
      </c>
      <c r="I784" s="53">
        <v>2338.7628131602942</v>
      </c>
      <c r="J784" s="53">
        <v>4794.0622509979185</v>
      </c>
      <c r="K784" s="24">
        <v>0.8094168561299826</v>
      </c>
      <c r="L784" s="24">
        <v>0.79566828390384237</v>
      </c>
      <c r="M784" s="24">
        <v>0.78181517248250154</v>
      </c>
      <c r="O784" s="53">
        <v>3.9975739758439</v>
      </c>
      <c r="P784" s="54">
        <v>20108.609907625712</v>
      </c>
      <c r="Q784" s="54">
        <v>3.9826844328523667</v>
      </c>
      <c r="R784" s="54">
        <v>39424.84077657439</v>
      </c>
      <c r="S784" s="54">
        <v>-1.4889542991533222E-2</v>
      </c>
      <c r="T784" s="54">
        <v>19316.230868948678</v>
      </c>
      <c r="V784" s="69">
        <f t="shared" si="74"/>
        <v>779406.18526115431</v>
      </c>
      <c r="W784" s="69">
        <f t="shared" si="75"/>
        <v>757112.04579389887</v>
      </c>
      <c r="X784" s="69">
        <f t="shared" si="72"/>
        <v>-22294.139467255322</v>
      </c>
      <c r="Z784" s="68">
        <f t="shared" si="76"/>
        <v>1</v>
      </c>
      <c r="AA784" s="68">
        <f t="shared" si="77"/>
        <v>0</v>
      </c>
      <c r="AB784" s="68">
        <f t="shared" si="73"/>
        <v>0</v>
      </c>
    </row>
    <row r="785" spans="1:28" x14ac:dyDescent="0.25">
      <c r="A785">
        <v>780</v>
      </c>
      <c r="C785" s="24">
        <v>2.2507879308800695E-5</v>
      </c>
      <c r="D785" s="24">
        <v>9.0033054495595126E-5</v>
      </c>
      <c r="E785" s="24">
        <v>1.6652241115079367E-21</v>
      </c>
      <c r="F785" s="24">
        <v>6.9538971447791198E-7</v>
      </c>
      <c r="G785" s="24">
        <v>0.66153200939505763</v>
      </c>
      <c r="H785" s="24">
        <v>0.20125648780038963</v>
      </c>
      <c r="I785" s="53">
        <v>2218.0786669597319</v>
      </c>
      <c r="J785" s="53">
        <v>5346.6733607225533</v>
      </c>
      <c r="K785" s="24">
        <v>0.7321237926203974</v>
      </c>
      <c r="L785" s="24">
        <v>0.81583985357642419</v>
      </c>
      <c r="M785" s="24">
        <v>0.61742332761358509</v>
      </c>
      <c r="O785" s="53">
        <v>3.9362635447222329</v>
      </c>
      <c r="P785" s="54">
        <v>22239.185790846303</v>
      </c>
      <c r="Q785" s="54">
        <v>4.0580030372219431</v>
      </c>
      <c r="R785" s="54">
        <v>27576.310809031609</v>
      </c>
      <c r="S785" s="54">
        <v>0.12173949249971017</v>
      </c>
      <c r="T785" s="54">
        <v>5337.1250181853065</v>
      </c>
      <c r="V785" s="69">
        <f t="shared" si="74"/>
        <v>765013.52315360028</v>
      </c>
      <c r="W785" s="69">
        <f t="shared" si="75"/>
        <v>784024.29663535708</v>
      </c>
      <c r="X785" s="69">
        <f t="shared" si="72"/>
        <v>19010.773481756725</v>
      </c>
      <c r="Z785" s="68">
        <f t="shared" si="76"/>
        <v>0</v>
      </c>
      <c r="AA785" s="68">
        <f t="shared" si="77"/>
        <v>1</v>
      </c>
      <c r="AB785" s="68">
        <f t="shared" si="73"/>
        <v>1</v>
      </c>
    </row>
    <row r="786" spans="1:28" x14ac:dyDescent="0.25">
      <c r="A786">
        <v>781</v>
      </c>
      <c r="C786" s="24">
        <v>9.1707940147709444E-3</v>
      </c>
      <c r="D786" s="24">
        <v>6.5099398155955557E-3</v>
      </c>
      <c r="E786" s="24">
        <v>7.5185839554237077E-8</v>
      </c>
      <c r="F786" s="24">
        <v>1.3129847209469858E-9</v>
      </c>
      <c r="G786" s="24">
        <v>0.4775314174008416</v>
      </c>
      <c r="H786" s="24">
        <v>0.41293534312682589</v>
      </c>
      <c r="I786" s="53">
        <v>2651.8663451673519</v>
      </c>
      <c r="J786" s="53">
        <v>5850.9250995729653</v>
      </c>
      <c r="K786" s="24">
        <v>0.63905988052207952</v>
      </c>
      <c r="L786" s="24">
        <v>0.95851883019592066</v>
      </c>
      <c r="M786" s="24">
        <v>0.71123696150004911</v>
      </c>
      <c r="O786" s="53">
        <v>4.4900277511216542</v>
      </c>
      <c r="P786" s="54">
        <v>13996.07088931929</v>
      </c>
      <c r="Q786" s="54">
        <v>4.5587829270937839</v>
      </c>
      <c r="R786" s="54">
        <v>61391.473765879731</v>
      </c>
      <c r="S786" s="54">
        <v>6.8755175972129656E-2</v>
      </c>
      <c r="T786" s="54">
        <v>47395.402876560445</v>
      </c>
      <c r="V786" s="69">
        <f t="shared" si="74"/>
        <v>884009.47933501157</v>
      </c>
      <c r="W786" s="69">
        <f t="shared" si="75"/>
        <v>850365.11165287707</v>
      </c>
      <c r="X786" s="69">
        <f t="shared" si="72"/>
        <v>-33644.367682134514</v>
      </c>
      <c r="Z786" s="68">
        <f t="shared" si="76"/>
        <v>1</v>
      </c>
      <c r="AA786" s="68">
        <f t="shared" si="77"/>
        <v>0</v>
      </c>
      <c r="AB786" s="68">
        <f t="shared" si="73"/>
        <v>0</v>
      </c>
    </row>
    <row r="787" spans="1:28" x14ac:dyDescent="0.25">
      <c r="A787">
        <v>782</v>
      </c>
      <c r="C787" s="24">
        <v>8.612056385467738E-11</v>
      </c>
      <c r="D787" s="24">
        <v>1.0469763983624312E-3</v>
      </c>
      <c r="E787" s="24">
        <v>8.8173408390179731E-6</v>
      </c>
      <c r="F787" s="24">
        <v>8.6478948768675679E-6</v>
      </c>
      <c r="G787" s="24">
        <v>0.50299252917579607</v>
      </c>
      <c r="H787" s="24">
        <v>0.24024505805016949</v>
      </c>
      <c r="I787" s="53">
        <v>1473.8984616912426</v>
      </c>
      <c r="J787" s="53">
        <v>6532.7996682583071</v>
      </c>
      <c r="K787" s="24">
        <v>0.73039219589524151</v>
      </c>
      <c r="L787" s="24">
        <v>0.83152529072637182</v>
      </c>
      <c r="M787" s="24">
        <v>0.95408613703966716</v>
      </c>
      <c r="O787" s="53">
        <v>4.0585115191480972</v>
      </c>
      <c r="P787" s="54">
        <v>15580.612891007995</v>
      </c>
      <c r="Q787" s="54">
        <v>4.126419133959784</v>
      </c>
      <c r="R787" s="54">
        <v>35792.815912499878</v>
      </c>
      <c r="S787" s="54">
        <v>6.7907614811686834E-2</v>
      </c>
      <c r="T787" s="54">
        <v>20212.203021491885</v>
      </c>
      <c r="V787" s="69">
        <f t="shared" si="74"/>
        <v>796121.6909386114</v>
      </c>
      <c r="W787" s="69">
        <f t="shared" si="75"/>
        <v>789491.01087945688</v>
      </c>
      <c r="X787" s="69">
        <f t="shared" si="72"/>
        <v>-6630.6800591545179</v>
      </c>
      <c r="Z787" s="68">
        <f t="shared" si="76"/>
        <v>1</v>
      </c>
      <c r="AA787" s="68">
        <f t="shared" si="77"/>
        <v>0</v>
      </c>
      <c r="AB787" s="68">
        <f t="shared" si="73"/>
        <v>0</v>
      </c>
    </row>
    <row r="788" spans="1:28" x14ac:dyDescent="0.25">
      <c r="A788">
        <v>783</v>
      </c>
      <c r="C788" s="24">
        <v>3.89369015577401E-4</v>
      </c>
      <c r="D788" s="24">
        <v>3.1690958522052615E-3</v>
      </c>
      <c r="E788" s="24">
        <v>1.4197903963619751E-8</v>
      </c>
      <c r="F788" s="24">
        <v>6.4808339091959893E-30</v>
      </c>
      <c r="G788" s="24">
        <v>0.61709670992831667</v>
      </c>
      <c r="H788" s="24">
        <v>0.21909496072367096</v>
      </c>
      <c r="I788" s="53">
        <v>1824.3728082982254</v>
      </c>
      <c r="J788" s="53">
        <v>6432.1791244437327</v>
      </c>
      <c r="K788" s="24">
        <v>0.63903640704910813</v>
      </c>
      <c r="L788" s="24">
        <v>0.71399161340093742</v>
      </c>
      <c r="M788" s="24">
        <v>0.97004713288405386</v>
      </c>
      <c r="O788" s="53">
        <v>3.4608882249592896</v>
      </c>
      <c r="P788" s="54">
        <v>15728.039386991251</v>
      </c>
      <c r="Q788" s="54">
        <v>3.5538431130895054</v>
      </c>
      <c r="R788" s="54">
        <v>29346.125668036308</v>
      </c>
      <c r="S788" s="54">
        <v>9.2954888130215796E-2</v>
      </c>
      <c r="T788" s="54">
        <v>13618.086281045056</v>
      </c>
      <c r="V788" s="69">
        <f t="shared" si="74"/>
        <v>676449.60560486664</v>
      </c>
      <c r="W788" s="69">
        <f t="shared" si="75"/>
        <v>681422.49694986478</v>
      </c>
      <c r="X788" s="69">
        <f t="shared" si="72"/>
        <v>4972.8913449981046</v>
      </c>
      <c r="Z788" s="68">
        <f t="shared" si="76"/>
        <v>0</v>
      </c>
      <c r="AA788" s="68">
        <f t="shared" si="77"/>
        <v>1</v>
      </c>
      <c r="AB788" s="68">
        <f t="shared" si="73"/>
        <v>1</v>
      </c>
    </row>
    <row r="789" spans="1:28" x14ac:dyDescent="0.25">
      <c r="A789">
        <v>784</v>
      </c>
      <c r="C789" s="24">
        <v>1.2952958664302905E-4</v>
      </c>
      <c r="D789" s="24">
        <v>1.00731159665014E-2</v>
      </c>
      <c r="E789" s="24">
        <v>6.3835197529193977E-4</v>
      </c>
      <c r="F789" s="24">
        <v>4.5597331480334561E-26</v>
      </c>
      <c r="G789" s="24">
        <v>0.50015362378651418</v>
      </c>
      <c r="H789" s="24">
        <v>0.23313812299042858</v>
      </c>
      <c r="I789" s="53">
        <v>1861.1225201031314</v>
      </c>
      <c r="J789" s="53">
        <v>5575.8727651582358</v>
      </c>
      <c r="K789" s="24">
        <v>0.65508728973417185</v>
      </c>
      <c r="L789" s="24">
        <v>0.86547129847643578</v>
      </c>
      <c r="M789" s="24">
        <v>0.92832207118756305</v>
      </c>
      <c r="O789" s="53">
        <v>4.1190423700649896</v>
      </c>
      <c r="P789" s="54">
        <v>13365.66437270393</v>
      </c>
      <c r="Q789" s="54">
        <v>4.2673175506888672</v>
      </c>
      <c r="R789" s="54">
        <v>32809.635560440169</v>
      </c>
      <c r="S789" s="54">
        <v>0.14827518062387757</v>
      </c>
      <c r="T789" s="54">
        <v>19443.971187736239</v>
      </c>
      <c r="V789" s="69">
        <f t="shared" si="74"/>
        <v>810442.80964029406</v>
      </c>
      <c r="W789" s="69">
        <f t="shared" si="75"/>
        <v>820653.87457733334</v>
      </c>
      <c r="X789" s="69">
        <f t="shared" si="72"/>
        <v>10211.064937039275</v>
      </c>
      <c r="Z789" s="68">
        <f t="shared" si="76"/>
        <v>0</v>
      </c>
      <c r="AA789" s="68">
        <f t="shared" si="77"/>
        <v>1</v>
      </c>
      <c r="AB789" s="68">
        <f t="shared" si="73"/>
        <v>1</v>
      </c>
    </row>
    <row r="790" spans="1:28" x14ac:dyDescent="0.25">
      <c r="A790">
        <v>785</v>
      </c>
      <c r="C790" s="24">
        <v>7.4211280700364757E-4</v>
      </c>
      <c r="D790" s="24">
        <v>1.008034755307745E-4</v>
      </c>
      <c r="E790" s="24">
        <v>1.4909888321170343E-32</v>
      </c>
      <c r="F790" s="24">
        <v>5.8895748843323936E-4</v>
      </c>
      <c r="G790" s="24">
        <v>0.54726145790968361</v>
      </c>
      <c r="H790" s="24">
        <v>0.32911134301680312</v>
      </c>
      <c r="I790" s="53">
        <v>1758.399879187519</v>
      </c>
      <c r="J790" s="53">
        <v>4931.2599660736078</v>
      </c>
      <c r="K790" s="24">
        <v>0.63525767160110824</v>
      </c>
      <c r="L790" s="24">
        <v>0.95069730494470805</v>
      </c>
      <c r="M790" s="24">
        <v>0.89252888519786933</v>
      </c>
      <c r="O790" s="53">
        <v>4.3905392244442565</v>
      </c>
      <c r="P790" s="54">
        <v>13897.773009581128</v>
      </c>
      <c r="Q790" s="54">
        <v>4.5955372762676596</v>
      </c>
      <c r="R790" s="54">
        <v>53070.500442461256</v>
      </c>
      <c r="S790" s="54">
        <v>0.20499805182340314</v>
      </c>
      <c r="T790" s="54">
        <v>39172.727432880129</v>
      </c>
      <c r="V790" s="69">
        <f t="shared" si="74"/>
        <v>864210.07187927014</v>
      </c>
      <c r="W790" s="69">
        <f t="shared" si="75"/>
        <v>866036.9548110707</v>
      </c>
      <c r="X790" s="69">
        <f t="shared" si="72"/>
        <v>1826.882931800501</v>
      </c>
      <c r="Z790" s="68">
        <f t="shared" si="76"/>
        <v>0</v>
      </c>
      <c r="AA790" s="68">
        <f t="shared" si="77"/>
        <v>1</v>
      </c>
      <c r="AB790" s="68">
        <f t="shared" si="73"/>
        <v>1</v>
      </c>
    </row>
    <row r="791" spans="1:28" x14ac:dyDescent="0.25">
      <c r="A791">
        <v>786</v>
      </c>
      <c r="C791" s="24">
        <v>1.4710212797375277E-4</v>
      </c>
      <c r="D791" s="24">
        <v>1.56141972096831E-4</v>
      </c>
      <c r="E791" s="24">
        <v>4.8346367433411456E-18</v>
      </c>
      <c r="F791" s="24">
        <v>1.8859684370978079E-42</v>
      </c>
      <c r="G791" s="24">
        <v>0.45685732662897172</v>
      </c>
      <c r="H791" s="24">
        <v>0.27637084635401332</v>
      </c>
      <c r="I791" s="53">
        <v>2075.731109201437</v>
      </c>
      <c r="J791" s="53">
        <v>6002.513636718174</v>
      </c>
      <c r="K791" s="24">
        <v>0.80349780032047158</v>
      </c>
      <c r="L791" s="24">
        <v>0.86422069943391588</v>
      </c>
      <c r="M791" s="24">
        <v>0.89829014874256563</v>
      </c>
      <c r="O791" s="53">
        <v>4.2710822917348343</v>
      </c>
      <c r="P791" s="54">
        <v>14077.602896843229</v>
      </c>
      <c r="Q791" s="54">
        <v>4.2979833528549864</v>
      </c>
      <c r="R791" s="54">
        <v>47312.783090282705</v>
      </c>
      <c r="S791" s="54">
        <v>2.6901061120152114E-2</v>
      </c>
      <c r="T791" s="54">
        <v>33235.180193439475</v>
      </c>
      <c r="V791" s="69">
        <f t="shared" si="74"/>
        <v>840138.85545012366</v>
      </c>
      <c r="W791" s="69">
        <f t="shared" si="75"/>
        <v>812283.88748071459</v>
      </c>
      <c r="X791" s="69">
        <f t="shared" si="72"/>
        <v>-27854.967969409052</v>
      </c>
      <c r="Z791" s="68">
        <f t="shared" si="76"/>
        <v>1</v>
      </c>
      <c r="AA791" s="68">
        <f t="shared" si="77"/>
        <v>0</v>
      </c>
      <c r="AB791" s="68">
        <f t="shared" si="73"/>
        <v>0</v>
      </c>
    </row>
    <row r="792" spans="1:28" x14ac:dyDescent="0.25">
      <c r="A792">
        <v>787</v>
      </c>
      <c r="C792" s="24">
        <v>2.3476511594101579E-3</v>
      </c>
      <c r="D792" s="24">
        <v>1.0160179879296462E-3</v>
      </c>
      <c r="E792" s="24">
        <v>8.930210382285253E-8</v>
      </c>
      <c r="F792" s="24">
        <v>1.8369734506973323E-5</v>
      </c>
      <c r="G792" s="24">
        <v>0.48162884916701643</v>
      </c>
      <c r="H792" s="24">
        <v>0.37559900039446137</v>
      </c>
      <c r="I792" s="53">
        <v>1740.6862800011481</v>
      </c>
      <c r="J792" s="53">
        <v>5731.5610127857035</v>
      </c>
      <c r="K792" s="24">
        <v>0.7272635727470167</v>
      </c>
      <c r="L792" s="24">
        <v>0.91386618446375323</v>
      </c>
      <c r="M792" s="24">
        <v>0.88384553117569808</v>
      </c>
      <c r="O792" s="53">
        <v>4.3998905214654958</v>
      </c>
      <c r="P792" s="54">
        <v>13714.612860104642</v>
      </c>
      <c r="Q792" s="54">
        <v>4.4575885532654631</v>
      </c>
      <c r="R792" s="54">
        <v>37283.922078628471</v>
      </c>
      <c r="S792" s="54">
        <v>5.7698031799967353E-2</v>
      </c>
      <c r="T792" s="54">
        <v>23569.309218523827</v>
      </c>
      <c r="V792" s="69">
        <f t="shared" si="74"/>
        <v>866263.49143299449</v>
      </c>
      <c r="W792" s="69">
        <f t="shared" si="75"/>
        <v>854233.78857446415</v>
      </c>
      <c r="X792" s="69">
        <f t="shared" si="72"/>
        <v>-12029.702858530356</v>
      </c>
      <c r="Z792" s="68">
        <f t="shared" si="76"/>
        <v>1</v>
      </c>
      <c r="AA792" s="68">
        <f t="shared" si="77"/>
        <v>0</v>
      </c>
      <c r="AB792" s="68">
        <f t="shared" si="73"/>
        <v>0</v>
      </c>
    </row>
    <row r="793" spans="1:28" x14ac:dyDescent="0.25">
      <c r="A793">
        <v>788</v>
      </c>
      <c r="C793" s="24">
        <v>4.7133949797157033E-14</v>
      </c>
      <c r="D793" s="24">
        <v>3.8297353658423862E-4</v>
      </c>
      <c r="E793" s="24">
        <v>1.2888704561718756E-3</v>
      </c>
      <c r="F793" s="24">
        <v>2.4761082073609941E-10</v>
      </c>
      <c r="G793" s="24">
        <v>0.49782308877320114</v>
      </c>
      <c r="H793" s="24">
        <v>0.26074447785790222</v>
      </c>
      <c r="I793" s="53">
        <v>1740.733306269912</v>
      </c>
      <c r="J793" s="53">
        <v>3749.070653971607</v>
      </c>
      <c r="K793" s="24">
        <v>0.61713962542669976</v>
      </c>
      <c r="L793" s="24">
        <v>0.7403015813131234</v>
      </c>
      <c r="M793" s="24">
        <v>0.87683631658379557</v>
      </c>
      <c r="O793" s="53">
        <v>3.5754726587078398</v>
      </c>
      <c r="P793" s="54">
        <v>12339.207596388856</v>
      </c>
      <c r="Q793" s="54">
        <v>3.6584482747933147</v>
      </c>
      <c r="R793" s="54">
        <v>29030.429440340085</v>
      </c>
      <c r="S793" s="54">
        <v>8.2975616085474879E-2</v>
      </c>
      <c r="T793" s="54">
        <v>16691.221843951229</v>
      </c>
      <c r="V793" s="69">
        <f t="shared" si="74"/>
        <v>702755.32414517913</v>
      </c>
      <c r="W793" s="69">
        <f t="shared" si="75"/>
        <v>702659.22551832278</v>
      </c>
      <c r="X793" s="69">
        <f t="shared" si="72"/>
        <v>-96.09862685625194</v>
      </c>
      <c r="Z793" s="68">
        <f t="shared" si="76"/>
        <v>1</v>
      </c>
      <c r="AA793" s="68">
        <f t="shared" si="77"/>
        <v>0</v>
      </c>
      <c r="AB793" s="68">
        <f t="shared" si="73"/>
        <v>0</v>
      </c>
    </row>
    <row r="794" spans="1:28" x14ac:dyDescent="0.25">
      <c r="A794">
        <v>789</v>
      </c>
      <c r="C794" s="24">
        <v>6.167608957603739E-8</v>
      </c>
      <c r="D794" s="24">
        <v>3.1757289119724863E-3</v>
      </c>
      <c r="E794" s="24">
        <v>1.1121326082275118E-10</v>
      </c>
      <c r="F794" s="24">
        <v>3.4597434505965557E-17</v>
      </c>
      <c r="G794" s="24">
        <v>0.57586080293958042</v>
      </c>
      <c r="H794" s="24">
        <v>0.14228981835999044</v>
      </c>
      <c r="I794" s="53">
        <v>1902.421676407886</v>
      </c>
      <c r="J794" s="53">
        <v>4052.1382694397998</v>
      </c>
      <c r="K794" s="24">
        <v>0.79266288773939553</v>
      </c>
      <c r="L794" s="24">
        <v>0.74827398651222099</v>
      </c>
      <c r="M794" s="24">
        <v>0.88231877357647348</v>
      </c>
      <c r="O794" s="53">
        <v>3.7978209986467308</v>
      </c>
      <c r="P794" s="54">
        <v>14016.241488777998</v>
      </c>
      <c r="Q794" s="54">
        <v>3.7511326173246404</v>
      </c>
      <c r="R794" s="54">
        <v>21462.382658469072</v>
      </c>
      <c r="S794" s="54">
        <v>-4.6688381322090411E-2</v>
      </c>
      <c r="T794" s="54">
        <v>7446.1411696910745</v>
      </c>
      <c r="V794" s="69">
        <f t="shared" si="74"/>
        <v>745547.95824056817</v>
      </c>
      <c r="W794" s="69">
        <f t="shared" si="75"/>
        <v>728764.14080645901</v>
      </c>
      <c r="X794" s="69">
        <f t="shared" si="72"/>
        <v>-16783.817434109158</v>
      </c>
      <c r="Z794" s="68">
        <f t="shared" si="76"/>
        <v>1</v>
      </c>
      <c r="AA794" s="68">
        <f t="shared" si="77"/>
        <v>0</v>
      </c>
      <c r="AB794" s="68">
        <f t="shared" si="73"/>
        <v>0</v>
      </c>
    </row>
    <row r="795" spans="1:28" x14ac:dyDescent="0.25">
      <c r="A795">
        <v>790</v>
      </c>
      <c r="C795" s="24">
        <v>7.4765177312829945E-3</v>
      </c>
      <c r="D795" s="24">
        <v>3.0802352031966684E-3</v>
      </c>
      <c r="E795" s="24">
        <v>2.8055608650067199E-28</v>
      </c>
      <c r="F795" s="24">
        <v>9.0258258458369704E-48</v>
      </c>
      <c r="G795" s="24">
        <v>0.58986129952728716</v>
      </c>
      <c r="H795" s="24">
        <v>0.34451703898037878</v>
      </c>
      <c r="I795" s="53">
        <v>1876.7604031673209</v>
      </c>
      <c r="J795" s="53">
        <v>4513.4304710277856</v>
      </c>
      <c r="K795" s="24">
        <v>0.69176709610991671</v>
      </c>
      <c r="L795" s="24">
        <v>0.83097178609727451</v>
      </c>
      <c r="M795" s="24">
        <v>0.84318945062650219</v>
      </c>
      <c r="O795" s="53">
        <v>3.969767222426237</v>
      </c>
      <c r="P795" s="54">
        <v>17847.44928349839</v>
      </c>
      <c r="Q795" s="54">
        <v>4.0823061067208188</v>
      </c>
      <c r="R795" s="54">
        <v>46474.363830956943</v>
      </c>
      <c r="S795" s="54">
        <v>0.11253888429458181</v>
      </c>
      <c r="T795" s="54">
        <v>28626.914547458553</v>
      </c>
      <c r="V795" s="69">
        <f t="shared" si="74"/>
        <v>776105.99520174903</v>
      </c>
      <c r="W795" s="69">
        <f t="shared" si="75"/>
        <v>769986.85751320678</v>
      </c>
      <c r="X795" s="69">
        <f t="shared" si="72"/>
        <v>-6119.1376885421923</v>
      </c>
      <c r="Z795" s="68">
        <f t="shared" si="76"/>
        <v>1</v>
      </c>
      <c r="AA795" s="68">
        <f t="shared" si="77"/>
        <v>0</v>
      </c>
      <c r="AB795" s="68">
        <f t="shared" si="73"/>
        <v>0</v>
      </c>
    </row>
    <row r="796" spans="1:28" x14ac:dyDescent="0.25">
      <c r="A796">
        <v>791</v>
      </c>
      <c r="C796" s="24">
        <v>6.5299197306305512E-3</v>
      </c>
      <c r="D796" s="24">
        <v>2.1343350470768243E-4</v>
      </c>
      <c r="E796" s="24">
        <v>6.8357208782288126E-11</v>
      </c>
      <c r="F796" s="24">
        <v>3.8156992111071375E-5</v>
      </c>
      <c r="G796" s="24">
        <v>0.4867812188703099</v>
      </c>
      <c r="H796" s="24">
        <v>0.19412222696882631</v>
      </c>
      <c r="I796" s="53">
        <v>2024.6377466288761</v>
      </c>
      <c r="J796" s="53">
        <v>5702.695334249046</v>
      </c>
      <c r="K796" s="24">
        <v>0.69658124791855736</v>
      </c>
      <c r="L796" s="24">
        <v>0.81340589947747977</v>
      </c>
      <c r="M796" s="24">
        <v>0.96906939254093594</v>
      </c>
      <c r="O796" s="53">
        <v>3.9673270969005721</v>
      </c>
      <c r="P796" s="54">
        <v>12376.913678502266</v>
      </c>
      <c r="Q796" s="54">
        <v>4.0389091000583868</v>
      </c>
      <c r="R796" s="54">
        <v>34231.857148320843</v>
      </c>
      <c r="S796" s="54">
        <v>7.1582003157814711E-2</v>
      </c>
      <c r="T796" s="54">
        <v>21854.94346981858</v>
      </c>
      <c r="V796" s="69">
        <f t="shared" si="74"/>
        <v>781088.5057016121</v>
      </c>
      <c r="W796" s="69">
        <f t="shared" si="75"/>
        <v>773549.96286335646</v>
      </c>
      <c r="X796" s="69">
        <f t="shared" si="72"/>
        <v>-7538.5428382556383</v>
      </c>
      <c r="Z796" s="68">
        <f t="shared" si="76"/>
        <v>1</v>
      </c>
      <c r="AA796" s="68">
        <f t="shared" si="77"/>
        <v>0</v>
      </c>
      <c r="AB796" s="68">
        <f t="shared" si="73"/>
        <v>0</v>
      </c>
    </row>
    <row r="797" spans="1:28" x14ac:dyDescent="0.25">
      <c r="A797">
        <v>792</v>
      </c>
      <c r="C797" s="24">
        <v>1.0821848330809239E-8</v>
      </c>
      <c r="D797" s="24">
        <v>6.7378833305763641E-4</v>
      </c>
      <c r="E797" s="24">
        <v>3.414963925337013E-59</v>
      </c>
      <c r="F797" s="24">
        <v>1.2494449919131512E-11</v>
      </c>
      <c r="G797" s="24">
        <v>0.47596004506574396</v>
      </c>
      <c r="H797" s="24">
        <v>0.26119375952831581</v>
      </c>
      <c r="I797" s="53">
        <v>1639.9174181918161</v>
      </c>
      <c r="J797" s="53">
        <v>5180.0134836416983</v>
      </c>
      <c r="K797" s="24">
        <v>0.79177263153055577</v>
      </c>
      <c r="L797" s="24">
        <v>0.92983825356981209</v>
      </c>
      <c r="M797" s="24">
        <v>0.90730806107267292</v>
      </c>
      <c r="O797" s="53">
        <v>4.5268559453571076</v>
      </c>
      <c r="P797" s="54">
        <v>12836.728112346998</v>
      </c>
      <c r="Q797" s="54">
        <v>4.6003441136804071</v>
      </c>
      <c r="R797" s="54">
        <v>36251.126044840261</v>
      </c>
      <c r="S797" s="54">
        <v>7.3488168323299519E-2</v>
      </c>
      <c r="T797" s="54">
        <v>23414.397932493262</v>
      </c>
      <c r="V797" s="69">
        <f t="shared" si="74"/>
        <v>892534.46095907455</v>
      </c>
      <c r="W797" s="69">
        <f t="shared" si="75"/>
        <v>883817.69669124112</v>
      </c>
      <c r="X797" s="69">
        <f t="shared" si="72"/>
        <v>-8716.7642678333596</v>
      </c>
      <c r="Z797" s="68">
        <f t="shared" si="76"/>
        <v>1</v>
      </c>
      <c r="AA797" s="68">
        <f t="shared" si="77"/>
        <v>0</v>
      </c>
      <c r="AB797" s="68">
        <f t="shared" si="73"/>
        <v>0</v>
      </c>
    </row>
    <row r="798" spans="1:28" x14ac:dyDescent="0.25">
      <c r="A798">
        <v>793</v>
      </c>
      <c r="C798" s="24">
        <v>2.9927926260861506E-6</v>
      </c>
      <c r="D798" s="24">
        <v>1.2284350436409428E-3</v>
      </c>
      <c r="E798" s="24">
        <v>3.0850914105262639E-5</v>
      </c>
      <c r="F798" s="24">
        <v>4.8152404576123473E-60</v>
      </c>
      <c r="G798" s="24">
        <v>0.70629530649960448</v>
      </c>
      <c r="H798" s="24">
        <v>0.28536821458169659</v>
      </c>
      <c r="I798" s="53">
        <v>2461.1524860955906</v>
      </c>
      <c r="J798" s="53">
        <v>6947.6897387540521</v>
      </c>
      <c r="K798" s="24">
        <v>0.53683525066373705</v>
      </c>
      <c r="L798" s="24">
        <v>0.98455720536004199</v>
      </c>
      <c r="M798" s="24">
        <v>0.84987900752095324</v>
      </c>
      <c r="O798" s="53">
        <v>4.0350378567015728</v>
      </c>
      <c r="P798" s="54">
        <v>20217.817611943392</v>
      </c>
      <c r="Q798" s="54">
        <v>4.743273860754198</v>
      </c>
      <c r="R798" s="54">
        <v>38831.846013278366</v>
      </c>
      <c r="S798" s="54">
        <v>0.70823600405262521</v>
      </c>
      <c r="T798" s="54">
        <v>18614.028401334974</v>
      </c>
      <c r="V798" s="69">
        <f t="shared" si="74"/>
        <v>786789.75372837123</v>
      </c>
      <c r="W798" s="69">
        <f t="shared" si="75"/>
        <v>909822.92613756121</v>
      </c>
      <c r="X798" s="69">
        <f t="shared" si="72"/>
        <v>123033.17240919007</v>
      </c>
      <c r="Z798" s="68">
        <f t="shared" si="76"/>
        <v>0</v>
      </c>
      <c r="AA798" s="68">
        <f t="shared" si="77"/>
        <v>1</v>
      </c>
      <c r="AB798" s="68">
        <f t="shared" si="73"/>
        <v>1</v>
      </c>
    </row>
    <row r="799" spans="1:28" x14ac:dyDescent="0.25">
      <c r="A799">
        <v>794</v>
      </c>
      <c r="C799" s="24">
        <v>5.8219863682511262E-7</v>
      </c>
      <c r="D799" s="24">
        <v>5.8165640681430604E-4</v>
      </c>
      <c r="E799" s="24">
        <v>1.7791376812247589E-32</v>
      </c>
      <c r="F799" s="24">
        <v>2.2043101866210954E-15</v>
      </c>
      <c r="G799" s="24">
        <v>0.74369226361296614</v>
      </c>
      <c r="H799" s="24">
        <v>0.31029096052829841</v>
      </c>
      <c r="I799" s="53">
        <v>2071.2674986843103</v>
      </c>
      <c r="J799" s="53">
        <v>3558.3120044015122</v>
      </c>
      <c r="K799" s="24">
        <v>0.82723021581160161</v>
      </c>
      <c r="L799" s="24">
        <v>0.92561539117744551</v>
      </c>
      <c r="M799" s="24">
        <v>0.96181574676061943</v>
      </c>
      <c r="O799" s="53">
        <v>4.4075489777691947</v>
      </c>
      <c r="P799" s="54">
        <v>21420.079167044787</v>
      </c>
      <c r="Q799" s="54">
        <v>4.5840810336322129</v>
      </c>
      <c r="R799" s="54">
        <v>43338.676179956907</v>
      </c>
      <c r="S799" s="54">
        <v>0.17653205586301812</v>
      </c>
      <c r="T799" s="54">
        <v>21918.59701291212</v>
      </c>
      <c r="V799" s="69">
        <f t="shared" si="74"/>
        <v>860089.71638679411</v>
      </c>
      <c r="W799" s="69">
        <f t="shared" si="75"/>
        <v>873477.53054648568</v>
      </c>
      <c r="X799" s="69">
        <f t="shared" si="72"/>
        <v>13387.814159691508</v>
      </c>
      <c r="Z799" s="68">
        <f t="shared" si="76"/>
        <v>0</v>
      </c>
      <c r="AA799" s="68">
        <f t="shared" si="77"/>
        <v>1</v>
      </c>
      <c r="AB799" s="68">
        <f t="shared" si="73"/>
        <v>1</v>
      </c>
    </row>
    <row r="800" spans="1:28" x14ac:dyDescent="0.25">
      <c r="A800">
        <v>795</v>
      </c>
      <c r="C800" s="24">
        <v>2.1361405893824958E-3</v>
      </c>
      <c r="D800" s="24">
        <v>1.5605938371553441E-3</v>
      </c>
      <c r="E800" s="24">
        <v>3.1844367299043077E-32</v>
      </c>
      <c r="F800" s="24">
        <v>4.6629367034256575E-15</v>
      </c>
      <c r="G800" s="24">
        <v>0.59876012129139622</v>
      </c>
      <c r="H800" s="24">
        <v>0.27358606927273998</v>
      </c>
      <c r="I800" s="53">
        <v>2223.5607817821701</v>
      </c>
      <c r="J800" s="53">
        <v>4907.7043886481697</v>
      </c>
      <c r="K800" s="24">
        <v>0.63375641904642199</v>
      </c>
      <c r="L800" s="24">
        <v>0.90278763745623891</v>
      </c>
      <c r="M800" s="24">
        <v>0.83306393339634344</v>
      </c>
      <c r="O800" s="53">
        <v>4.1420219758236021</v>
      </c>
      <c r="P800" s="54">
        <v>19295.04834985187</v>
      </c>
      <c r="Q800" s="54">
        <v>4.4120768249702493</v>
      </c>
      <c r="R800" s="54">
        <v>38492.533023131451</v>
      </c>
      <c r="S800" s="54">
        <v>0.27005484914664724</v>
      </c>
      <c r="T800" s="54">
        <v>19197.484673279581</v>
      </c>
      <c r="V800" s="69">
        <f t="shared" si="74"/>
        <v>809109.34681486851</v>
      </c>
      <c r="W800" s="69">
        <f t="shared" si="75"/>
        <v>843922.83197091846</v>
      </c>
      <c r="X800" s="69">
        <f t="shared" si="72"/>
        <v>34813.485156049865</v>
      </c>
      <c r="Z800" s="68">
        <f t="shared" si="76"/>
        <v>0</v>
      </c>
      <c r="AA800" s="68">
        <f t="shared" si="77"/>
        <v>1</v>
      </c>
      <c r="AB800" s="68">
        <f t="shared" si="73"/>
        <v>1</v>
      </c>
    </row>
    <row r="801" spans="1:28" x14ac:dyDescent="0.25">
      <c r="A801">
        <v>796</v>
      </c>
      <c r="C801" s="24">
        <v>1.2267243862620347E-2</v>
      </c>
      <c r="D801" s="24">
        <v>5.2530828869294633E-4</v>
      </c>
      <c r="E801" s="24">
        <v>2.7210199638694199E-3</v>
      </c>
      <c r="F801" s="24">
        <v>3.4601523104527132E-5</v>
      </c>
      <c r="G801" s="24">
        <v>0.52822669642361586</v>
      </c>
      <c r="H801" s="24">
        <v>0.2022825399052175</v>
      </c>
      <c r="I801" s="53">
        <v>1866.5965152136077</v>
      </c>
      <c r="J801" s="53">
        <v>4855.1126527663755</v>
      </c>
      <c r="K801" s="24">
        <v>0.60565930360763409</v>
      </c>
      <c r="L801" s="24">
        <v>0.97991953301402757</v>
      </c>
      <c r="M801" s="24">
        <v>0.80096415683927202</v>
      </c>
      <c r="O801" s="53">
        <v>4.4573239587971338</v>
      </c>
      <c r="P801" s="54">
        <v>13402.189703401014</v>
      </c>
      <c r="Q801" s="54">
        <v>4.8039650437210719</v>
      </c>
      <c r="R801" s="54">
        <v>28686.794323170005</v>
      </c>
      <c r="S801" s="54">
        <v>0.34664108492393808</v>
      </c>
      <c r="T801" s="54">
        <v>15284.60461976899</v>
      </c>
      <c r="V801" s="69">
        <f t="shared" si="74"/>
        <v>878062.60205602576</v>
      </c>
      <c r="W801" s="69">
        <f t="shared" si="75"/>
        <v>932106.21442104445</v>
      </c>
      <c r="X801" s="69">
        <f t="shared" si="72"/>
        <v>54043.612365018635</v>
      </c>
      <c r="Z801" s="68">
        <f t="shared" si="76"/>
        <v>0</v>
      </c>
      <c r="AA801" s="68">
        <f t="shared" si="77"/>
        <v>1</v>
      </c>
      <c r="AB801" s="68">
        <f t="shared" si="73"/>
        <v>1</v>
      </c>
    </row>
    <row r="802" spans="1:28" x14ac:dyDescent="0.25">
      <c r="A802">
        <v>797</v>
      </c>
      <c r="C802" s="24">
        <v>6.8977192816432886E-4</v>
      </c>
      <c r="D802" s="24">
        <v>6.441133316393955E-4</v>
      </c>
      <c r="E802" s="24">
        <v>4.9006630531422957E-8</v>
      </c>
      <c r="F802" s="24">
        <v>6.2699471829971211E-22</v>
      </c>
      <c r="G802" s="24">
        <v>0.56712281366922057</v>
      </c>
      <c r="H802" s="24">
        <v>0.23363148539584</v>
      </c>
      <c r="I802" s="53">
        <v>1796.5158643538896</v>
      </c>
      <c r="J802" s="53">
        <v>4680.5346648438117</v>
      </c>
      <c r="K802" s="24">
        <v>0.5633396527971386</v>
      </c>
      <c r="L802" s="24">
        <v>0.92372568906511421</v>
      </c>
      <c r="M802" s="24">
        <v>0.86772374129347585</v>
      </c>
      <c r="O802" s="53">
        <v>4.1738406252381273</v>
      </c>
      <c r="P802" s="54">
        <v>13799.373567144896</v>
      </c>
      <c r="Q802" s="54">
        <v>4.5086183333457841</v>
      </c>
      <c r="R802" s="54">
        <v>34789.639621892522</v>
      </c>
      <c r="S802" s="54">
        <v>0.33477770810765684</v>
      </c>
      <c r="T802" s="54">
        <v>20990.266054747626</v>
      </c>
      <c r="V802" s="69">
        <f t="shared" si="74"/>
        <v>820968.75148048066</v>
      </c>
      <c r="W802" s="69">
        <f t="shared" si="75"/>
        <v>866934.02704726439</v>
      </c>
      <c r="X802" s="69">
        <f t="shared" si="72"/>
        <v>45965.275566783734</v>
      </c>
      <c r="Z802" s="68">
        <f t="shared" si="76"/>
        <v>0</v>
      </c>
      <c r="AA802" s="68">
        <f t="shared" si="77"/>
        <v>1</v>
      </c>
      <c r="AB802" s="68">
        <f t="shared" si="73"/>
        <v>1</v>
      </c>
    </row>
    <row r="803" spans="1:28" x14ac:dyDescent="0.25">
      <c r="A803">
        <v>798</v>
      </c>
      <c r="C803" s="24">
        <v>1.633297809398646E-7</v>
      </c>
      <c r="D803" s="24">
        <v>5.2810101601806769E-3</v>
      </c>
      <c r="E803" s="24">
        <v>1.1485278457142168E-28</v>
      </c>
      <c r="F803" s="24">
        <v>4.8757205906024836E-7</v>
      </c>
      <c r="G803" s="24">
        <v>0.6790738896717784</v>
      </c>
      <c r="H803" s="24">
        <v>0.26299109242178353</v>
      </c>
      <c r="I803" s="53">
        <v>1880.037562502991</v>
      </c>
      <c r="J803" s="53">
        <v>5448.8370724344104</v>
      </c>
      <c r="K803" s="24">
        <v>0.81045726794153361</v>
      </c>
      <c r="L803" s="24">
        <v>0.79730448411600741</v>
      </c>
      <c r="M803" s="24">
        <v>0.87858089753782487</v>
      </c>
      <c r="O803" s="53">
        <v>4.0103346364881496</v>
      </c>
      <c r="P803" s="54">
        <v>20207.997202858449</v>
      </c>
      <c r="Q803" s="54">
        <v>3.9939118115915382</v>
      </c>
      <c r="R803" s="54">
        <v>35314.462636116208</v>
      </c>
      <c r="S803" s="54">
        <v>-1.6422824896611399E-2</v>
      </c>
      <c r="T803" s="54">
        <v>15106.465433257759</v>
      </c>
      <c r="V803" s="69">
        <f t="shared" si="74"/>
        <v>781858.93009477144</v>
      </c>
      <c r="W803" s="69">
        <f t="shared" si="75"/>
        <v>763467.89968219143</v>
      </c>
      <c r="X803" s="69">
        <f t="shared" si="72"/>
        <v>-18391.030412580039</v>
      </c>
      <c r="Z803" s="68">
        <f t="shared" si="76"/>
        <v>1</v>
      </c>
      <c r="AA803" s="68">
        <f t="shared" si="77"/>
        <v>0</v>
      </c>
      <c r="AB803" s="68">
        <f t="shared" si="73"/>
        <v>0</v>
      </c>
    </row>
    <row r="804" spans="1:28" x14ac:dyDescent="0.25">
      <c r="A804">
        <v>799</v>
      </c>
      <c r="C804" s="24">
        <v>1.6019807409827387E-6</v>
      </c>
      <c r="D804" s="24">
        <v>1.983137231609069E-6</v>
      </c>
      <c r="E804" s="24">
        <v>7.9872775060607637E-11</v>
      </c>
      <c r="F804" s="24">
        <v>9.6492246842188062E-34</v>
      </c>
      <c r="G804" s="24">
        <v>0.51081740682039634</v>
      </c>
      <c r="H804" s="24">
        <v>0.18931921244899452</v>
      </c>
      <c r="I804" s="53">
        <v>1456.4809048863133</v>
      </c>
      <c r="J804" s="53">
        <v>5747.9270372786486</v>
      </c>
      <c r="K804" s="24">
        <v>0.64040858555059132</v>
      </c>
      <c r="L804" s="24">
        <v>0.69362485231883342</v>
      </c>
      <c r="M804" s="24">
        <v>0.88734190763388243</v>
      </c>
      <c r="O804" s="53">
        <v>3.4144896736488959</v>
      </c>
      <c r="P804" s="54">
        <v>15278.276095964327</v>
      </c>
      <c r="Q804" s="54">
        <v>3.4557018871376166</v>
      </c>
      <c r="R804" s="54">
        <v>30267.914710022196</v>
      </c>
      <c r="S804" s="54">
        <v>4.1212213488720728E-2</v>
      </c>
      <c r="T804" s="54">
        <v>14989.638614057869</v>
      </c>
      <c r="V804" s="69">
        <f t="shared" si="74"/>
        <v>667619.65863381478</v>
      </c>
      <c r="W804" s="69">
        <f t="shared" si="75"/>
        <v>660872.46271750121</v>
      </c>
      <c r="X804" s="69">
        <f t="shared" si="72"/>
        <v>-6747.1959163137235</v>
      </c>
      <c r="Z804" s="68">
        <f t="shared" si="76"/>
        <v>1</v>
      </c>
      <c r="AA804" s="68">
        <f t="shared" si="77"/>
        <v>0</v>
      </c>
      <c r="AB804" s="68">
        <f t="shared" si="73"/>
        <v>0</v>
      </c>
    </row>
    <row r="805" spans="1:28" x14ac:dyDescent="0.25">
      <c r="A805">
        <v>800</v>
      </c>
      <c r="C805" s="24">
        <v>4.8944701407644459E-8</v>
      </c>
      <c r="D805" s="24">
        <v>9.8160589866294138E-5</v>
      </c>
      <c r="E805" s="24">
        <v>1.6957461879130165E-8</v>
      </c>
      <c r="F805" s="24">
        <v>1.7165447121508109E-40</v>
      </c>
      <c r="G805" s="24">
        <v>0.64985115758667722</v>
      </c>
      <c r="H805" s="24">
        <v>0.23572307865388886</v>
      </c>
      <c r="I805" s="53">
        <v>1848.1388540498635</v>
      </c>
      <c r="J805" s="53">
        <v>4887.0596402786095</v>
      </c>
      <c r="K805" s="24">
        <v>0.56739435642847613</v>
      </c>
      <c r="L805" s="24">
        <v>0.75910271287676157</v>
      </c>
      <c r="M805" s="24">
        <v>0.73101459190622087</v>
      </c>
      <c r="O805" s="53">
        <v>3.4809520013822439</v>
      </c>
      <c r="P805" s="54">
        <v>19364.202311786808</v>
      </c>
      <c r="Q805" s="54">
        <v>3.736411778798236</v>
      </c>
      <c r="R805" s="54">
        <v>28955.644564083646</v>
      </c>
      <c r="S805" s="54">
        <v>0.25545977741599213</v>
      </c>
      <c r="T805" s="54">
        <v>9591.442252296838</v>
      </c>
      <c r="V805" s="69">
        <f t="shared" si="74"/>
        <v>676826.19796466199</v>
      </c>
      <c r="W805" s="69">
        <f t="shared" si="75"/>
        <v>718326.71119556355</v>
      </c>
      <c r="X805" s="69">
        <f t="shared" si="72"/>
        <v>41500.51323090159</v>
      </c>
      <c r="Z805" s="68">
        <f t="shared" si="76"/>
        <v>0</v>
      </c>
      <c r="AA805" s="68">
        <f t="shared" si="77"/>
        <v>1</v>
      </c>
      <c r="AB805" s="68">
        <f t="shared" si="73"/>
        <v>1</v>
      </c>
    </row>
    <row r="806" spans="1:28" x14ac:dyDescent="0.25">
      <c r="A806">
        <v>801</v>
      </c>
      <c r="C806" s="24">
        <v>6.170085120200175E-2</v>
      </c>
      <c r="D806" s="24">
        <v>2.2486479465735343E-3</v>
      </c>
      <c r="E806" s="24">
        <v>1.4080210182504878E-13</v>
      </c>
      <c r="F806" s="24">
        <v>1.0899258644654597E-35</v>
      </c>
      <c r="G806" s="24">
        <v>0.52427176153660393</v>
      </c>
      <c r="H806" s="24">
        <v>0.31120952442022376</v>
      </c>
      <c r="I806" s="53">
        <v>1981.5641431827364</v>
      </c>
      <c r="J806" s="53">
        <v>5037.5004607460633</v>
      </c>
      <c r="K806" s="24">
        <v>0.59112487118644996</v>
      </c>
      <c r="L806" s="24">
        <v>0.66081339537228501</v>
      </c>
      <c r="M806" s="24">
        <v>0.78528205399350126</v>
      </c>
      <c r="O806" s="53">
        <v>3.2939398437980349</v>
      </c>
      <c r="P806" s="54">
        <v>16416.485909948045</v>
      </c>
      <c r="Q806" s="54">
        <v>3.2745208660733609</v>
      </c>
      <c r="R806" s="54">
        <v>50897.722105847897</v>
      </c>
      <c r="S806" s="54">
        <v>-1.9418977724674047E-2</v>
      </c>
      <c r="T806" s="54">
        <v>34481.236195899852</v>
      </c>
      <c r="V806" s="69">
        <f t="shared" si="74"/>
        <v>642371.48284965893</v>
      </c>
      <c r="W806" s="69">
        <f t="shared" si="75"/>
        <v>604006.45110882423</v>
      </c>
      <c r="X806" s="69">
        <f t="shared" si="72"/>
        <v>-38365.03174083466</v>
      </c>
      <c r="Z806" s="68">
        <f t="shared" si="76"/>
        <v>1</v>
      </c>
      <c r="AA806" s="68">
        <f t="shared" si="77"/>
        <v>0</v>
      </c>
      <c r="AB806" s="68">
        <f t="shared" si="73"/>
        <v>0</v>
      </c>
    </row>
    <row r="807" spans="1:28" x14ac:dyDescent="0.25">
      <c r="A807">
        <v>802</v>
      </c>
      <c r="C807" s="24">
        <v>1.3325323243547738E-2</v>
      </c>
      <c r="D807" s="24">
        <v>3.3694412140866329E-5</v>
      </c>
      <c r="E807" s="24">
        <v>8.5980302710009227E-5</v>
      </c>
      <c r="F807" s="24">
        <v>1.6567129438188029E-52</v>
      </c>
      <c r="G807" s="24">
        <v>0.56681896020556766</v>
      </c>
      <c r="H807" s="24">
        <v>0.22360284892289961</v>
      </c>
      <c r="I807" s="53">
        <v>1890.3259844495415</v>
      </c>
      <c r="J807" s="53">
        <v>4954.568565142099</v>
      </c>
      <c r="K807" s="24">
        <v>0.58492250060512163</v>
      </c>
      <c r="L807" s="24">
        <v>0.83738434449081511</v>
      </c>
      <c r="M807" s="24">
        <v>0.94252750573262545</v>
      </c>
      <c r="O807" s="53">
        <v>3.8874637255854734</v>
      </c>
      <c r="P807" s="54">
        <v>19857.596437437747</v>
      </c>
      <c r="Q807" s="54">
        <v>4.1142747026561244</v>
      </c>
      <c r="R807" s="54">
        <v>24633.644507127614</v>
      </c>
      <c r="S807" s="54">
        <v>0.22681097707065101</v>
      </c>
      <c r="T807" s="54">
        <v>4776.0480696898667</v>
      </c>
      <c r="V807" s="69">
        <f t="shared" si="74"/>
        <v>757635.14867965702</v>
      </c>
      <c r="W807" s="69">
        <f t="shared" si="75"/>
        <v>798221.29602409725</v>
      </c>
      <c r="X807" s="69">
        <f t="shared" si="72"/>
        <v>40586.147344440338</v>
      </c>
      <c r="Z807" s="68">
        <f t="shared" si="76"/>
        <v>0</v>
      </c>
      <c r="AA807" s="68">
        <f t="shared" si="77"/>
        <v>1</v>
      </c>
      <c r="AB807" s="68">
        <f t="shared" si="73"/>
        <v>1</v>
      </c>
    </row>
    <row r="808" spans="1:28" x14ac:dyDescent="0.25">
      <c r="A808">
        <v>803</v>
      </c>
      <c r="C808" s="24">
        <v>2.3704945559044344E-4</v>
      </c>
      <c r="D808" s="24">
        <v>8.3282246353696144E-5</v>
      </c>
      <c r="E808" s="24">
        <v>5.0533567198328687E-46</v>
      </c>
      <c r="F808" s="24">
        <v>3.2336500588314721E-8</v>
      </c>
      <c r="G808" s="24">
        <v>0.62596058824841294</v>
      </c>
      <c r="H808" s="24">
        <v>0.32286180735365211</v>
      </c>
      <c r="I808" s="53">
        <v>2284.5624680842052</v>
      </c>
      <c r="J808" s="53">
        <v>4628.508362536737</v>
      </c>
      <c r="K808" s="24">
        <v>0.8314497703913204</v>
      </c>
      <c r="L808" s="24">
        <v>0.98767919016326711</v>
      </c>
      <c r="M808" s="24">
        <v>0.74257362335537369</v>
      </c>
      <c r="O808" s="53">
        <v>4.7015281891212855</v>
      </c>
      <c r="P808" s="54">
        <v>19021.29219931359</v>
      </c>
      <c r="Q808" s="54">
        <v>4.8640299369390947</v>
      </c>
      <c r="R808" s="54">
        <v>40752.050710157448</v>
      </c>
      <c r="S808" s="54">
        <v>0.16250174781780924</v>
      </c>
      <c r="T808" s="54">
        <v>21730.758510843858</v>
      </c>
      <c r="V808" s="69">
        <f t="shared" si="74"/>
        <v>921284.3456249435</v>
      </c>
      <c r="W808" s="69">
        <f t="shared" si="75"/>
        <v>932053.93667766149</v>
      </c>
      <c r="X808" s="69">
        <f t="shared" si="72"/>
        <v>10769.591052717991</v>
      </c>
      <c r="Z808" s="68">
        <f t="shared" si="76"/>
        <v>0</v>
      </c>
      <c r="AA808" s="68">
        <f t="shared" si="77"/>
        <v>1</v>
      </c>
      <c r="AB808" s="68">
        <f t="shared" si="73"/>
        <v>1</v>
      </c>
    </row>
    <row r="809" spans="1:28" x14ac:dyDescent="0.25">
      <c r="A809">
        <v>804</v>
      </c>
      <c r="C809" s="24">
        <v>1.4664700143646206E-9</v>
      </c>
      <c r="D809" s="24">
        <v>8.0062361046447927E-3</v>
      </c>
      <c r="E809" s="24">
        <v>2.1946475876055693E-5</v>
      </c>
      <c r="F809" s="24">
        <v>3.905807185011767E-6</v>
      </c>
      <c r="G809" s="24">
        <v>0.53915946652609859</v>
      </c>
      <c r="H809" s="24">
        <v>0.26506176219647615</v>
      </c>
      <c r="I809" s="53">
        <v>1932.0669693614136</v>
      </c>
      <c r="J809" s="53">
        <v>5285.272072166008</v>
      </c>
      <c r="K809" s="24">
        <v>0.5669911706580919</v>
      </c>
      <c r="L809" s="24">
        <v>0.9526454317449321</v>
      </c>
      <c r="M809" s="24">
        <v>0.82874310135495688</v>
      </c>
      <c r="O809" s="53">
        <v>4.3324121228137669</v>
      </c>
      <c r="P809" s="54">
        <v>13773.789924858098</v>
      </c>
      <c r="Q809" s="54">
        <v>4.6180335014073393</v>
      </c>
      <c r="R809" s="54">
        <v>45526.277420999068</v>
      </c>
      <c r="S809" s="54">
        <v>0.28562137859357239</v>
      </c>
      <c r="T809" s="54">
        <v>31752.48749614097</v>
      </c>
      <c r="V809" s="69">
        <f t="shared" si="74"/>
        <v>852708.63463789527</v>
      </c>
      <c r="W809" s="69">
        <f t="shared" si="75"/>
        <v>878080.42286046885</v>
      </c>
      <c r="X809" s="69">
        <f t="shared" si="72"/>
        <v>25371.788222573512</v>
      </c>
      <c r="Z809" s="68">
        <f t="shared" si="76"/>
        <v>0</v>
      </c>
      <c r="AA809" s="68">
        <f t="shared" si="77"/>
        <v>1</v>
      </c>
      <c r="AB809" s="68">
        <f t="shared" si="73"/>
        <v>1</v>
      </c>
    </row>
    <row r="810" spans="1:28" x14ac:dyDescent="0.25">
      <c r="A810">
        <v>805</v>
      </c>
      <c r="C810" s="24">
        <v>1.1023267768539569E-4</v>
      </c>
      <c r="D810" s="24">
        <v>1.0925421490360354E-2</v>
      </c>
      <c r="E810" s="24">
        <v>1.3985055739242031E-96</v>
      </c>
      <c r="F810" s="24">
        <v>2.8265390028536785E-11</v>
      </c>
      <c r="G810" s="24">
        <v>0.53872582561229609</v>
      </c>
      <c r="H810" s="24">
        <v>0.23440789058653133</v>
      </c>
      <c r="I810" s="53">
        <v>1854.9210432500383</v>
      </c>
      <c r="J810" s="53">
        <v>5694.9863152397147</v>
      </c>
      <c r="K810" s="24">
        <v>0.65966840461835807</v>
      </c>
      <c r="L810" s="24">
        <v>0.95080991612452892</v>
      </c>
      <c r="M810" s="24">
        <v>0.81668604882501283</v>
      </c>
      <c r="O810" s="53">
        <v>4.4293280344574306</v>
      </c>
      <c r="P810" s="54">
        <v>17472.817394585356</v>
      </c>
      <c r="Q810" s="54">
        <v>4.6559868883131568</v>
      </c>
      <c r="R810" s="54">
        <v>38663.222030384495</v>
      </c>
      <c r="S810" s="54">
        <v>0.22665885385572615</v>
      </c>
      <c r="T810" s="54">
        <v>21190.404635799139</v>
      </c>
      <c r="V810" s="69">
        <f t="shared" si="74"/>
        <v>868392.78949690075</v>
      </c>
      <c r="W810" s="69">
        <f t="shared" si="75"/>
        <v>892534.15563224687</v>
      </c>
      <c r="X810" s="69">
        <f t="shared" si="72"/>
        <v>24141.366135346092</v>
      </c>
      <c r="Z810" s="68">
        <f t="shared" si="76"/>
        <v>0</v>
      </c>
      <c r="AA810" s="68">
        <f t="shared" si="77"/>
        <v>1</v>
      </c>
      <c r="AB810" s="68">
        <f t="shared" si="73"/>
        <v>1</v>
      </c>
    </row>
    <row r="811" spans="1:28" x14ac:dyDescent="0.25">
      <c r="A811">
        <v>806</v>
      </c>
      <c r="C811" s="24">
        <v>5.6151194080484745E-2</v>
      </c>
      <c r="D811" s="24">
        <v>2.0906141385540315E-4</v>
      </c>
      <c r="E811" s="24">
        <v>6.0205798900660071E-16</v>
      </c>
      <c r="F811" s="24">
        <v>6.9053085816080583E-33</v>
      </c>
      <c r="G811" s="24">
        <v>0.4196209765515948</v>
      </c>
      <c r="H811" s="24">
        <v>0.31619339295778648</v>
      </c>
      <c r="I811" s="53">
        <v>1979.9374456381813</v>
      </c>
      <c r="J811" s="53">
        <v>4707.6933394937787</v>
      </c>
      <c r="K811" s="24">
        <v>0.59250473584026364</v>
      </c>
      <c r="L811" s="24">
        <v>0.90314651267824619</v>
      </c>
      <c r="M811" s="24">
        <v>0.93099874239356273</v>
      </c>
      <c r="O811" s="53">
        <v>4.3056073807333437</v>
      </c>
      <c r="P811" s="54">
        <v>13932.729873210536</v>
      </c>
      <c r="Q811" s="54">
        <v>4.3725838909287011</v>
      </c>
      <c r="R811" s="54">
        <v>55326.113175833394</v>
      </c>
      <c r="S811" s="54">
        <v>6.6976510195357442E-2</v>
      </c>
      <c r="T811" s="54">
        <v>41393.38330262286</v>
      </c>
      <c r="V811" s="69">
        <f t="shared" si="74"/>
        <v>847188.74627345824</v>
      </c>
      <c r="W811" s="69">
        <f t="shared" si="75"/>
        <v>819190.66500990686</v>
      </c>
      <c r="X811" s="69">
        <f t="shared" si="72"/>
        <v>-27998.081263551372</v>
      </c>
      <c r="Z811" s="68">
        <f t="shared" si="76"/>
        <v>1</v>
      </c>
      <c r="AA811" s="68">
        <f t="shared" si="77"/>
        <v>0</v>
      </c>
      <c r="AB811" s="68">
        <f t="shared" si="73"/>
        <v>0</v>
      </c>
    </row>
    <row r="812" spans="1:28" x14ac:dyDescent="0.25">
      <c r="A812">
        <v>807</v>
      </c>
      <c r="C812" s="24">
        <v>8.8313246296289893E-4</v>
      </c>
      <c r="D812" s="24">
        <v>5.543907385249725E-4</v>
      </c>
      <c r="E812" s="24">
        <v>3.1476273165643658E-31</v>
      </c>
      <c r="F812" s="24">
        <v>3.2590878342795826E-27</v>
      </c>
      <c r="G812" s="24">
        <v>0.51057635625380382</v>
      </c>
      <c r="H812" s="24">
        <v>0.27702230807577211</v>
      </c>
      <c r="I812" s="53">
        <v>1817.2117848949479</v>
      </c>
      <c r="J812" s="53">
        <v>4359.153331036282</v>
      </c>
      <c r="K812" s="24">
        <v>0.71058484351542395</v>
      </c>
      <c r="L812" s="24">
        <v>0.87129281052540541</v>
      </c>
      <c r="M812" s="24">
        <v>0.73570337452117096</v>
      </c>
      <c r="O812" s="53">
        <v>4.1936506507100741</v>
      </c>
      <c r="P812" s="54">
        <v>13478.43860582717</v>
      </c>
      <c r="Q812" s="54">
        <v>4.2945061902554444</v>
      </c>
      <c r="R812" s="54">
        <v>54763.292103061671</v>
      </c>
      <c r="S812" s="54">
        <v>0.1008555395453703</v>
      </c>
      <c r="T812" s="54">
        <v>41284.853497234501</v>
      </c>
      <c r="V812" s="69">
        <f t="shared" si="74"/>
        <v>825251.69153618766</v>
      </c>
      <c r="W812" s="69">
        <f t="shared" si="75"/>
        <v>804137.94594802719</v>
      </c>
      <c r="X812" s="69">
        <f t="shared" si="72"/>
        <v>-21113.74558816044</v>
      </c>
      <c r="Z812" s="68">
        <f t="shared" si="76"/>
        <v>1</v>
      </c>
      <c r="AA812" s="68">
        <f t="shared" si="77"/>
        <v>0</v>
      </c>
      <c r="AB812" s="68">
        <f t="shared" si="73"/>
        <v>0</v>
      </c>
    </row>
    <row r="813" spans="1:28" x14ac:dyDescent="0.25">
      <c r="A813">
        <v>808</v>
      </c>
      <c r="C813" s="24">
        <v>2.057941266760821E-2</v>
      </c>
      <c r="D813" s="24">
        <v>1.3522300072361855E-5</v>
      </c>
      <c r="E813" s="24">
        <v>7.1313155380892113E-10</v>
      </c>
      <c r="F813" s="24">
        <v>6.5048461604464377E-27</v>
      </c>
      <c r="G813" s="24">
        <v>0.55721768957487228</v>
      </c>
      <c r="H813" s="24">
        <v>0.21947170284746709</v>
      </c>
      <c r="I813" s="53">
        <v>2031.092165774078</v>
      </c>
      <c r="J813" s="53">
        <v>4256.8170792312258</v>
      </c>
      <c r="K813" s="24">
        <v>0.69826484197494065</v>
      </c>
      <c r="L813" s="24">
        <v>0.86826570962356364</v>
      </c>
      <c r="M813" s="24">
        <v>0.72514296188175187</v>
      </c>
      <c r="O813" s="53">
        <v>4.1135455400900538</v>
      </c>
      <c r="P813" s="54">
        <v>15820.265439069703</v>
      </c>
      <c r="Q813" s="54">
        <v>4.2935397437339411</v>
      </c>
      <c r="R813" s="54">
        <v>31771.186985663262</v>
      </c>
      <c r="S813" s="54">
        <v>0.1799942036438873</v>
      </c>
      <c r="T813" s="54">
        <v>15950.921546593559</v>
      </c>
      <c r="V813" s="69">
        <f t="shared" si="74"/>
        <v>806888.84257894102</v>
      </c>
      <c r="W813" s="69">
        <f t="shared" si="75"/>
        <v>826936.76176112494</v>
      </c>
      <c r="X813" s="69">
        <f t="shared" si="72"/>
        <v>20047.919182183901</v>
      </c>
      <c r="Z813" s="68">
        <f t="shared" si="76"/>
        <v>0</v>
      </c>
      <c r="AA813" s="68">
        <f t="shared" si="77"/>
        <v>1</v>
      </c>
      <c r="AB813" s="68">
        <f t="shared" si="73"/>
        <v>1</v>
      </c>
    </row>
    <row r="814" spans="1:28" x14ac:dyDescent="0.25">
      <c r="A814">
        <v>809</v>
      </c>
      <c r="C814" s="24">
        <v>4.1332247085103E-6</v>
      </c>
      <c r="D814" s="24">
        <v>3.4057477869823535E-4</v>
      </c>
      <c r="E814" s="24">
        <v>1.0485540213878153E-9</v>
      </c>
      <c r="F814" s="24">
        <v>2.7939786595432281E-8</v>
      </c>
      <c r="G814" s="24">
        <v>0.61652568233519522</v>
      </c>
      <c r="H814" s="24">
        <v>0.32720763434164446</v>
      </c>
      <c r="I814" s="53">
        <v>2338.8377409039313</v>
      </c>
      <c r="J814" s="53">
        <v>4616.3407675574708</v>
      </c>
      <c r="K814" s="24">
        <v>0.78598608129919156</v>
      </c>
      <c r="L814" s="24">
        <v>0.8720079444007377</v>
      </c>
      <c r="M814" s="24">
        <v>0.80841225130444538</v>
      </c>
      <c r="O814" s="53">
        <v>4.2340559129034556</v>
      </c>
      <c r="P814" s="54">
        <v>21650.539297333544</v>
      </c>
      <c r="Q814" s="54">
        <v>4.3182150063383959</v>
      </c>
      <c r="R814" s="54">
        <v>48389.83886829736</v>
      </c>
      <c r="S814" s="54">
        <v>8.4159093434940324E-2</v>
      </c>
      <c r="T814" s="54">
        <v>26739.299570963816</v>
      </c>
      <c r="V814" s="69">
        <f t="shared" si="74"/>
        <v>825160.64328335761</v>
      </c>
      <c r="W814" s="69">
        <f t="shared" si="75"/>
        <v>815253.16239938175</v>
      </c>
      <c r="X814" s="69">
        <f t="shared" si="72"/>
        <v>-9907.4808839757497</v>
      </c>
      <c r="Z814" s="68">
        <f t="shared" si="76"/>
        <v>1</v>
      </c>
      <c r="AA814" s="68">
        <f t="shared" si="77"/>
        <v>0</v>
      </c>
      <c r="AB814" s="68">
        <f t="shared" si="73"/>
        <v>0</v>
      </c>
    </row>
    <row r="815" spans="1:28" x14ac:dyDescent="0.25">
      <c r="A815">
        <v>810</v>
      </c>
      <c r="C815" s="24">
        <v>2.0948918733005393E-6</v>
      </c>
      <c r="D815" s="24">
        <v>2.8680308195634598E-4</v>
      </c>
      <c r="E815" s="24">
        <v>9.9236174833094992E-12</v>
      </c>
      <c r="F815" s="24">
        <v>1.2920509218083964E-8</v>
      </c>
      <c r="G815" s="24">
        <v>0.57800299552700318</v>
      </c>
      <c r="H815" s="24">
        <v>0.22716017198941008</v>
      </c>
      <c r="I815" s="53">
        <v>1758.5440556850315</v>
      </c>
      <c r="J815" s="53">
        <v>5558.1919055534308</v>
      </c>
      <c r="K815" s="24">
        <v>0.48620751467381035</v>
      </c>
      <c r="L815" s="24">
        <v>0.88759560511991631</v>
      </c>
      <c r="M815" s="24">
        <v>0.93537245050004225</v>
      </c>
      <c r="O815" s="53">
        <v>3.9236715479841151</v>
      </c>
      <c r="P815" s="54">
        <v>17383.765584787194</v>
      </c>
      <c r="Q815" s="54">
        <v>4.3201530905934575</v>
      </c>
      <c r="R815" s="54">
        <v>33601.305743486679</v>
      </c>
      <c r="S815" s="54">
        <v>0.39648154260934243</v>
      </c>
      <c r="T815" s="54">
        <v>16217.540158699485</v>
      </c>
      <c r="V815" s="69">
        <f t="shared" si="74"/>
        <v>767350.54401203583</v>
      </c>
      <c r="W815" s="69">
        <f t="shared" si="75"/>
        <v>830429.31237520487</v>
      </c>
      <c r="X815" s="69">
        <f t="shared" si="72"/>
        <v>63078.768363169002</v>
      </c>
      <c r="Z815" s="68">
        <f t="shared" si="76"/>
        <v>0</v>
      </c>
      <c r="AA815" s="68">
        <f t="shared" si="77"/>
        <v>1</v>
      </c>
      <c r="AB815" s="68">
        <f t="shared" si="73"/>
        <v>1</v>
      </c>
    </row>
    <row r="816" spans="1:28" x14ac:dyDescent="0.25">
      <c r="A816">
        <v>811</v>
      </c>
      <c r="C816" s="24">
        <v>5.1579516576894343E-7</v>
      </c>
      <c r="D816" s="24">
        <v>2.5301840654599975E-5</v>
      </c>
      <c r="E816" s="24">
        <v>8.9333873631858296E-10</v>
      </c>
      <c r="F816" s="24">
        <v>1.9440222289646147E-4</v>
      </c>
      <c r="G816" s="24">
        <v>0.58558116383711445</v>
      </c>
      <c r="H816" s="24">
        <v>0.25067487481937623</v>
      </c>
      <c r="I816" s="53">
        <v>1807.6378127403459</v>
      </c>
      <c r="J816" s="53">
        <v>4851.1912898961518</v>
      </c>
      <c r="K816" s="24">
        <v>0.6755398244766444</v>
      </c>
      <c r="L816" s="24">
        <v>0.92376341243564042</v>
      </c>
      <c r="M816" s="24">
        <v>0.97027747133787456</v>
      </c>
      <c r="O816" s="53">
        <v>4.2922234384002209</v>
      </c>
      <c r="P816" s="54">
        <v>16060.153542557979</v>
      </c>
      <c r="Q816" s="54">
        <v>4.534749111595648</v>
      </c>
      <c r="R816" s="54">
        <v>34821.51378274848</v>
      </c>
      <c r="S816" s="54">
        <v>0.24252567319542706</v>
      </c>
      <c r="T816" s="54">
        <v>18761.360240190501</v>
      </c>
      <c r="V816" s="69">
        <f t="shared" si="74"/>
        <v>842384.53413748625</v>
      </c>
      <c r="W816" s="69">
        <f t="shared" si="75"/>
        <v>872128.30853638111</v>
      </c>
      <c r="X816" s="69">
        <f t="shared" si="72"/>
        <v>29743.774398894908</v>
      </c>
      <c r="Z816" s="68">
        <f t="shared" si="76"/>
        <v>0</v>
      </c>
      <c r="AA816" s="68">
        <f t="shared" si="77"/>
        <v>1</v>
      </c>
      <c r="AB816" s="68">
        <f t="shared" si="73"/>
        <v>1</v>
      </c>
    </row>
    <row r="817" spans="1:28" x14ac:dyDescent="0.25">
      <c r="A817">
        <v>812</v>
      </c>
      <c r="C817" s="24">
        <v>3.3870157162730972E-10</v>
      </c>
      <c r="D817" s="24">
        <v>6.9328527548792162E-4</v>
      </c>
      <c r="E817" s="24">
        <v>6.8963367684138355E-5</v>
      </c>
      <c r="F817" s="24">
        <v>3.1086244689504383E-15</v>
      </c>
      <c r="G817" s="24">
        <v>0.54175005712679303</v>
      </c>
      <c r="H817" s="24">
        <v>0.2665482417008751</v>
      </c>
      <c r="I817" s="53">
        <v>1649.5940712474346</v>
      </c>
      <c r="J817" s="53">
        <v>5183.1314256834848</v>
      </c>
      <c r="K817" s="24">
        <v>0.5141797735953092</v>
      </c>
      <c r="L817" s="24">
        <v>0.94239950995536226</v>
      </c>
      <c r="M817" s="24">
        <v>0.73079271042897054</v>
      </c>
      <c r="O817" s="53">
        <v>4.2288246311649464</v>
      </c>
      <c r="P817" s="54">
        <v>15150.010464340165</v>
      </c>
      <c r="Q817" s="54">
        <v>4.5556574528753142</v>
      </c>
      <c r="R817" s="54">
        <v>39325.908097509244</v>
      </c>
      <c r="S817" s="54">
        <v>0.32683282171036776</v>
      </c>
      <c r="T817" s="54">
        <v>24175.897633169079</v>
      </c>
      <c r="V817" s="69">
        <f t="shared" si="74"/>
        <v>830614.91576864908</v>
      </c>
      <c r="W817" s="69">
        <f t="shared" si="75"/>
        <v>871805.58247755351</v>
      </c>
      <c r="X817" s="69">
        <f t="shared" si="72"/>
        <v>41190.666708904471</v>
      </c>
      <c r="Z817" s="68">
        <f t="shared" si="76"/>
        <v>0</v>
      </c>
      <c r="AA817" s="68">
        <f t="shared" si="77"/>
        <v>1</v>
      </c>
      <c r="AB817" s="68">
        <f t="shared" si="73"/>
        <v>1</v>
      </c>
    </row>
    <row r="818" spans="1:28" x14ac:dyDescent="0.25">
      <c r="A818">
        <v>813</v>
      </c>
      <c r="C818" s="24">
        <v>3.4642380566306666E-10</v>
      </c>
      <c r="D818" s="24">
        <v>3.0695699217166972E-3</v>
      </c>
      <c r="E818" s="24">
        <v>1.9700576721974982E-30</v>
      </c>
      <c r="F818" s="24">
        <v>5.2675641626365177E-12</v>
      </c>
      <c r="G818" s="24">
        <v>0.71515041085398723</v>
      </c>
      <c r="H818" s="24">
        <v>0.20907220329647935</v>
      </c>
      <c r="I818" s="53">
        <v>2460.88758963802</v>
      </c>
      <c r="J818" s="53">
        <v>5076.5127473937546</v>
      </c>
      <c r="K818" s="24">
        <v>0.60323863903560593</v>
      </c>
      <c r="L818" s="24">
        <v>0.45153870176372141</v>
      </c>
      <c r="M818" s="24">
        <v>0.99062745655025508</v>
      </c>
      <c r="O818" s="53">
        <v>2.5673101565077832</v>
      </c>
      <c r="P818" s="54">
        <v>26062.736616744845</v>
      </c>
      <c r="Q818" s="54">
        <v>2.3076856571856514</v>
      </c>
      <c r="R818" s="54">
        <v>34221.503925052617</v>
      </c>
      <c r="S818" s="54">
        <v>-0.25962449932213172</v>
      </c>
      <c r="T818" s="54">
        <v>8158.7673083077716</v>
      </c>
      <c r="V818" s="69">
        <f t="shared" si="74"/>
        <v>487399.29468481179</v>
      </c>
      <c r="W818" s="69">
        <f t="shared" si="75"/>
        <v>427315.62751207768</v>
      </c>
      <c r="X818" s="69">
        <f t="shared" si="72"/>
        <v>-60083.667172734116</v>
      </c>
      <c r="Z818" s="68">
        <f t="shared" si="76"/>
        <v>1</v>
      </c>
      <c r="AA818" s="68">
        <f t="shared" si="77"/>
        <v>0</v>
      </c>
      <c r="AB818" s="68">
        <f t="shared" si="73"/>
        <v>0</v>
      </c>
    </row>
    <row r="819" spans="1:28" x14ac:dyDescent="0.25">
      <c r="A819">
        <v>814</v>
      </c>
      <c r="C819" s="24">
        <v>7.0930435315025519E-18</v>
      </c>
      <c r="D819" s="24">
        <v>5.0591980073471099E-3</v>
      </c>
      <c r="E819" s="24">
        <v>6.6247457787518206E-26</v>
      </c>
      <c r="F819" s="24">
        <v>1.0830698536613511E-24</v>
      </c>
      <c r="G819" s="24">
        <v>0.58298264924617527</v>
      </c>
      <c r="H819" s="24">
        <v>0.25770011710314655</v>
      </c>
      <c r="I819" s="53">
        <v>1875.1212180551968</v>
      </c>
      <c r="J819" s="53">
        <v>5591.7320851066734</v>
      </c>
      <c r="K819" s="24">
        <v>0.64920214525976272</v>
      </c>
      <c r="L819" s="24">
        <v>0.9820494842082661</v>
      </c>
      <c r="M819" s="24">
        <v>0.90325058638119948</v>
      </c>
      <c r="O819" s="53">
        <v>4.4762675551678424</v>
      </c>
      <c r="P819" s="54">
        <v>14323.365817127617</v>
      </c>
      <c r="Q819" s="54">
        <v>4.7923269289466761</v>
      </c>
      <c r="R819" s="54">
        <v>39328.176236354004</v>
      </c>
      <c r="S819" s="54">
        <v>0.31605937377883375</v>
      </c>
      <c r="T819" s="54">
        <v>25004.810419226385</v>
      </c>
      <c r="V819" s="69">
        <f t="shared" si="74"/>
        <v>880930.14521644078</v>
      </c>
      <c r="W819" s="69">
        <f t="shared" si="75"/>
        <v>919137.20955298119</v>
      </c>
      <c r="X819" s="69">
        <f t="shared" si="72"/>
        <v>38207.064336540367</v>
      </c>
      <c r="Z819" s="68">
        <f t="shared" si="76"/>
        <v>0</v>
      </c>
      <c r="AA819" s="68">
        <f t="shared" si="77"/>
        <v>1</v>
      </c>
      <c r="AB819" s="68">
        <f t="shared" si="73"/>
        <v>1</v>
      </c>
    </row>
    <row r="820" spans="1:28" x14ac:dyDescent="0.25">
      <c r="A820">
        <v>815</v>
      </c>
      <c r="C820" s="24">
        <v>2.4809147381751338E-8</v>
      </c>
      <c r="D820" s="24">
        <v>3.8846746360885815E-4</v>
      </c>
      <c r="E820" s="24">
        <v>3.9120211303038666E-3</v>
      </c>
      <c r="F820" s="24">
        <v>4.7528175189117478E-17</v>
      </c>
      <c r="G820" s="24">
        <v>0.55245404665304765</v>
      </c>
      <c r="H820" s="24">
        <v>0.29555592522195162</v>
      </c>
      <c r="I820" s="53">
        <v>2126.5260472610717</v>
      </c>
      <c r="J820" s="53">
        <v>4471.6051096982064</v>
      </c>
      <c r="K820" s="24">
        <v>0.81672827662657388</v>
      </c>
      <c r="L820" s="24">
        <v>0.87019686340828772</v>
      </c>
      <c r="M820" s="24">
        <v>0.9214038490682418</v>
      </c>
      <c r="O820" s="53">
        <v>4.2592529354960202</v>
      </c>
      <c r="P820" s="54">
        <v>15154.598484392392</v>
      </c>
      <c r="Q820" s="54">
        <v>4.3287310478475662</v>
      </c>
      <c r="R820" s="54">
        <v>42446.684758888827</v>
      </c>
      <c r="S820" s="54">
        <v>6.9478112351545995E-2</v>
      </c>
      <c r="T820" s="54">
        <v>27292.086274496432</v>
      </c>
      <c r="V820" s="69">
        <f t="shared" si="74"/>
        <v>836695.98861481168</v>
      </c>
      <c r="W820" s="69">
        <f t="shared" si="75"/>
        <v>823299.52481062443</v>
      </c>
      <c r="X820" s="69">
        <f t="shared" si="72"/>
        <v>-13396.463804187233</v>
      </c>
      <c r="Z820" s="68">
        <f t="shared" si="76"/>
        <v>1</v>
      </c>
      <c r="AA820" s="68">
        <f t="shared" si="77"/>
        <v>0</v>
      </c>
      <c r="AB820" s="68">
        <f t="shared" si="73"/>
        <v>0</v>
      </c>
    </row>
    <row r="821" spans="1:28" x14ac:dyDescent="0.25">
      <c r="A821">
        <v>816</v>
      </c>
      <c r="C821" s="24">
        <v>4.3997399095557777E-3</v>
      </c>
      <c r="D821" s="24">
        <v>2.5770331665607774E-5</v>
      </c>
      <c r="E821" s="24">
        <v>2.3356366251601022E-23</v>
      </c>
      <c r="F821" s="24">
        <v>7.4794136543269926E-30</v>
      </c>
      <c r="G821" s="24">
        <v>0.58603164780083161</v>
      </c>
      <c r="H821" s="24">
        <v>0.29639880054118628</v>
      </c>
      <c r="I821" s="53">
        <v>1939.2691936371473</v>
      </c>
      <c r="J821" s="53">
        <v>4350.4436962339769</v>
      </c>
      <c r="K821" s="24">
        <v>0.742744686693388</v>
      </c>
      <c r="L821" s="24">
        <v>0.97009599428270976</v>
      </c>
      <c r="M821" s="24">
        <v>0.81786357867579784</v>
      </c>
      <c r="O821" s="53">
        <v>4.5449201428227246</v>
      </c>
      <c r="P821" s="54">
        <v>17508.207237915278</v>
      </c>
      <c r="Q821" s="54">
        <v>4.7548995957652798</v>
      </c>
      <c r="R821" s="54">
        <v>46573.503544856831</v>
      </c>
      <c r="S821" s="54">
        <v>0.20997945294255516</v>
      </c>
      <c r="T821" s="54">
        <v>29065.296306941553</v>
      </c>
      <c r="V821" s="69">
        <f t="shared" si="74"/>
        <v>891475.82132662972</v>
      </c>
      <c r="W821" s="69">
        <f t="shared" si="75"/>
        <v>904406.4156081992</v>
      </c>
      <c r="X821" s="69">
        <f t="shared" si="72"/>
        <v>12930.594281569476</v>
      </c>
      <c r="Z821" s="68">
        <f t="shared" si="76"/>
        <v>0</v>
      </c>
      <c r="AA821" s="68">
        <f t="shared" si="77"/>
        <v>1</v>
      </c>
      <c r="AB821" s="68">
        <f t="shared" si="73"/>
        <v>1</v>
      </c>
    </row>
    <row r="822" spans="1:28" x14ac:dyDescent="0.25">
      <c r="A822">
        <v>817</v>
      </c>
      <c r="C822" s="24">
        <v>3.3420969823949598E-4</v>
      </c>
      <c r="D822" s="24">
        <v>1.549278358862094E-3</v>
      </c>
      <c r="E822" s="24">
        <v>6.0958994119658308E-34</v>
      </c>
      <c r="F822" s="24">
        <v>5.3417518532827835E-5</v>
      </c>
      <c r="G822" s="24">
        <v>0.64040935394814502</v>
      </c>
      <c r="H822" s="24">
        <v>0.18880404131096784</v>
      </c>
      <c r="I822" s="53">
        <v>2235.9750549580704</v>
      </c>
      <c r="J822" s="53">
        <v>5333.5258773012429</v>
      </c>
      <c r="K822" s="24">
        <v>0.74624411726233397</v>
      </c>
      <c r="L822" s="24">
        <v>0.96398797767300426</v>
      </c>
      <c r="M822" s="24">
        <v>0.93935273609223557</v>
      </c>
      <c r="O822" s="53">
        <v>4.4738448799782962</v>
      </c>
      <c r="P822" s="54">
        <v>21217.637585243749</v>
      </c>
      <c r="Q822" s="54">
        <v>4.7687457257094632</v>
      </c>
      <c r="R822" s="54">
        <v>29042.423428469447</v>
      </c>
      <c r="S822" s="54">
        <v>0.29490084573116704</v>
      </c>
      <c r="T822" s="54">
        <v>7824.785843225698</v>
      </c>
      <c r="V822" s="69">
        <f t="shared" si="74"/>
        <v>873551.33841041545</v>
      </c>
      <c r="W822" s="69">
        <f t="shared" si="75"/>
        <v>924706.72171342315</v>
      </c>
      <c r="X822" s="69">
        <f t="shared" si="72"/>
        <v>51155.383303007708</v>
      </c>
      <c r="Z822" s="68">
        <f t="shared" si="76"/>
        <v>0</v>
      </c>
      <c r="AA822" s="68">
        <f t="shared" si="77"/>
        <v>1</v>
      </c>
      <c r="AB822" s="68">
        <f t="shared" si="73"/>
        <v>1</v>
      </c>
    </row>
    <row r="823" spans="1:28" x14ac:dyDescent="0.25">
      <c r="A823">
        <v>818</v>
      </c>
      <c r="C823" s="24">
        <v>8.5312877976762014E-4</v>
      </c>
      <c r="D823" s="24">
        <v>6.6460253411155927E-4</v>
      </c>
      <c r="E823" s="24">
        <v>3.6022618510499126E-16</v>
      </c>
      <c r="F823" s="24">
        <v>9.6629549370787363E-43</v>
      </c>
      <c r="G823" s="24">
        <v>0.57229233356776976</v>
      </c>
      <c r="H823" s="24">
        <v>0.27131313582076555</v>
      </c>
      <c r="I823" s="53">
        <v>1516.7726189894454</v>
      </c>
      <c r="J823" s="53">
        <v>4408.3784431275744</v>
      </c>
      <c r="K823" s="24">
        <v>0.64995157982837626</v>
      </c>
      <c r="L823" s="24">
        <v>0.78100897064813779</v>
      </c>
      <c r="M823" s="24">
        <v>0.91447028945506226</v>
      </c>
      <c r="O823" s="53">
        <v>3.741446007768551</v>
      </c>
      <c r="P823" s="54">
        <v>16525.270029729232</v>
      </c>
      <c r="Q823" s="54">
        <v>3.8568831497026457</v>
      </c>
      <c r="R823" s="54">
        <v>33212.450746062808</v>
      </c>
      <c r="S823" s="54">
        <v>0.11543714193409471</v>
      </c>
      <c r="T823" s="54">
        <v>16687.180716333576</v>
      </c>
      <c r="V823" s="69">
        <f t="shared" si="74"/>
        <v>731763.93152398092</v>
      </c>
      <c r="W823" s="69">
        <f t="shared" si="75"/>
        <v>738164.17919446633</v>
      </c>
      <c r="X823" s="69">
        <f t="shared" si="72"/>
        <v>6400.2476704853652</v>
      </c>
      <c r="Z823" s="68">
        <f t="shared" si="76"/>
        <v>0</v>
      </c>
      <c r="AA823" s="68">
        <f t="shared" si="77"/>
        <v>1</v>
      </c>
      <c r="AB823" s="68">
        <f t="shared" si="73"/>
        <v>1</v>
      </c>
    </row>
    <row r="824" spans="1:28" x14ac:dyDescent="0.25">
      <c r="A824">
        <v>819</v>
      </c>
      <c r="C824" s="24">
        <v>3.7595640884347385E-7</v>
      </c>
      <c r="D824" s="24">
        <v>6.2716713161554694E-3</v>
      </c>
      <c r="E824" s="24">
        <v>4.0936133599034363E-4</v>
      </c>
      <c r="F824" s="24">
        <v>2.6460071772257921E-24</v>
      </c>
      <c r="G824" s="24">
        <v>0.54372053237549856</v>
      </c>
      <c r="H824" s="24">
        <v>0.14139308576553034</v>
      </c>
      <c r="I824" s="53">
        <v>1854.5576936214852</v>
      </c>
      <c r="J824" s="53">
        <v>5058.4908034069595</v>
      </c>
      <c r="K824" s="24">
        <v>0.48108636881904182</v>
      </c>
      <c r="L824" s="24">
        <v>0.96311112280201616</v>
      </c>
      <c r="M824" s="24">
        <v>0.93096767347783083</v>
      </c>
      <c r="O824" s="53">
        <v>4.2651118499138274</v>
      </c>
      <c r="P824" s="54">
        <v>15722.090478746633</v>
      </c>
      <c r="Q824" s="54">
        <v>4.7350462628017489</v>
      </c>
      <c r="R824" s="54">
        <v>22740.60470942051</v>
      </c>
      <c r="S824" s="54">
        <v>0.46993441288792148</v>
      </c>
      <c r="T824" s="54">
        <v>7018.5142306738762</v>
      </c>
      <c r="V824" s="69">
        <f t="shared" si="74"/>
        <v>837300.27950401884</v>
      </c>
      <c r="W824" s="69">
        <f t="shared" si="75"/>
        <v>924268.64785092929</v>
      </c>
      <c r="X824" s="69">
        <f t="shared" si="72"/>
        <v>86968.368346910429</v>
      </c>
      <c r="Z824" s="68">
        <f t="shared" si="76"/>
        <v>0</v>
      </c>
      <c r="AA824" s="68">
        <f t="shared" si="77"/>
        <v>1</v>
      </c>
      <c r="AB824" s="68">
        <f t="shared" si="73"/>
        <v>1</v>
      </c>
    </row>
    <row r="825" spans="1:28" x14ac:dyDescent="0.25">
      <c r="A825">
        <v>820</v>
      </c>
      <c r="C825" s="24">
        <v>3.9075725846828586E-7</v>
      </c>
      <c r="D825" s="24">
        <v>1.340956022979467E-2</v>
      </c>
      <c r="E825" s="24">
        <v>3.7440070015487201E-20</v>
      </c>
      <c r="F825" s="24">
        <v>8.505808847417657E-40</v>
      </c>
      <c r="G825" s="24">
        <v>0.53451123007469681</v>
      </c>
      <c r="H825" s="24">
        <v>0.32080250100217211</v>
      </c>
      <c r="I825" s="53">
        <v>1512.9948162569358</v>
      </c>
      <c r="J825" s="53">
        <v>5035.7179824027098</v>
      </c>
      <c r="K825" s="24">
        <v>0.78374956478525726</v>
      </c>
      <c r="L825" s="24">
        <v>0.79342738346425123</v>
      </c>
      <c r="M825" s="24">
        <v>0.80347883355962646</v>
      </c>
      <c r="O825" s="53">
        <v>3.9565089611706799</v>
      </c>
      <c r="P825" s="54">
        <v>11382.186312267311</v>
      </c>
      <c r="Q825" s="54">
        <v>3.9634801924900724</v>
      </c>
      <c r="R825" s="54">
        <v>43281.450902079916</v>
      </c>
      <c r="S825" s="54">
        <v>6.9712313193925901E-3</v>
      </c>
      <c r="T825" s="54">
        <v>31899.264589812607</v>
      </c>
      <c r="V825" s="69">
        <f t="shared" si="74"/>
        <v>779919.6059218687</v>
      </c>
      <c r="W825" s="69">
        <f t="shared" si="75"/>
        <v>749414.58759593451</v>
      </c>
      <c r="X825" s="69">
        <f t="shared" si="72"/>
        <v>-30505.018325934088</v>
      </c>
      <c r="Z825" s="68">
        <f t="shared" si="76"/>
        <v>1</v>
      </c>
      <c r="AA825" s="68">
        <f t="shared" si="77"/>
        <v>0</v>
      </c>
      <c r="AB825" s="68">
        <f t="shared" si="73"/>
        <v>0</v>
      </c>
    </row>
    <row r="826" spans="1:28" x14ac:dyDescent="0.25">
      <c r="A826">
        <v>821</v>
      </c>
      <c r="C826" s="24">
        <v>1.3867873071671255E-4</v>
      </c>
      <c r="D826" s="24">
        <v>4.3512979503964599E-3</v>
      </c>
      <c r="E826" s="24">
        <v>1.5652362695587358E-13</v>
      </c>
      <c r="F826" s="24">
        <v>1.8210787062688233E-21</v>
      </c>
      <c r="G826" s="24">
        <v>0.54745088871836667</v>
      </c>
      <c r="H826" s="24">
        <v>0.24042640037859175</v>
      </c>
      <c r="I826" s="53">
        <v>1817.445559763933</v>
      </c>
      <c r="J826" s="53">
        <v>4233.0655037123979</v>
      </c>
      <c r="K826" s="24">
        <v>0.69975982744092158</v>
      </c>
      <c r="L826" s="24">
        <v>0.65309388750991404</v>
      </c>
      <c r="M826" s="24">
        <v>0.70289972983687765</v>
      </c>
      <c r="O826" s="53">
        <v>3.3192043025787878</v>
      </c>
      <c r="P826" s="54">
        <v>13668.568082188873</v>
      </c>
      <c r="Q826" s="54">
        <v>3.2815650047069185</v>
      </c>
      <c r="R826" s="54">
        <v>37136.92619239862</v>
      </c>
      <c r="S826" s="54">
        <v>-3.763929787186937E-2</v>
      </c>
      <c r="T826" s="54">
        <v>23468.358110209745</v>
      </c>
      <c r="V826" s="69">
        <f t="shared" si="74"/>
        <v>650172.29243356874</v>
      </c>
      <c r="W826" s="69">
        <f t="shared" si="75"/>
        <v>619176.074748985</v>
      </c>
      <c r="X826" s="69">
        <f t="shared" si="72"/>
        <v>-30996.217684583618</v>
      </c>
      <c r="Z826" s="68">
        <f t="shared" si="76"/>
        <v>1</v>
      </c>
      <c r="AA826" s="68">
        <f t="shared" si="77"/>
        <v>0</v>
      </c>
      <c r="AB826" s="68">
        <f t="shared" si="73"/>
        <v>0</v>
      </c>
    </row>
    <row r="827" spans="1:28" x14ac:dyDescent="0.25">
      <c r="A827">
        <v>822</v>
      </c>
      <c r="C827" s="24">
        <v>1.3701613535959112E-3</v>
      </c>
      <c r="D827" s="24">
        <v>9.1087224394517034E-4</v>
      </c>
      <c r="E827" s="24">
        <v>4.4289936164121357E-6</v>
      </c>
      <c r="F827" s="24">
        <v>3.6354956689206828E-32</v>
      </c>
      <c r="G827" s="24">
        <v>0.60995035303124479</v>
      </c>
      <c r="H827" s="24">
        <v>0.28114047168417899</v>
      </c>
      <c r="I827" s="53">
        <v>1761.5629180146129</v>
      </c>
      <c r="J827" s="53">
        <v>5136.1159374744684</v>
      </c>
      <c r="K827" s="24">
        <v>0.39088217213700521</v>
      </c>
      <c r="L827" s="24">
        <v>0.90325876309933284</v>
      </c>
      <c r="M827" s="24">
        <v>0.79437721560356411</v>
      </c>
      <c r="O827" s="53">
        <v>3.7812952225683665</v>
      </c>
      <c r="P827" s="54">
        <v>17629.420108345577</v>
      </c>
      <c r="Q827" s="54">
        <v>4.3156232364217226</v>
      </c>
      <c r="R827" s="54">
        <v>41474.39097592156</v>
      </c>
      <c r="S827" s="54">
        <v>0.53432801385335615</v>
      </c>
      <c r="T827" s="54">
        <v>23844.970867575983</v>
      </c>
      <c r="V827" s="69">
        <f t="shared" si="74"/>
        <v>738629.62440532772</v>
      </c>
      <c r="W827" s="69">
        <f t="shared" si="75"/>
        <v>821650.25630842301</v>
      </c>
      <c r="X827" s="69">
        <f t="shared" si="72"/>
        <v>83020.631903095258</v>
      </c>
      <c r="Z827" s="68">
        <f t="shared" si="76"/>
        <v>0</v>
      </c>
      <c r="AA827" s="68">
        <f t="shared" si="77"/>
        <v>1</v>
      </c>
      <c r="AB827" s="68">
        <f t="shared" si="73"/>
        <v>1</v>
      </c>
    </row>
    <row r="828" spans="1:28" x14ac:dyDescent="0.25">
      <c r="A828">
        <v>823</v>
      </c>
      <c r="C828" s="24">
        <v>3.3351369572805395E-17</v>
      </c>
      <c r="D828" s="24">
        <v>1.4086338160052003E-3</v>
      </c>
      <c r="E828" s="24">
        <v>1.5742708083873472E-16</v>
      </c>
      <c r="F828" s="24">
        <v>1.6509016376176078E-13</v>
      </c>
      <c r="G828" s="24">
        <v>0.57666154148526649</v>
      </c>
      <c r="H828" s="24">
        <v>0.24216599443704623</v>
      </c>
      <c r="I828" s="53">
        <v>2447.258752806446</v>
      </c>
      <c r="J828" s="53">
        <v>4443.0302915431748</v>
      </c>
      <c r="K828" s="24">
        <v>0.62775360786321621</v>
      </c>
      <c r="L828" s="24">
        <v>0.84864187486912945</v>
      </c>
      <c r="M828" s="24">
        <v>0.72172623544205472</v>
      </c>
      <c r="O828" s="53">
        <v>3.9615078174588718</v>
      </c>
      <c r="P828" s="54">
        <v>16359.959863851416</v>
      </c>
      <c r="Q828" s="54">
        <v>4.1715790654725202</v>
      </c>
      <c r="R828" s="54">
        <v>40154.402423812484</v>
      </c>
      <c r="S828" s="54">
        <v>0.2100712480136484</v>
      </c>
      <c r="T828" s="54">
        <v>23794.442559961069</v>
      </c>
      <c r="V828" s="69">
        <f t="shared" si="74"/>
        <v>775941.60362792294</v>
      </c>
      <c r="W828" s="69">
        <f t="shared" si="75"/>
        <v>794161.41067069164</v>
      </c>
      <c r="X828" s="69">
        <f t="shared" si="72"/>
        <v>18219.807042768611</v>
      </c>
      <c r="Z828" s="68">
        <f t="shared" si="76"/>
        <v>0</v>
      </c>
      <c r="AA828" s="68">
        <f t="shared" si="77"/>
        <v>1</v>
      </c>
      <c r="AB828" s="68">
        <f t="shared" si="73"/>
        <v>1</v>
      </c>
    </row>
    <row r="829" spans="1:28" x14ac:dyDescent="0.25">
      <c r="A829">
        <v>824</v>
      </c>
      <c r="C829" s="24">
        <v>3.9413378856061332E-3</v>
      </c>
      <c r="D829" s="24">
        <v>9.6773255226110123E-4</v>
      </c>
      <c r="E829" s="24">
        <v>1.387058724061366E-18</v>
      </c>
      <c r="F829" s="24">
        <v>2.9591755721903504E-16</v>
      </c>
      <c r="G829" s="24">
        <v>0.67863484504981075</v>
      </c>
      <c r="H829" s="24">
        <v>0.29454780710688189</v>
      </c>
      <c r="I829" s="53">
        <v>2015.7452152275655</v>
      </c>
      <c r="J829" s="53">
        <v>4705.492835441657</v>
      </c>
      <c r="K829" s="24">
        <v>0.47826506709869393</v>
      </c>
      <c r="L829" s="24">
        <v>0.83923078585902622</v>
      </c>
      <c r="M829" s="24">
        <v>0.90005682878592963</v>
      </c>
      <c r="O829" s="53">
        <v>3.5459945378993907</v>
      </c>
      <c r="P829" s="54">
        <v>18513.588837663374</v>
      </c>
      <c r="Q829" s="54">
        <v>4.0461563168670871</v>
      </c>
      <c r="R829" s="54">
        <v>47189.599977963851</v>
      </c>
      <c r="S829" s="54">
        <v>0.50016177896769642</v>
      </c>
      <c r="T829" s="54">
        <v>28676.011140300478</v>
      </c>
      <c r="V829" s="69">
        <f t="shared" si="74"/>
        <v>690685.3187422147</v>
      </c>
      <c r="W829" s="69">
        <f t="shared" si="75"/>
        <v>762041.66339545359</v>
      </c>
      <c r="X829" s="69">
        <f t="shared" si="72"/>
        <v>71356.344653238804</v>
      </c>
      <c r="Z829" s="68">
        <f t="shared" si="76"/>
        <v>0</v>
      </c>
      <c r="AA829" s="68">
        <f t="shared" si="77"/>
        <v>1</v>
      </c>
      <c r="AB829" s="68">
        <f t="shared" si="73"/>
        <v>1</v>
      </c>
    </row>
    <row r="830" spans="1:28" x14ac:dyDescent="0.25">
      <c r="A830">
        <v>825</v>
      </c>
      <c r="C830" s="24">
        <v>1.5842275282551554E-4</v>
      </c>
      <c r="D830" s="24">
        <v>2.2741502375061007E-3</v>
      </c>
      <c r="E830" s="24">
        <v>3.1182139363795658E-3</v>
      </c>
      <c r="F830" s="24">
        <v>6.202338975403428E-26</v>
      </c>
      <c r="G830" s="24">
        <v>0.65213372457954488</v>
      </c>
      <c r="H830" s="24">
        <v>0.28301760787249819</v>
      </c>
      <c r="I830" s="53">
        <v>1762.9569053221371</v>
      </c>
      <c r="J830" s="53">
        <v>4541.8798262054306</v>
      </c>
      <c r="K830" s="24">
        <v>0.70198232479353351</v>
      </c>
      <c r="L830" s="24">
        <v>0.99792396229838776</v>
      </c>
      <c r="M830" s="24">
        <v>0.75713707141917719</v>
      </c>
      <c r="O830" s="53">
        <v>4.4699614583109941</v>
      </c>
      <c r="P830" s="54">
        <v>18796.239965608478</v>
      </c>
      <c r="Q830" s="54">
        <v>4.8694958313635279</v>
      </c>
      <c r="R830" s="54">
        <v>34327.577374446533</v>
      </c>
      <c r="S830" s="54">
        <v>0.39953437305253381</v>
      </c>
      <c r="T830" s="54">
        <v>15531.337408838055</v>
      </c>
      <c r="V830" s="69">
        <f t="shared" si="74"/>
        <v>875196.05169659038</v>
      </c>
      <c r="W830" s="69">
        <f t="shared" si="75"/>
        <v>939571.58889825898</v>
      </c>
      <c r="X830" s="69">
        <f t="shared" si="72"/>
        <v>64375.537201668703</v>
      </c>
      <c r="Z830" s="68">
        <f t="shared" si="76"/>
        <v>0</v>
      </c>
      <c r="AA830" s="68">
        <f t="shared" si="77"/>
        <v>1</v>
      </c>
      <c r="AB830" s="68">
        <f t="shared" si="73"/>
        <v>1</v>
      </c>
    </row>
    <row r="831" spans="1:28" x14ac:dyDescent="0.25">
      <c r="A831">
        <v>826</v>
      </c>
      <c r="C831" s="24">
        <v>9.3406791360279221E-7</v>
      </c>
      <c r="D831" s="24">
        <v>4.7212508257431507E-3</v>
      </c>
      <c r="E831" s="24">
        <v>1.5579078865465725E-15</v>
      </c>
      <c r="F831" s="24">
        <v>1.1842415936769157E-11</v>
      </c>
      <c r="G831" s="24">
        <v>0.56038080677775581</v>
      </c>
      <c r="H831" s="24">
        <v>0.25485411793660784</v>
      </c>
      <c r="I831" s="53">
        <v>1759.4690905633474</v>
      </c>
      <c r="J831" s="53">
        <v>5065.1954970939114</v>
      </c>
      <c r="K831" s="24">
        <v>0.66137680463345894</v>
      </c>
      <c r="L831" s="24">
        <v>0.81270035696136211</v>
      </c>
      <c r="M831" s="24">
        <v>0.97829464142787259</v>
      </c>
      <c r="O831" s="53">
        <v>3.8812709178890681</v>
      </c>
      <c r="P831" s="54">
        <v>19277.608104260347</v>
      </c>
      <c r="Q831" s="54">
        <v>4.0166894555949204</v>
      </c>
      <c r="R831" s="54">
        <v>28278.657057323464</v>
      </c>
      <c r="S831" s="54">
        <v>0.13541853770585233</v>
      </c>
      <c r="T831" s="54">
        <v>9001.0489530631166</v>
      </c>
      <c r="V831" s="69">
        <f t="shared" si="74"/>
        <v>756976.57547355327</v>
      </c>
      <c r="W831" s="69">
        <f t="shared" si="75"/>
        <v>775059.23406166059</v>
      </c>
      <c r="X831" s="69">
        <f t="shared" si="72"/>
        <v>18082.658588107348</v>
      </c>
      <c r="Z831" s="68">
        <f t="shared" si="76"/>
        <v>0</v>
      </c>
      <c r="AA831" s="68">
        <f t="shared" si="77"/>
        <v>1</v>
      </c>
      <c r="AB831" s="68">
        <f t="shared" si="73"/>
        <v>1</v>
      </c>
    </row>
    <row r="832" spans="1:28" x14ac:dyDescent="0.25">
      <c r="A832">
        <v>827</v>
      </c>
      <c r="C832" s="24">
        <v>1.215269592790813E-2</v>
      </c>
      <c r="D832" s="24">
        <v>1.5566155445608011E-5</v>
      </c>
      <c r="E832" s="24">
        <v>6.9668291136082416E-9</v>
      </c>
      <c r="F832" s="24">
        <v>1.3465590864569776E-9</v>
      </c>
      <c r="G832" s="24">
        <v>0.58733301138635141</v>
      </c>
      <c r="H832" s="24">
        <v>0.29803439611020133</v>
      </c>
      <c r="I832" s="53">
        <v>1793.3407140452368</v>
      </c>
      <c r="J832" s="53">
        <v>5403.191258703243</v>
      </c>
      <c r="K832" s="24">
        <v>0.59592923299644696</v>
      </c>
      <c r="L832" s="24">
        <v>0.94211994179155922</v>
      </c>
      <c r="M832" s="24">
        <v>0.63818096019141901</v>
      </c>
      <c r="O832" s="53">
        <v>4.2194116691672559</v>
      </c>
      <c r="P832" s="54">
        <v>16579.27801204133</v>
      </c>
      <c r="Q832" s="54">
        <v>4.5639318621741172</v>
      </c>
      <c r="R832" s="54">
        <v>35814.202908660365</v>
      </c>
      <c r="S832" s="54">
        <v>0.34452019300686132</v>
      </c>
      <c r="T832" s="54">
        <v>19234.924896619035</v>
      </c>
      <c r="V832" s="69">
        <f t="shared" si="74"/>
        <v>827303.0558214098</v>
      </c>
      <c r="W832" s="69">
        <f t="shared" si="75"/>
        <v>876972.16952616302</v>
      </c>
      <c r="X832" s="69">
        <f t="shared" si="72"/>
        <v>49669.113704753225</v>
      </c>
      <c r="Z832" s="68">
        <f t="shared" si="76"/>
        <v>0</v>
      </c>
      <c r="AA832" s="68">
        <f t="shared" si="77"/>
        <v>1</v>
      </c>
      <c r="AB832" s="68">
        <f t="shared" si="73"/>
        <v>1</v>
      </c>
    </row>
    <row r="833" spans="1:28" x14ac:dyDescent="0.25">
      <c r="A833">
        <v>828</v>
      </c>
      <c r="C833" s="24">
        <v>4.3237602140482671E-12</v>
      </c>
      <c r="D833" s="24">
        <v>6.2327228676685165E-3</v>
      </c>
      <c r="E833" s="24">
        <v>5.3308555347797437E-9</v>
      </c>
      <c r="F833" s="24">
        <v>8.6643960183206009E-19</v>
      </c>
      <c r="G833" s="24">
        <v>0.50527855965184709</v>
      </c>
      <c r="H833" s="24">
        <v>0.28056672849099851</v>
      </c>
      <c r="I833" s="53">
        <v>1768.8196358964378</v>
      </c>
      <c r="J833" s="53">
        <v>5366.9430690490353</v>
      </c>
      <c r="K833" s="24">
        <v>0.4807267768912914</v>
      </c>
      <c r="L833" s="24">
        <v>0.95268645152472931</v>
      </c>
      <c r="M833" s="24">
        <v>0.65351418779558879</v>
      </c>
      <c r="O833" s="53">
        <v>4.2972767197259403</v>
      </c>
      <c r="P833" s="54">
        <v>14697.012932540521</v>
      </c>
      <c r="Q833" s="54">
        <v>4.5677458094833661</v>
      </c>
      <c r="R833" s="54">
        <v>39945.030453762723</v>
      </c>
      <c r="S833" s="54">
        <v>0.27046908975742578</v>
      </c>
      <c r="T833" s="54">
        <v>25248.017521222202</v>
      </c>
      <c r="V833" s="69">
        <f t="shared" si="74"/>
        <v>844758.3310126476</v>
      </c>
      <c r="W833" s="69">
        <f t="shared" si="75"/>
        <v>873604.13144291053</v>
      </c>
      <c r="X833" s="69">
        <f t="shared" si="72"/>
        <v>28845.800430262956</v>
      </c>
      <c r="Z833" s="68">
        <f t="shared" si="76"/>
        <v>0</v>
      </c>
      <c r="AA833" s="68">
        <f t="shared" si="77"/>
        <v>1</v>
      </c>
      <c r="AB833" s="68">
        <f t="shared" si="73"/>
        <v>1</v>
      </c>
    </row>
    <row r="834" spans="1:28" x14ac:dyDescent="0.25">
      <c r="A834">
        <v>829</v>
      </c>
      <c r="C834" s="24">
        <v>1.5660219800657349E-2</v>
      </c>
      <c r="D834" s="24">
        <v>9.4811298870001171E-3</v>
      </c>
      <c r="E834" s="24">
        <v>1.7605684687893586E-9</v>
      </c>
      <c r="F834" s="24">
        <v>1.532107773982716E-14</v>
      </c>
      <c r="G834" s="24">
        <v>0.56231009268846222</v>
      </c>
      <c r="H834" s="24">
        <v>0.22468016632744836</v>
      </c>
      <c r="I834" s="53">
        <v>1691.4400606225242</v>
      </c>
      <c r="J834" s="53">
        <v>5966.6796783283298</v>
      </c>
      <c r="K834" s="24">
        <v>0.92322852061028593</v>
      </c>
      <c r="L834" s="24">
        <v>0.82898011397336757</v>
      </c>
      <c r="M834" s="24">
        <v>0.89442510165660705</v>
      </c>
      <c r="O834" s="53">
        <v>4.2680452146403116</v>
      </c>
      <c r="P834" s="54">
        <v>18405.917501052896</v>
      </c>
      <c r="Q834" s="54">
        <v>4.1759669434890023</v>
      </c>
      <c r="R834" s="54">
        <v>30212.342333257708</v>
      </c>
      <c r="S834" s="54">
        <v>-9.2078271151309288E-2</v>
      </c>
      <c r="T834" s="54">
        <v>11806.424832204812</v>
      </c>
      <c r="V834" s="69">
        <f t="shared" si="74"/>
        <v>835203.12542700954</v>
      </c>
      <c r="W834" s="69">
        <f t="shared" si="75"/>
        <v>804981.0463645428</v>
      </c>
      <c r="X834" s="69">
        <f t="shared" si="72"/>
        <v>-30222.07906246667</v>
      </c>
      <c r="Z834" s="68">
        <f t="shared" si="76"/>
        <v>1</v>
      </c>
      <c r="AA834" s="68">
        <f t="shared" si="77"/>
        <v>0</v>
      </c>
      <c r="AB834" s="68">
        <f t="shared" si="73"/>
        <v>0</v>
      </c>
    </row>
    <row r="835" spans="1:28" x14ac:dyDescent="0.25">
      <c r="A835">
        <v>830</v>
      </c>
      <c r="C835" s="24">
        <v>1.3974392998968077E-5</v>
      </c>
      <c r="D835" s="24">
        <v>1.9566374515697094E-3</v>
      </c>
      <c r="E835" s="24">
        <v>1.2813096422659154E-4</v>
      </c>
      <c r="F835" s="24">
        <v>1.7721638840244255E-25</v>
      </c>
      <c r="G835" s="24">
        <v>0.62694890668079029</v>
      </c>
      <c r="H835" s="24">
        <v>0.18120296830738547</v>
      </c>
      <c r="I835" s="53">
        <v>1795.5291554523319</v>
      </c>
      <c r="J835" s="53">
        <v>4133.2238844117292</v>
      </c>
      <c r="K835" s="24">
        <v>0.78617481356465202</v>
      </c>
      <c r="L835" s="24">
        <v>0.83227173141747457</v>
      </c>
      <c r="M835" s="24">
        <v>0.9744861029080798</v>
      </c>
      <c r="O835" s="53">
        <v>4.0904154711730838</v>
      </c>
      <c r="P835" s="54">
        <v>16202.964097682277</v>
      </c>
      <c r="Q835" s="54">
        <v>4.1527832411011971</v>
      </c>
      <c r="R835" s="54">
        <v>24196.27983378365</v>
      </c>
      <c r="S835" s="54">
        <v>6.2367769928113326E-2</v>
      </c>
      <c r="T835" s="54">
        <v>7993.3157361013727</v>
      </c>
      <c r="V835" s="69">
        <f t="shared" si="74"/>
        <v>801880.13013693446</v>
      </c>
      <c r="W835" s="69">
        <f t="shared" si="75"/>
        <v>806360.36838645581</v>
      </c>
      <c r="X835" s="69">
        <f t="shared" si="72"/>
        <v>4480.2382495212933</v>
      </c>
      <c r="Z835" s="68">
        <f t="shared" si="76"/>
        <v>0</v>
      </c>
      <c r="AA835" s="68">
        <f t="shared" si="77"/>
        <v>1</v>
      </c>
      <c r="AB835" s="68">
        <f t="shared" si="73"/>
        <v>1</v>
      </c>
    </row>
    <row r="836" spans="1:28" x14ac:dyDescent="0.25">
      <c r="A836">
        <v>831</v>
      </c>
      <c r="C836" s="24">
        <v>4.9465947751951678E-2</v>
      </c>
      <c r="D836" s="24">
        <v>1.6304644474284853E-4</v>
      </c>
      <c r="E836" s="24">
        <v>9.159737916307753E-4</v>
      </c>
      <c r="F836" s="24">
        <v>1.0990631249541138E-7</v>
      </c>
      <c r="G836" s="24">
        <v>0.54587729937194696</v>
      </c>
      <c r="H836" s="24">
        <v>0.15988544017203143</v>
      </c>
      <c r="I836" s="53">
        <v>2134.3553050146697</v>
      </c>
      <c r="J836" s="53">
        <v>5477.3098749870596</v>
      </c>
      <c r="K836" s="24">
        <v>0.72850829316813093</v>
      </c>
      <c r="L836" s="24">
        <v>0.85787352024789709</v>
      </c>
      <c r="M836" s="24">
        <v>0.83110558646118404</v>
      </c>
      <c r="O836" s="53">
        <v>4.1234853727777718</v>
      </c>
      <c r="P836" s="54">
        <v>17100.881425067408</v>
      </c>
      <c r="Q836" s="54">
        <v>4.2647246522535607</v>
      </c>
      <c r="R836" s="54">
        <v>30440.007034408824</v>
      </c>
      <c r="S836" s="54">
        <v>0.14123927947578885</v>
      </c>
      <c r="T836" s="54">
        <v>13339.125609341416</v>
      </c>
      <c r="V836" s="69">
        <f t="shared" si="74"/>
        <v>807596.19313048688</v>
      </c>
      <c r="W836" s="69">
        <f t="shared" si="75"/>
        <v>822504.92341630324</v>
      </c>
      <c r="X836" s="69">
        <f t="shared" si="72"/>
        <v>14908.730285816353</v>
      </c>
      <c r="Z836" s="68">
        <f t="shared" si="76"/>
        <v>0</v>
      </c>
      <c r="AA836" s="68">
        <f t="shared" si="77"/>
        <v>1</v>
      </c>
      <c r="AB836" s="68">
        <f t="shared" si="73"/>
        <v>1</v>
      </c>
    </row>
    <row r="837" spans="1:28" x14ac:dyDescent="0.25">
      <c r="A837">
        <v>832</v>
      </c>
      <c r="C837" s="24">
        <v>3.1025996385081654E-8</v>
      </c>
      <c r="D837" s="24">
        <v>2.9741239403957564E-3</v>
      </c>
      <c r="E837" s="24">
        <v>2.4246810112689053E-15</v>
      </c>
      <c r="F837" s="24">
        <v>2.4056931334661531E-15</v>
      </c>
      <c r="G837" s="24">
        <v>0.5401668369695074</v>
      </c>
      <c r="H837" s="24">
        <v>0.37239386226226445</v>
      </c>
      <c r="I837" s="53">
        <v>1511.3833440916239</v>
      </c>
      <c r="J837" s="53">
        <v>5214.74073557049</v>
      </c>
      <c r="K837" s="24">
        <v>0.76728678860966437</v>
      </c>
      <c r="L837" s="24">
        <v>0.95396162292989417</v>
      </c>
      <c r="M837" s="24">
        <v>0.808011809970967</v>
      </c>
      <c r="O837" s="53">
        <v>4.5606052835031976</v>
      </c>
      <c r="P837" s="54">
        <v>14896.138439602013</v>
      </c>
      <c r="Q837" s="54">
        <v>4.6567860223220778</v>
      </c>
      <c r="R837" s="54">
        <v>49442.956842690837</v>
      </c>
      <c r="S837" s="54">
        <v>9.6180738818880229E-2</v>
      </c>
      <c r="T837" s="54">
        <v>34546.818403088822</v>
      </c>
      <c r="V837" s="69">
        <f t="shared" si="74"/>
        <v>897224.91826103756</v>
      </c>
      <c r="W837" s="69">
        <f t="shared" si="75"/>
        <v>881914.24762172473</v>
      </c>
      <c r="X837" s="69">
        <f t="shared" si="72"/>
        <v>-15310.670639312775</v>
      </c>
      <c r="Z837" s="68">
        <f t="shared" si="76"/>
        <v>1</v>
      </c>
      <c r="AA837" s="68">
        <f t="shared" si="77"/>
        <v>0</v>
      </c>
      <c r="AB837" s="68">
        <f t="shared" si="73"/>
        <v>0</v>
      </c>
    </row>
    <row r="838" spans="1:28" x14ac:dyDescent="0.25">
      <c r="A838">
        <v>833</v>
      </c>
      <c r="C838" s="24">
        <v>1.5988377799792667E-8</v>
      </c>
      <c r="D838" s="24">
        <v>4.4422791232365268E-8</v>
      </c>
      <c r="E838" s="24">
        <v>2.0404962197046874E-17</v>
      </c>
      <c r="F838" s="24">
        <v>2.5782668272245068E-5</v>
      </c>
      <c r="G838" s="24">
        <v>0.49733814297110801</v>
      </c>
      <c r="H838" s="24">
        <v>0.23755108446951789</v>
      </c>
      <c r="I838" s="53">
        <v>2025.4417586066854</v>
      </c>
      <c r="J838" s="53">
        <v>4959.697701297453</v>
      </c>
      <c r="K838" s="24">
        <v>0.70970951919047987</v>
      </c>
      <c r="L838" s="24">
        <v>0.97443785572774511</v>
      </c>
      <c r="M838" s="24">
        <v>0.72195352053341466</v>
      </c>
      <c r="O838" s="53">
        <v>4.618234233263264</v>
      </c>
      <c r="P838" s="54">
        <v>13720.241299060563</v>
      </c>
      <c r="Q838" s="54">
        <v>4.7896174760170336</v>
      </c>
      <c r="R838" s="54">
        <v>28298.996563538465</v>
      </c>
      <c r="S838" s="54">
        <v>0.17138324275376959</v>
      </c>
      <c r="T838" s="54">
        <v>14578.755264477903</v>
      </c>
      <c r="V838" s="69">
        <f t="shared" si="74"/>
        <v>909926.60535359231</v>
      </c>
      <c r="W838" s="69">
        <f t="shared" si="75"/>
        <v>929624.49863986822</v>
      </c>
      <c r="X838" s="69">
        <f t="shared" si="72"/>
        <v>19697.893286276016</v>
      </c>
      <c r="Z838" s="68">
        <f t="shared" si="76"/>
        <v>0</v>
      </c>
      <c r="AA838" s="68">
        <f t="shared" si="77"/>
        <v>1</v>
      </c>
      <c r="AB838" s="68">
        <f t="shared" si="73"/>
        <v>1</v>
      </c>
    </row>
    <row r="839" spans="1:28" x14ac:dyDescent="0.25">
      <c r="A839">
        <v>834</v>
      </c>
      <c r="C839" s="24">
        <v>2.3048070461780731E-5</v>
      </c>
      <c r="D839" s="24">
        <v>6.4686075460995696E-3</v>
      </c>
      <c r="E839" s="24">
        <v>1.4251500014042517E-2</v>
      </c>
      <c r="F839" s="24">
        <v>3.7983888646032637E-3</v>
      </c>
      <c r="G839" s="24">
        <v>0.57453568623573315</v>
      </c>
      <c r="H839" s="24">
        <v>0.20110473233082649</v>
      </c>
      <c r="I839" s="53">
        <v>2075.0289627121288</v>
      </c>
      <c r="J839" s="53">
        <v>4717.3241962499314</v>
      </c>
      <c r="K839" s="24">
        <v>0.4919355168752525</v>
      </c>
      <c r="L839" s="24">
        <v>0.8599134901189508</v>
      </c>
      <c r="M839" s="24">
        <v>0.96533598770153339</v>
      </c>
      <c r="O839" s="53">
        <v>3.7262296457591848</v>
      </c>
      <c r="P839" s="54">
        <v>13800.301184300579</v>
      </c>
      <c r="Q839" s="54">
        <v>4.1916068977546965</v>
      </c>
      <c r="R839" s="54">
        <v>31791.780679836611</v>
      </c>
      <c r="S839" s="54">
        <v>0.46537725199551172</v>
      </c>
      <c r="T839" s="54">
        <v>17991.479495536034</v>
      </c>
      <c r="V839" s="69">
        <f t="shared" si="74"/>
        <v>731445.62796753645</v>
      </c>
      <c r="W839" s="69">
        <f t="shared" si="75"/>
        <v>806529.59887110267</v>
      </c>
      <c r="X839" s="69">
        <f t="shared" ref="X839:X902" si="78">S839*cRatio-T839</f>
        <v>75083.970903566311</v>
      </c>
      <c r="Z839" s="68">
        <f t="shared" si="76"/>
        <v>0</v>
      </c>
      <c r="AA839" s="68">
        <f t="shared" si="77"/>
        <v>1</v>
      </c>
      <c r="AB839" s="68">
        <f t="shared" ref="AB839:AB902" si="79">IF(X839&gt;0,1,0)</f>
        <v>1</v>
      </c>
    </row>
    <row r="840" spans="1:28" x14ac:dyDescent="0.25">
      <c r="A840">
        <v>835</v>
      </c>
      <c r="C840" s="24">
        <v>1.0364401442724615E-7</v>
      </c>
      <c r="D840" s="24">
        <v>3.0504974961477759E-4</v>
      </c>
      <c r="E840" s="24">
        <v>2.3505413287338333E-29</v>
      </c>
      <c r="F840" s="24">
        <v>3.8423708659252043E-12</v>
      </c>
      <c r="G840" s="24">
        <v>0.64502944817615981</v>
      </c>
      <c r="H840" s="24">
        <v>0.28102312757342396</v>
      </c>
      <c r="I840" s="53">
        <v>1737.2630757277364</v>
      </c>
      <c r="J840" s="53">
        <v>5537.116236802166</v>
      </c>
      <c r="K840" s="24">
        <v>0.65882935565049083</v>
      </c>
      <c r="L840" s="24">
        <v>0.94224925916315683</v>
      </c>
      <c r="M840" s="24">
        <v>0.86049879584673672</v>
      </c>
      <c r="O840" s="53">
        <v>4.2537402410612861</v>
      </c>
      <c r="P840" s="54">
        <v>20593.738761464054</v>
      </c>
      <c r="Q840" s="54">
        <v>4.6005015540425509</v>
      </c>
      <c r="R840" s="54">
        <v>35268.17491757893</v>
      </c>
      <c r="S840" s="54">
        <v>0.34676131298126478</v>
      </c>
      <c r="T840" s="54">
        <v>14674.436156114876</v>
      </c>
      <c r="V840" s="69">
        <f t="shared" si="74"/>
        <v>830154.3094507932</v>
      </c>
      <c r="W840" s="69">
        <f t="shared" si="75"/>
        <v>884832.13589093124</v>
      </c>
      <c r="X840" s="69">
        <f t="shared" si="78"/>
        <v>54677.82644013808</v>
      </c>
      <c r="Z840" s="68">
        <f t="shared" si="76"/>
        <v>0</v>
      </c>
      <c r="AA840" s="68">
        <f t="shared" si="77"/>
        <v>1</v>
      </c>
      <c r="AB840" s="68">
        <f t="shared" si="79"/>
        <v>1</v>
      </c>
    </row>
    <row r="841" spans="1:28" x14ac:dyDescent="0.25">
      <c r="A841">
        <v>836</v>
      </c>
      <c r="C841" s="24">
        <v>3.0812975550330539E-6</v>
      </c>
      <c r="D841" s="24">
        <v>1.3627108103750452E-4</v>
      </c>
      <c r="E841" s="24">
        <v>1.959376879079322E-5</v>
      </c>
      <c r="F841" s="24">
        <v>1.2275255032767607E-4</v>
      </c>
      <c r="G841" s="24">
        <v>0.67736374241209174</v>
      </c>
      <c r="H841" s="24">
        <v>0.26427057749171312</v>
      </c>
      <c r="I841" s="53">
        <v>1904.9419076536274</v>
      </c>
      <c r="J841" s="53">
        <v>4604.619395420933</v>
      </c>
      <c r="K841" s="24">
        <v>0.62871630200694872</v>
      </c>
      <c r="L841" s="24">
        <v>0.74601009228074489</v>
      </c>
      <c r="M841" s="24">
        <v>0.88976416843587891</v>
      </c>
      <c r="O841" s="53">
        <v>3.5187706660663642</v>
      </c>
      <c r="P841" s="54">
        <v>21436.506303566581</v>
      </c>
      <c r="Q841" s="54">
        <v>3.6875192750300205</v>
      </c>
      <c r="R841" s="54">
        <v>36905.504508035709</v>
      </c>
      <c r="S841" s="54">
        <v>0.16874860896365629</v>
      </c>
      <c r="T841" s="54">
        <v>15468.998204469128</v>
      </c>
      <c r="V841" s="69">
        <f t="shared" si="74"/>
        <v>682317.62690970628</v>
      </c>
      <c r="W841" s="69">
        <f t="shared" si="75"/>
        <v>700598.35049796838</v>
      </c>
      <c r="X841" s="69">
        <f t="shared" si="78"/>
        <v>18280.723588262132</v>
      </c>
      <c r="Z841" s="68">
        <f t="shared" si="76"/>
        <v>0</v>
      </c>
      <c r="AA841" s="68">
        <f t="shared" si="77"/>
        <v>1</v>
      </c>
      <c r="AB841" s="68">
        <f t="shared" si="79"/>
        <v>1</v>
      </c>
    </row>
    <row r="842" spans="1:28" x14ac:dyDescent="0.25">
      <c r="A842">
        <v>837</v>
      </c>
      <c r="C842" s="24">
        <v>6.9194310750219258E-6</v>
      </c>
      <c r="D842" s="24">
        <v>5.5902635349592833E-3</v>
      </c>
      <c r="E842" s="24">
        <v>1.7530432768139386E-63</v>
      </c>
      <c r="F842" s="24">
        <v>9.3841694326357583E-7</v>
      </c>
      <c r="G842" s="24">
        <v>0.55898492990225168</v>
      </c>
      <c r="H842" s="24">
        <v>0.26827864764674869</v>
      </c>
      <c r="I842" s="53">
        <v>1702.4463297618395</v>
      </c>
      <c r="J842" s="53">
        <v>4467.2198149021724</v>
      </c>
      <c r="K842" s="24">
        <v>0.66260079017181106</v>
      </c>
      <c r="L842" s="24">
        <v>0.78456625826340465</v>
      </c>
      <c r="M842" s="24">
        <v>0.88899670903572847</v>
      </c>
      <c r="O842" s="53">
        <v>3.7766836741674723</v>
      </c>
      <c r="P842" s="54">
        <v>16809.938724779549</v>
      </c>
      <c r="Q842" s="54">
        <v>3.8818683678311707</v>
      </c>
      <c r="R842" s="54">
        <v>41921.427499114543</v>
      </c>
      <c r="S842" s="54">
        <v>0.10518469366369843</v>
      </c>
      <c r="T842" s="54">
        <v>25111.488774334994</v>
      </c>
      <c r="V842" s="69">
        <f t="shared" ref="V842:V905" si="80">O842*cRatio-P842</f>
        <v>738526.79610871489</v>
      </c>
      <c r="W842" s="69">
        <f t="shared" ref="W842:W905" si="81">Q842*cRatio-R842</f>
        <v>734452.24606711965</v>
      </c>
      <c r="X842" s="69">
        <f t="shared" si="78"/>
        <v>-4074.5500415953102</v>
      </c>
      <c r="Z842" s="68">
        <f t="shared" ref="Z842:Z905" si="82">IF(MAX(V842:W842)=V842,1,0)</f>
        <v>1</v>
      </c>
      <c r="AA842" s="68">
        <f t="shared" ref="AA842:AA905" si="83">IF(MAX(V842:W842)=W842,1,0)</f>
        <v>0</v>
      </c>
      <c r="AB842" s="68">
        <f t="shared" si="79"/>
        <v>0</v>
      </c>
    </row>
    <row r="843" spans="1:28" x14ac:dyDescent="0.25">
      <c r="A843">
        <v>838</v>
      </c>
      <c r="C843" s="24">
        <v>6.9810331409132636E-10</v>
      </c>
      <c r="D843" s="24">
        <v>6.1289340181468477E-3</v>
      </c>
      <c r="E843" s="24">
        <v>3.1702519211679766E-32</v>
      </c>
      <c r="F843" s="24">
        <v>9.7459978522417699E-22</v>
      </c>
      <c r="G843" s="24">
        <v>0.60611347604293664</v>
      </c>
      <c r="H843" s="24">
        <v>0.26226251878920837</v>
      </c>
      <c r="I843" s="53">
        <v>2598.2226775606068</v>
      </c>
      <c r="J843" s="53">
        <v>4720.632976623082</v>
      </c>
      <c r="K843" s="24">
        <v>0.65435690502014932</v>
      </c>
      <c r="L843" s="24">
        <v>0.9447634235462633</v>
      </c>
      <c r="M843" s="24">
        <v>0.83033582766253367</v>
      </c>
      <c r="O843" s="53">
        <v>4.3134949255352621</v>
      </c>
      <c r="P843" s="54">
        <v>19172.683795073961</v>
      </c>
      <c r="Q843" s="54">
        <v>4.6162912862648344</v>
      </c>
      <c r="R843" s="54">
        <v>32533.637868930153</v>
      </c>
      <c r="S843" s="54">
        <v>0.30279636072957228</v>
      </c>
      <c r="T843" s="54">
        <v>13360.954073856192</v>
      </c>
      <c r="V843" s="69">
        <f t="shared" si="80"/>
        <v>843526.30131197837</v>
      </c>
      <c r="W843" s="69">
        <f t="shared" si="81"/>
        <v>890724.61938403675</v>
      </c>
      <c r="X843" s="69">
        <f t="shared" si="78"/>
        <v>47198.31807205826</v>
      </c>
      <c r="Z843" s="68">
        <f t="shared" si="82"/>
        <v>0</v>
      </c>
      <c r="AA843" s="68">
        <f t="shared" si="83"/>
        <v>1</v>
      </c>
      <c r="AB843" s="68">
        <f t="shared" si="79"/>
        <v>1</v>
      </c>
    </row>
    <row r="844" spans="1:28" x14ac:dyDescent="0.25">
      <c r="A844">
        <v>839</v>
      </c>
      <c r="C844" s="24">
        <v>4.0151593632006184E-5</v>
      </c>
      <c r="D844" s="24">
        <v>1.8466926721888433E-3</v>
      </c>
      <c r="E844" s="24">
        <v>7.2726521513910569E-5</v>
      </c>
      <c r="F844" s="24">
        <v>1.9876537149581825E-23</v>
      </c>
      <c r="G844" s="24">
        <v>0.68793992446345076</v>
      </c>
      <c r="H844" s="24">
        <v>0.30471310943784691</v>
      </c>
      <c r="I844" s="53">
        <v>1790.6686356924315</v>
      </c>
      <c r="J844" s="53">
        <v>4420.7173412573102</v>
      </c>
      <c r="K844" s="24">
        <v>0.64135196239110148</v>
      </c>
      <c r="L844" s="24">
        <v>0.98163475703728498</v>
      </c>
      <c r="M844" s="24">
        <v>0.94113211606614589</v>
      </c>
      <c r="O844" s="53">
        <v>4.2728688843394673</v>
      </c>
      <c r="P844" s="54">
        <v>19590.166928483512</v>
      </c>
      <c r="Q844" s="54">
        <v>4.7589439800107733</v>
      </c>
      <c r="R844" s="54">
        <v>44230.816508441261</v>
      </c>
      <c r="S844" s="54">
        <v>0.48607509567130602</v>
      </c>
      <c r="T844" s="54">
        <v>24640.64957995775</v>
      </c>
      <c r="V844" s="69">
        <f t="shared" si="80"/>
        <v>834983.60993940989</v>
      </c>
      <c r="W844" s="69">
        <f t="shared" si="81"/>
        <v>907557.97949371347</v>
      </c>
      <c r="X844" s="69">
        <f t="shared" si="78"/>
        <v>72574.369554303456</v>
      </c>
      <c r="Z844" s="68">
        <f t="shared" si="82"/>
        <v>0</v>
      </c>
      <c r="AA844" s="68">
        <f t="shared" si="83"/>
        <v>1</v>
      </c>
      <c r="AB844" s="68">
        <f t="shared" si="79"/>
        <v>1</v>
      </c>
    </row>
    <row r="845" spans="1:28" x14ac:dyDescent="0.25">
      <c r="A845">
        <v>840</v>
      </c>
      <c r="C845" s="24">
        <v>2.7254450459048917E-6</v>
      </c>
      <c r="D845" s="24">
        <v>3.2106280093662232E-3</v>
      </c>
      <c r="E845" s="24">
        <v>2.2981923970877283E-5</v>
      </c>
      <c r="F845" s="24">
        <v>1.8609968343646924E-23</v>
      </c>
      <c r="G845" s="24">
        <v>0.47684594379438849</v>
      </c>
      <c r="H845" s="24">
        <v>0.21392080066400609</v>
      </c>
      <c r="I845" s="53">
        <v>2202.9628796356137</v>
      </c>
      <c r="J845" s="53">
        <v>5938.9142239484945</v>
      </c>
      <c r="K845" s="24">
        <v>0.7211813740468962</v>
      </c>
      <c r="L845" s="24">
        <v>0.90760953112310483</v>
      </c>
      <c r="M845" s="24">
        <v>0.9200084631590395</v>
      </c>
      <c r="O845" s="53">
        <v>4.372147333591915</v>
      </c>
      <c r="P845" s="54">
        <v>11355.22595768646</v>
      </c>
      <c r="Q845" s="54">
        <v>4.4875759204164574</v>
      </c>
      <c r="R845" s="54">
        <v>28754.101915885993</v>
      </c>
      <c r="S845" s="54">
        <v>0.11542858682454238</v>
      </c>
      <c r="T845" s="54">
        <v>17398.875958199533</v>
      </c>
      <c r="V845" s="69">
        <f t="shared" si="80"/>
        <v>863074.24076069659</v>
      </c>
      <c r="W845" s="69">
        <f t="shared" si="81"/>
        <v>868761.0821674054</v>
      </c>
      <c r="X845" s="69">
        <f t="shared" si="78"/>
        <v>5686.8414067089434</v>
      </c>
      <c r="Z845" s="68">
        <f t="shared" si="82"/>
        <v>0</v>
      </c>
      <c r="AA845" s="68">
        <f t="shared" si="83"/>
        <v>1</v>
      </c>
      <c r="AB845" s="68">
        <f t="shared" si="79"/>
        <v>1</v>
      </c>
    </row>
    <row r="846" spans="1:28" x14ac:dyDescent="0.25">
      <c r="A846">
        <v>841</v>
      </c>
      <c r="C846" s="24">
        <v>3.6017152115576101E-3</v>
      </c>
      <c r="D846" s="24">
        <v>2.093301721792673E-3</v>
      </c>
      <c r="E846" s="24">
        <v>1.1193067952325173E-28</v>
      </c>
      <c r="F846" s="24">
        <v>2.2572198137495312E-40</v>
      </c>
      <c r="G846" s="24">
        <v>0.56261000541520412</v>
      </c>
      <c r="H846" s="24">
        <v>0.30648585989945554</v>
      </c>
      <c r="I846" s="53">
        <v>1896.9381392642219</v>
      </c>
      <c r="J846" s="53">
        <v>6712.5388460787217</v>
      </c>
      <c r="K846" s="24">
        <v>0.58279313990165016</v>
      </c>
      <c r="L846" s="24">
        <v>0.87362060620841786</v>
      </c>
      <c r="M846" s="24">
        <v>0.75319683090817768</v>
      </c>
      <c r="O846" s="53">
        <v>4.0113470918749838</v>
      </c>
      <c r="P846" s="54">
        <v>19761.128642198728</v>
      </c>
      <c r="Q846" s="54">
        <v>4.2382675019990561</v>
      </c>
      <c r="R846" s="54">
        <v>34867.834229403197</v>
      </c>
      <c r="S846" s="54">
        <v>0.22692041012407227</v>
      </c>
      <c r="T846" s="54">
        <v>15106.705587204469</v>
      </c>
      <c r="V846" s="69">
        <f t="shared" si="80"/>
        <v>782508.289732798</v>
      </c>
      <c r="W846" s="69">
        <f t="shared" si="81"/>
        <v>812785.66617040802</v>
      </c>
      <c r="X846" s="69">
        <f t="shared" si="78"/>
        <v>30277.376437609983</v>
      </c>
      <c r="Z846" s="68">
        <f t="shared" si="82"/>
        <v>0</v>
      </c>
      <c r="AA846" s="68">
        <f t="shared" si="83"/>
        <v>1</v>
      </c>
      <c r="AB846" s="68">
        <f t="shared" si="79"/>
        <v>1</v>
      </c>
    </row>
    <row r="847" spans="1:28" x14ac:dyDescent="0.25">
      <c r="A847">
        <v>842</v>
      </c>
      <c r="C847" s="24">
        <v>1.0099793258175692E-5</v>
      </c>
      <c r="D847" s="24">
        <v>3.2534819761833011E-4</v>
      </c>
      <c r="E847" s="24">
        <v>1.984077346861568E-10</v>
      </c>
      <c r="F847" s="24">
        <v>7.6827433304060833E-14</v>
      </c>
      <c r="G847" s="24">
        <v>0.68421887855144825</v>
      </c>
      <c r="H847" s="24">
        <v>0.29610438162945585</v>
      </c>
      <c r="I847" s="53">
        <v>1704.4388697041516</v>
      </c>
      <c r="J847" s="53">
        <v>5579.8466487363039</v>
      </c>
      <c r="K847" s="24">
        <v>0.58780573180263818</v>
      </c>
      <c r="L847" s="24">
        <v>0.85631377373493522</v>
      </c>
      <c r="M847" s="24">
        <v>0.78551041277783074</v>
      </c>
      <c r="O847" s="53">
        <v>3.7870169833896554</v>
      </c>
      <c r="P847" s="54">
        <v>22664.748630636786</v>
      </c>
      <c r="Q847" s="54">
        <v>4.1687240975442412</v>
      </c>
      <c r="R847" s="54">
        <v>35178.298439251877</v>
      </c>
      <c r="S847" s="54">
        <v>0.3817071141545858</v>
      </c>
      <c r="T847" s="54">
        <v>12513.549808615091</v>
      </c>
      <c r="V847" s="69">
        <f t="shared" si="80"/>
        <v>734738.64804729423</v>
      </c>
      <c r="W847" s="69">
        <f t="shared" si="81"/>
        <v>798566.52106959641</v>
      </c>
      <c r="X847" s="69">
        <f t="shared" si="78"/>
        <v>63827.873022302068</v>
      </c>
      <c r="Z847" s="68">
        <f t="shared" si="82"/>
        <v>0</v>
      </c>
      <c r="AA847" s="68">
        <f t="shared" si="83"/>
        <v>1</v>
      </c>
      <c r="AB847" s="68">
        <f t="shared" si="79"/>
        <v>1</v>
      </c>
    </row>
    <row r="848" spans="1:28" x14ac:dyDescent="0.25">
      <c r="A848">
        <v>843</v>
      </c>
      <c r="C848" s="24">
        <v>6.9102244289694189E-14</v>
      </c>
      <c r="D848" s="24">
        <v>6.0799242023410471E-3</v>
      </c>
      <c r="E848" s="24">
        <v>9.55759542148407E-38</v>
      </c>
      <c r="F848" s="24">
        <v>5.3924712785671674E-22</v>
      </c>
      <c r="G848" s="24">
        <v>0.54367460034919723</v>
      </c>
      <c r="H848" s="24">
        <v>0.24114113706197515</v>
      </c>
      <c r="I848" s="53">
        <v>1849.5616931263428</v>
      </c>
      <c r="J848" s="53">
        <v>5143.5061714078947</v>
      </c>
      <c r="K848" s="24">
        <v>0.73847816549739953</v>
      </c>
      <c r="L848" s="24">
        <v>0.92516290111716826</v>
      </c>
      <c r="M848" s="24">
        <v>0.8825639964088936</v>
      </c>
      <c r="O848" s="53">
        <v>4.4139598002515692</v>
      </c>
      <c r="P848" s="54">
        <v>12596.136574029673</v>
      </c>
      <c r="Q848" s="54">
        <v>4.5649422906863748</v>
      </c>
      <c r="R848" s="54">
        <v>33676.212549291653</v>
      </c>
      <c r="S848" s="54">
        <v>0.15098249043480561</v>
      </c>
      <c r="T848" s="54">
        <v>21080.075975261978</v>
      </c>
      <c r="V848" s="69">
        <f t="shared" si="80"/>
        <v>870195.82347628416</v>
      </c>
      <c r="W848" s="69">
        <f t="shared" si="81"/>
        <v>879312.24558798329</v>
      </c>
      <c r="X848" s="69">
        <f t="shared" si="78"/>
        <v>9116.422111699143</v>
      </c>
      <c r="Z848" s="68">
        <f t="shared" si="82"/>
        <v>0</v>
      </c>
      <c r="AA848" s="68">
        <f t="shared" si="83"/>
        <v>1</v>
      </c>
      <c r="AB848" s="68">
        <f t="shared" si="79"/>
        <v>1</v>
      </c>
    </row>
    <row r="849" spans="1:28" x14ac:dyDescent="0.25">
      <c r="A849">
        <v>844</v>
      </c>
      <c r="C849" s="24">
        <v>6.4579543637705639E-9</v>
      </c>
      <c r="D849" s="24">
        <v>1.6916434234359734E-3</v>
      </c>
      <c r="E849" s="24">
        <v>1.9936238707292872E-32</v>
      </c>
      <c r="F849" s="24">
        <v>1.099141485779279E-25</v>
      </c>
      <c r="G849" s="24">
        <v>0.63909512130229285</v>
      </c>
      <c r="H849" s="24">
        <v>0.25685211284514964</v>
      </c>
      <c r="I849" s="53">
        <v>2354.1880652582768</v>
      </c>
      <c r="J849" s="53">
        <v>4657.2346568828407</v>
      </c>
      <c r="K849" s="24">
        <v>0.59739010403622883</v>
      </c>
      <c r="L849" s="24">
        <v>0.69994931393713233</v>
      </c>
      <c r="M849" s="24">
        <v>0.92966081405515766</v>
      </c>
      <c r="O849" s="53">
        <v>3.3374964833133363</v>
      </c>
      <c r="P849" s="54">
        <v>18448.204919299042</v>
      </c>
      <c r="Q849" s="54">
        <v>3.4667729067869808</v>
      </c>
      <c r="R849" s="54">
        <v>45005.906893036277</v>
      </c>
      <c r="S849" s="54">
        <v>0.12927642347364454</v>
      </c>
      <c r="T849" s="54">
        <v>26557.701973737236</v>
      </c>
      <c r="V849" s="69">
        <f t="shared" si="80"/>
        <v>649051.09174336831</v>
      </c>
      <c r="W849" s="69">
        <f t="shared" si="81"/>
        <v>648348.67446435988</v>
      </c>
      <c r="X849" s="69">
        <f t="shared" si="78"/>
        <v>-702.41727900832848</v>
      </c>
      <c r="Z849" s="68">
        <f t="shared" si="82"/>
        <v>1</v>
      </c>
      <c r="AA849" s="68">
        <f t="shared" si="83"/>
        <v>0</v>
      </c>
      <c r="AB849" s="68">
        <f t="shared" si="79"/>
        <v>0</v>
      </c>
    </row>
    <row r="850" spans="1:28" x14ac:dyDescent="0.25">
      <c r="A850">
        <v>845</v>
      </c>
      <c r="C850" s="24">
        <v>5.0249875568350046E-6</v>
      </c>
      <c r="D850" s="24">
        <v>2.5556092883382009E-3</v>
      </c>
      <c r="E850" s="24">
        <v>1.8167789505029952E-2</v>
      </c>
      <c r="F850" s="24">
        <v>3.5587310875939693E-11</v>
      </c>
      <c r="G850" s="24">
        <v>0.66623603051559233</v>
      </c>
      <c r="H850" s="24">
        <v>0.19995813423210507</v>
      </c>
      <c r="I850" s="53">
        <v>1998.7628260834185</v>
      </c>
      <c r="J850" s="53">
        <v>5075.4806140825103</v>
      </c>
      <c r="K850" s="24">
        <v>0.66394968069650073</v>
      </c>
      <c r="L850" s="24">
        <v>0.92992529673361179</v>
      </c>
      <c r="M850" s="24">
        <v>0.81705880505124173</v>
      </c>
      <c r="O850" s="53">
        <v>4.0230744425848703</v>
      </c>
      <c r="P850" s="54">
        <v>21671.506965582103</v>
      </c>
      <c r="Q850" s="54">
        <v>4.5814586366147143</v>
      </c>
      <c r="R850" s="54">
        <v>27476.74246060097</v>
      </c>
      <c r="S850" s="54">
        <v>0.55838419402984396</v>
      </c>
      <c r="T850" s="54">
        <v>5805.2354950188674</v>
      </c>
      <c r="V850" s="69">
        <f t="shared" si="80"/>
        <v>782943.38155139191</v>
      </c>
      <c r="W850" s="69">
        <f t="shared" si="81"/>
        <v>888814.98486234189</v>
      </c>
      <c r="X850" s="69">
        <f t="shared" si="78"/>
        <v>105871.60331094993</v>
      </c>
      <c r="Z850" s="68">
        <f t="shared" si="82"/>
        <v>0</v>
      </c>
      <c r="AA850" s="68">
        <f t="shared" si="83"/>
        <v>1</v>
      </c>
      <c r="AB850" s="68">
        <f t="shared" si="79"/>
        <v>1</v>
      </c>
    </row>
    <row r="851" spans="1:28" x14ac:dyDescent="0.25">
      <c r="A851">
        <v>846</v>
      </c>
      <c r="C851" s="24">
        <v>6.9330348667128172E-3</v>
      </c>
      <c r="D851" s="24">
        <v>1.3411879539589888E-3</v>
      </c>
      <c r="E851" s="24">
        <v>6.4005930425628367E-15</v>
      </c>
      <c r="F851" s="24">
        <v>5.0942420737732654E-16</v>
      </c>
      <c r="G851" s="24">
        <v>0.67420053616458475</v>
      </c>
      <c r="H851" s="24">
        <v>0.30981826960880732</v>
      </c>
      <c r="I851" s="53">
        <v>1986.8943018677369</v>
      </c>
      <c r="J851" s="53">
        <v>6046.2823201787887</v>
      </c>
      <c r="K851" s="24">
        <v>0.63968475258651358</v>
      </c>
      <c r="L851" s="24">
        <v>0.68862440888332788</v>
      </c>
      <c r="M851" s="24">
        <v>0.94788664078300311</v>
      </c>
      <c r="O851" s="53">
        <v>3.3737139721078542</v>
      </c>
      <c r="P851" s="54">
        <v>21950.403514924619</v>
      </c>
      <c r="Q851" s="54">
        <v>3.4235095799823894</v>
      </c>
      <c r="R851" s="54">
        <v>44214.023238216905</v>
      </c>
      <c r="S851" s="54">
        <v>4.9795607874535186E-2</v>
      </c>
      <c r="T851" s="54">
        <v>22263.619723292286</v>
      </c>
      <c r="V851" s="69">
        <f t="shared" si="80"/>
        <v>652792.39090664627</v>
      </c>
      <c r="W851" s="69">
        <f t="shared" si="81"/>
        <v>640487.89275826095</v>
      </c>
      <c r="X851" s="69">
        <f t="shared" si="78"/>
        <v>-12304.498148385248</v>
      </c>
      <c r="Z851" s="68">
        <f t="shared" si="82"/>
        <v>1</v>
      </c>
      <c r="AA851" s="68">
        <f t="shared" si="83"/>
        <v>0</v>
      </c>
      <c r="AB851" s="68">
        <f t="shared" si="79"/>
        <v>0</v>
      </c>
    </row>
    <row r="852" spans="1:28" x14ac:dyDescent="0.25">
      <c r="A852">
        <v>847</v>
      </c>
      <c r="C852" s="24">
        <v>1.1426517434055539E-3</v>
      </c>
      <c r="D852" s="24">
        <v>5.8892719754813575E-5</v>
      </c>
      <c r="E852" s="24">
        <v>9.4066947097961021E-17</v>
      </c>
      <c r="F852" s="24">
        <v>2.8506798554914825E-17</v>
      </c>
      <c r="G852" s="24">
        <v>0.54501728155713491</v>
      </c>
      <c r="H852" s="24">
        <v>0.23193684040140161</v>
      </c>
      <c r="I852" s="53">
        <v>1862.2307831536068</v>
      </c>
      <c r="J852" s="53">
        <v>5227.0518941522769</v>
      </c>
      <c r="K852" s="24">
        <v>0.83979631905346641</v>
      </c>
      <c r="L852" s="24">
        <v>0.88711644962637504</v>
      </c>
      <c r="M852" s="24">
        <v>0.8931886018468107</v>
      </c>
      <c r="O852" s="53">
        <v>4.3816829183991377</v>
      </c>
      <c r="P852" s="54">
        <v>13693.325826713686</v>
      </c>
      <c r="Q852" s="54">
        <v>4.4213044706211146</v>
      </c>
      <c r="R852" s="54">
        <v>38964.180848962445</v>
      </c>
      <c r="S852" s="54">
        <v>3.9621552221976941E-2</v>
      </c>
      <c r="T852" s="54">
        <v>25270.855022248761</v>
      </c>
      <c r="V852" s="69">
        <f t="shared" si="80"/>
        <v>862643.25785311381</v>
      </c>
      <c r="W852" s="69">
        <f t="shared" si="81"/>
        <v>845296.71327526052</v>
      </c>
      <c r="X852" s="69">
        <f t="shared" si="78"/>
        <v>-17346.544577853372</v>
      </c>
      <c r="Z852" s="68">
        <f t="shared" si="82"/>
        <v>1</v>
      </c>
      <c r="AA852" s="68">
        <f t="shared" si="83"/>
        <v>0</v>
      </c>
      <c r="AB852" s="68">
        <f t="shared" si="79"/>
        <v>0</v>
      </c>
    </row>
    <row r="853" spans="1:28" x14ac:dyDescent="0.25">
      <c r="A853">
        <v>848</v>
      </c>
      <c r="C853" s="24">
        <v>3.1624055724843272E-5</v>
      </c>
      <c r="D853" s="24">
        <v>3.0956104769901405E-3</v>
      </c>
      <c r="E853" s="24">
        <v>7.5101669327892751E-10</v>
      </c>
      <c r="F853" s="24">
        <v>1.7891772917888506E-22</v>
      </c>
      <c r="G853" s="24">
        <v>0.64362607678021544</v>
      </c>
      <c r="H853" s="24">
        <v>0.35423822216262912</v>
      </c>
      <c r="I853" s="53">
        <v>1684.1908327691092</v>
      </c>
      <c r="J853" s="53">
        <v>6810.6629953183265</v>
      </c>
      <c r="K853" s="24">
        <v>0.76801894625438449</v>
      </c>
      <c r="L853" s="24">
        <v>0.89144382723107451</v>
      </c>
      <c r="M853" s="24">
        <v>0.94161766484476284</v>
      </c>
      <c r="O853" s="53">
        <v>4.2589443850701638</v>
      </c>
      <c r="P853" s="54">
        <v>17077.868872341998</v>
      </c>
      <c r="Q853" s="54">
        <v>4.3909624060916075</v>
      </c>
      <c r="R853" s="54">
        <v>39719.91552171309</v>
      </c>
      <c r="S853" s="54">
        <v>0.13201802102144367</v>
      </c>
      <c r="T853" s="54">
        <v>22642.046649371092</v>
      </c>
      <c r="V853" s="69">
        <f t="shared" si="80"/>
        <v>834711.00814169075</v>
      </c>
      <c r="W853" s="69">
        <f t="shared" si="81"/>
        <v>838472.56569660839</v>
      </c>
      <c r="X853" s="69">
        <f t="shared" si="78"/>
        <v>3761.5575549176428</v>
      </c>
      <c r="Z853" s="68">
        <f t="shared" si="82"/>
        <v>0</v>
      </c>
      <c r="AA853" s="68">
        <f t="shared" si="83"/>
        <v>1</v>
      </c>
      <c r="AB853" s="68">
        <f t="shared" si="79"/>
        <v>1</v>
      </c>
    </row>
    <row r="854" spans="1:28" x14ac:dyDescent="0.25">
      <c r="A854">
        <v>849</v>
      </c>
      <c r="C854" s="24">
        <v>4.4397212815106002E-4</v>
      </c>
      <c r="D854" s="24">
        <v>4.7156306269797721E-3</v>
      </c>
      <c r="E854" s="24">
        <v>1.2611870519482724E-34</v>
      </c>
      <c r="F854" s="24">
        <v>9.717359139571613E-10</v>
      </c>
      <c r="G854" s="24">
        <v>0.76048386965245263</v>
      </c>
      <c r="H854" s="24">
        <v>0.20175705859737858</v>
      </c>
      <c r="I854" s="53">
        <v>1946.9350123715567</v>
      </c>
      <c r="J854" s="53">
        <v>5040.8674578471491</v>
      </c>
      <c r="K854" s="24">
        <v>0.57946013236379801</v>
      </c>
      <c r="L854" s="24">
        <v>0.84936846178446257</v>
      </c>
      <c r="M854" s="24">
        <v>0.69694764624169592</v>
      </c>
      <c r="O854" s="53">
        <v>3.6070993452148383</v>
      </c>
      <c r="P854" s="54">
        <v>26064.989076260914</v>
      </c>
      <c r="Q854" s="54">
        <v>4.1743707579693909</v>
      </c>
      <c r="R854" s="54">
        <v>27897.756082900098</v>
      </c>
      <c r="S854" s="54">
        <v>0.56727141275455262</v>
      </c>
      <c r="T854" s="54">
        <v>1832.7670066391838</v>
      </c>
      <c r="V854" s="69">
        <f t="shared" si="80"/>
        <v>695354.87996670674</v>
      </c>
      <c r="W854" s="69">
        <f t="shared" si="81"/>
        <v>806976.39551097807</v>
      </c>
      <c r="X854" s="69">
        <f t="shared" si="78"/>
        <v>111621.51554427133</v>
      </c>
      <c r="Z854" s="68">
        <f t="shared" si="82"/>
        <v>0</v>
      </c>
      <c r="AA854" s="68">
        <f t="shared" si="83"/>
        <v>1</v>
      </c>
      <c r="AB854" s="68">
        <f t="shared" si="79"/>
        <v>1</v>
      </c>
    </row>
    <row r="855" spans="1:28" x14ac:dyDescent="0.25">
      <c r="A855">
        <v>850</v>
      </c>
      <c r="C855" s="24">
        <v>1.8143408559916183E-6</v>
      </c>
      <c r="D855" s="24">
        <v>7.7148627343086754E-5</v>
      </c>
      <c r="E855" s="24">
        <v>4.1921898679752552E-15</v>
      </c>
      <c r="F855" s="24">
        <v>1.3858814096323613E-10</v>
      </c>
      <c r="G855" s="24">
        <v>0.6901620692757453</v>
      </c>
      <c r="H855" s="24">
        <v>0.29282368075232112</v>
      </c>
      <c r="I855" s="53">
        <v>2561.7329170518706</v>
      </c>
      <c r="J855" s="53">
        <v>5781.3421985263549</v>
      </c>
      <c r="K855" s="24">
        <v>0.63806944768312057</v>
      </c>
      <c r="L855" s="24">
        <v>0.96649616786239367</v>
      </c>
      <c r="M855" s="24">
        <v>0.81932477684202265</v>
      </c>
      <c r="O855" s="53">
        <v>4.2154637101576924</v>
      </c>
      <c r="P855" s="54">
        <v>25442.627755018068</v>
      </c>
      <c r="Q855" s="54">
        <v>4.6967068492821014</v>
      </c>
      <c r="R855" s="54">
        <v>46131.80832122545</v>
      </c>
      <c r="S855" s="54">
        <v>0.48124313912440897</v>
      </c>
      <c r="T855" s="54">
        <v>20689.180566207382</v>
      </c>
      <c r="V855" s="69">
        <f t="shared" si="80"/>
        <v>817650.11427652044</v>
      </c>
      <c r="W855" s="69">
        <f t="shared" si="81"/>
        <v>893209.56153519487</v>
      </c>
      <c r="X855" s="69">
        <f t="shared" si="78"/>
        <v>75559.447258674423</v>
      </c>
      <c r="Z855" s="68">
        <f t="shared" si="82"/>
        <v>0</v>
      </c>
      <c r="AA855" s="68">
        <f t="shared" si="83"/>
        <v>1</v>
      </c>
      <c r="AB855" s="68">
        <f t="shared" si="79"/>
        <v>1</v>
      </c>
    </row>
    <row r="856" spans="1:28" x14ac:dyDescent="0.25">
      <c r="A856">
        <v>851</v>
      </c>
      <c r="C856" s="24">
        <v>1.4216348800388801E-4</v>
      </c>
      <c r="D856" s="24">
        <v>1.1209442331937525E-3</v>
      </c>
      <c r="E856" s="24">
        <v>2.1929569271605942E-11</v>
      </c>
      <c r="F856" s="24">
        <v>4.6191505365111851E-7</v>
      </c>
      <c r="G856" s="24">
        <v>0.60261464316100322</v>
      </c>
      <c r="H856" s="24">
        <v>0.33879965021305258</v>
      </c>
      <c r="I856" s="53">
        <v>2167.4436396337755</v>
      </c>
      <c r="J856" s="53">
        <v>6859.9044415762219</v>
      </c>
      <c r="K856" s="24">
        <v>0.52246367596442633</v>
      </c>
      <c r="L856" s="24">
        <v>0.95029207874638466</v>
      </c>
      <c r="M856" s="24">
        <v>0.92412846516982805</v>
      </c>
      <c r="O856" s="53">
        <v>4.1542046619284765</v>
      </c>
      <c r="P856" s="54">
        <v>17594.852782168626</v>
      </c>
      <c r="Q856" s="54">
        <v>4.5330171806521511</v>
      </c>
      <c r="R856" s="54">
        <v>43217.659116683528</v>
      </c>
      <c r="S856" s="54">
        <v>0.37881251872367461</v>
      </c>
      <c r="T856" s="54">
        <v>25622.806334514902</v>
      </c>
      <c r="V856" s="69">
        <f t="shared" si="80"/>
        <v>813246.07960352662</v>
      </c>
      <c r="W856" s="69">
        <f t="shared" si="81"/>
        <v>863385.77701374667</v>
      </c>
      <c r="X856" s="69">
        <f t="shared" si="78"/>
        <v>50139.697410220018</v>
      </c>
      <c r="Z856" s="68">
        <f t="shared" si="82"/>
        <v>0</v>
      </c>
      <c r="AA856" s="68">
        <f t="shared" si="83"/>
        <v>1</v>
      </c>
      <c r="AB856" s="68">
        <f t="shared" si="79"/>
        <v>1</v>
      </c>
    </row>
    <row r="857" spans="1:28" x14ac:dyDescent="0.25">
      <c r="A857">
        <v>852</v>
      </c>
      <c r="C857" s="24">
        <v>4.6130162634020852E-9</v>
      </c>
      <c r="D857" s="24">
        <v>3.5820863095346045E-3</v>
      </c>
      <c r="E857" s="24">
        <v>5.6171851893546276E-20</v>
      </c>
      <c r="F857" s="24">
        <v>3.6153279427752982E-25</v>
      </c>
      <c r="G857" s="24">
        <v>0.52554662836488575</v>
      </c>
      <c r="H857" s="24">
        <v>0.25403325316578962</v>
      </c>
      <c r="I857" s="53">
        <v>2334.3275001095535</v>
      </c>
      <c r="J857" s="53">
        <v>5214.2543588434919</v>
      </c>
      <c r="K857" s="24">
        <v>0.66589427620638431</v>
      </c>
      <c r="L857" s="24">
        <v>0.71871019372010936</v>
      </c>
      <c r="M857" s="24">
        <v>0.62022808561714127</v>
      </c>
      <c r="O857" s="53">
        <v>3.5373928891942232</v>
      </c>
      <c r="P857" s="54">
        <v>14605.390623408217</v>
      </c>
      <c r="Q857" s="54">
        <v>3.5733802896180742</v>
      </c>
      <c r="R857" s="54">
        <v>28979.987359195726</v>
      </c>
      <c r="S857" s="54">
        <v>3.5987400423850957E-2</v>
      </c>
      <c r="T857" s="54">
        <v>14374.596735787509</v>
      </c>
      <c r="V857" s="69">
        <f t="shared" si="80"/>
        <v>692873.18721543637</v>
      </c>
      <c r="W857" s="69">
        <f t="shared" si="81"/>
        <v>685696.07056441915</v>
      </c>
      <c r="X857" s="69">
        <f t="shared" si="78"/>
        <v>-7177.1166510173171</v>
      </c>
      <c r="Z857" s="68">
        <f t="shared" si="82"/>
        <v>1</v>
      </c>
      <c r="AA857" s="68">
        <f t="shared" si="83"/>
        <v>0</v>
      </c>
      <c r="AB857" s="68">
        <f t="shared" si="79"/>
        <v>0</v>
      </c>
    </row>
    <row r="858" spans="1:28" x14ac:dyDescent="0.25">
      <c r="A858">
        <v>853</v>
      </c>
      <c r="C858" s="24">
        <v>2.5147463363764944E-3</v>
      </c>
      <c r="D858" s="24">
        <v>2.3126033923452916E-3</v>
      </c>
      <c r="E858" s="24">
        <v>4.1112016013755692E-9</v>
      </c>
      <c r="F858" s="24">
        <v>1.9359751286243986E-43</v>
      </c>
      <c r="G858" s="24">
        <v>0.55728864392036992</v>
      </c>
      <c r="H858" s="24">
        <v>0.325966453925983</v>
      </c>
      <c r="I858" s="53">
        <v>2017.2427592233719</v>
      </c>
      <c r="J858" s="53">
        <v>5480.4891109834361</v>
      </c>
      <c r="K858" s="24">
        <v>0.77237471234865196</v>
      </c>
      <c r="L858" s="24">
        <v>0.96348014375204039</v>
      </c>
      <c r="M858" s="24">
        <v>0.96802953631911803</v>
      </c>
      <c r="O858" s="53">
        <v>4.5898650892392645</v>
      </c>
      <c r="P858" s="54">
        <v>15671.334746831353</v>
      </c>
      <c r="Q858" s="54">
        <v>4.7253916872778916</v>
      </c>
      <c r="R858" s="54">
        <v>49630.98108139306</v>
      </c>
      <c r="S858" s="54">
        <v>0.1355265980386271</v>
      </c>
      <c r="T858" s="54">
        <v>33959.646334561708</v>
      </c>
      <c r="V858" s="69">
        <f t="shared" si="80"/>
        <v>902301.68310102157</v>
      </c>
      <c r="W858" s="69">
        <f t="shared" si="81"/>
        <v>895447.35637418518</v>
      </c>
      <c r="X858" s="69">
        <f t="shared" si="78"/>
        <v>-6854.326726836287</v>
      </c>
      <c r="Z858" s="68">
        <f t="shared" si="82"/>
        <v>1</v>
      </c>
      <c r="AA858" s="68">
        <f t="shared" si="83"/>
        <v>0</v>
      </c>
      <c r="AB858" s="68">
        <f t="shared" si="79"/>
        <v>0</v>
      </c>
    </row>
    <row r="859" spans="1:28" x14ac:dyDescent="0.25">
      <c r="A859">
        <v>854</v>
      </c>
      <c r="C859" s="24">
        <v>5.4246791485923485E-4</v>
      </c>
      <c r="D859" s="24">
        <v>2.8536425590349379E-4</v>
      </c>
      <c r="E859" s="24">
        <v>1.7591341246537005E-29</v>
      </c>
      <c r="F859" s="24">
        <v>4.4853010194856324E-14</v>
      </c>
      <c r="G859" s="24">
        <v>0.47806683052484711</v>
      </c>
      <c r="H859" s="24">
        <v>0.40069595361728039</v>
      </c>
      <c r="I859" s="53">
        <v>1926.2172382304448</v>
      </c>
      <c r="J859" s="53">
        <v>3186.4904501661263</v>
      </c>
      <c r="K859" s="24">
        <v>0.60863351863746806</v>
      </c>
      <c r="L859" s="24">
        <v>0.76832977988072659</v>
      </c>
      <c r="M859" s="24">
        <v>0.80458200064559449</v>
      </c>
      <c r="O859" s="53">
        <v>3.6991818746685432</v>
      </c>
      <c r="P859" s="54">
        <v>15263.92666973057</v>
      </c>
      <c r="Q859" s="54">
        <v>3.7360534311932159</v>
      </c>
      <c r="R859" s="54">
        <v>48052.92603658927</v>
      </c>
      <c r="S859" s="54">
        <v>3.6871556524672666E-2</v>
      </c>
      <c r="T859" s="54">
        <v>32788.999366858698</v>
      </c>
      <c r="V859" s="69">
        <f t="shared" si="80"/>
        <v>724572.44826397812</v>
      </c>
      <c r="W859" s="69">
        <f t="shared" si="81"/>
        <v>699157.76020205382</v>
      </c>
      <c r="X859" s="69">
        <f t="shared" si="78"/>
        <v>-25414.688061924164</v>
      </c>
      <c r="Z859" s="68">
        <f t="shared" si="82"/>
        <v>1</v>
      </c>
      <c r="AA859" s="68">
        <f t="shared" si="83"/>
        <v>0</v>
      </c>
      <c r="AB859" s="68">
        <f t="shared" si="79"/>
        <v>0</v>
      </c>
    </row>
    <row r="860" spans="1:28" x14ac:dyDescent="0.25">
      <c r="A860">
        <v>855</v>
      </c>
      <c r="C860" s="24">
        <v>4.4954203508447516E-6</v>
      </c>
      <c r="D860" s="24">
        <v>2.8717640551539962E-4</v>
      </c>
      <c r="E860" s="24">
        <v>2.0668823698144489E-4</v>
      </c>
      <c r="F860" s="24">
        <v>2.2529492722668635E-17</v>
      </c>
      <c r="G860" s="24">
        <v>0.66245914283547536</v>
      </c>
      <c r="H860" s="24">
        <v>0.19553941013741738</v>
      </c>
      <c r="I860" s="53">
        <v>1544.8062854318468</v>
      </c>
      <c r="J860" s="53">
        <v>5117.7668456393449</v>
      </c>
      <c r="K860" s="24">
        <v>0.79941440365344196</v>
      </c>
      <c r="L860" s="24">
        <v>0.95832803335592809</v>
      </c>
      <c r="M860" s="24">
        <v>0.9274168911510331</v>
      </c>
      <c r="O860" s="53">
        <v>4.5176163169266692</v>
      </c>
      <c r="P860" s="54">
        <v>15217.214224804147</v>
      </c>
      <c r="Q860" s="54">
        <v>4.7529717443400772</v>
      </c>
      <c r="R860" s="54">
        <v>32852.836558885661</v>
      </c>
      <c r="S860" s="54">
        <v>0.23535542741340798</v>
      </c>
      <c r="T860" s="54">
        <v>17635.622334081512</v>
      </c>
      <c r="V860" s="69">
        <f t="shared" si="80"/>
        <v>888306.04916052963</v>
      </c>
      <c r="W860" s="69">
        <f t="shared" si="81"/>
        <v>917741.51230912982</v>
      </c>
      <c r="X860" s="69">
        <f t="shared" si="78"/>
        <v>29435.463148600087</v>
      </c>
      <c r="Z860" s="68">
        <f t="shared" si="82"/>
        <v>0</v>
      </c>
      <c r="AA860" s="68">
        <f t="shared" si="83"/>
        <v>1</v>
      </c>
      <c r="AB860" s="68">
        <f t="shared" si="79"/>
        <v>1</v>
      </c>
    </row>
    <row r="861" spans="1:28" x14ac:dyDescent="0.25">
      <c r="A861">
        <v>856</v>
      </c>
      <c r="C861" s="24">
        <v>2.6439084411218591E-7</v>
      </c>
      <c r="D861" s="24">
        <v>1.0595224869767044E-3</v>
      </c>
      <c r="E861" s="24">
        <v>1.8453517602878833E-9</v>
      </c>
      <c r="F861" s="24">
        <v>2.7851034150039311E-6</v>
      </c>
      <c r="G861" s="24">
        <v>0.56047110180804716</v>
      </c>
      <c r="H861" s="24">
        <v>0.31084503545564579</v>
      </c>
      <c r="I861" s="53">
        <v>1880.088293339405</v>
      </c>
      <c r="J861" s="53">
        <v>5195.3018334403214</v>
      </c>
      <c r="K861" s="24">
        <v>0.63738869758511385</v>
      </c>
      <c r="L861" s="24">
        <v>0.86371393809260799</v>
      </c>
      <c r="M861" s="24">
        <v>0.96241499339186598</v>
      </c>
      <c r="O861" s="53">
        <v>4.0459294477167322</v>
      </c>
      <c r="P861" s="54">
        <v>18058.427744050579</v>
      </c>
      <c r="Q861" s="54">
        <v>4.2174559975881323</v>
      </c>
      <c r="R861" s="54">
        <v>51773.303776327069</v>
      </c>
      <c r="S861" s="54">
        <v>0.17152654987140004</v>
      </c>
      <c r="T861" s="54">
        <v>33714.876032276487</v>
      </c>
      <c r="V861" s="69">
        <f t="shared" si="80"/>
        <v>791127.46179929585</v>
      </c>
      <c r="W861" s="69">
        <f t="shared" si="81"/>
        <v>791717.89574129938</v>
      </c>
      <c r="X861" s="69">
        <f t="shared" si="78"/>
        <v>590.43394200351759</v>
      </c>
      <c r="Z861" s="68">
        <f t="shared" si="82"/>
        <v>0</v>
      </c>
      <c r="AA861" s="68">
        <f t="shared" si="83"/>
        <v>1</v>
      </c>
      <c r="AB861" s="68">
        <f t="shared" si="79"/>
        <v>1</v>
      </c>
    </row>
    <row r="862" spans="1:28" x14ac:dyDescent="0.25">
      <c r="A862">
        <v>857</v>
      </c>
      <c r="C862" s="24">
        <v>6.0445327891998191E-2</v>
      </c>
      <c r="D862" s="24">
        <v>5.7081341771773408E-4</v>
      </c>
      <c r="E862" s="24">
        <v>1.2356718685998747E-2</v>
      </c>
      <c r="F862" s="24">
        <v>4.6812132770864267E-21</v>
      </c>
      <c r="G862" s="24">
        <v>0.36264228441439605</v>
      </c>
      <c r="H862" s="24">
        <v>0.21999158345009917</v>
      </c>
      <c r="I862" s="53">
        <v>2120.0752253725145</v>
      </c>
      <c r="J862" s="53">
        <v>5040.2165874888533</v>
      </c>
      <c r="K862" s="24">
        <v>0.57003761774734629</v>
      </c>
      <c r="L862" s="24">
        <v>0.9047519397464352</v>
      </c>
      <c r="M862" s="24">
        <v>0.94822170335193845</v>
      </c>
      <c r="O862" s="53">
        <v>4.2750047481069204</v>
      </c>
      <c r="P862" s="54">
        <v>10347.992794940459</v>
      </c>
      <c r="Q862" s="54">
        <v>4.4295564568488857</v>
      </c>
      <c r="R862" s="54">
        <v>29451.148824495383</v>
      </c>
      <c r="S862" s="54">
        <v>0.15455170874196522</v>
      </c>
      <c r="T862" s="54">
        <v>19103.156029554924</v>
      </c>
      <c r="V862" s="69">
        <f t="shared" si="80"/>
        <v>844652.95682644355</v>
      </c>
      <c r="W862" s="69">
        <f t="shared" si="81"/>
        <v>856460.14254528179</v>
      </c>
      <c r="X862" s="69">
        <f t="shared" si="78"/>
        <v>11807.185718838118</v>
      </c>
      <c r="Z862" s="68">
        <f t="shared" si="82"/>
        <v>0</v>
      </c>
      <c r="AA862" s="68">
        <f t="shared" si="83"/>
        <v>1</v>
      </c>
      <c r="AB862" s="68">
        <f t="shared" si="79"/>
        <v>1</v>
      </c>
    </row>
    <row r="863" spans="1:28" x14ac:dyDescent="0.25">
      <c r="A863">
        <v>858</v>
      </c>
      <c r="C863" s="24">
        <v>7.3011117262988812E-4</v>
      </c>
      <c r="D863" s="24">
        <v>8.0299662310471989E-4</v>
      </c>
      <c r="E863" s="24">
        <v>3.1887839482862172E-28</v>
      </c>
      <c r="F863" s="24">
        <v>3.1884146310282947E-45</v>
      </c>
      <c r="G863" s="24">
        <v>0.71071251612597874</v>
      </c>
      <c r="H863" s="24">
        <v>0.22958708164675856</v>
      </c>
      <c r="I863" s="53">
        <v>1827.5833969440366</v>
      </c>
      <c r="J863" s="53">
        <v>5607.1633378240394</v>
      </c>
      <c r="K863" s="24">
        <v>0.74504736508309333</v>
      </c>
      <c r="L863" s="24">
        <v>0.96027264217105501</v>
      </c>
      <c r="M863" s="24">
        <v>0.82086375186009541</v>
      </c>
      <c r="O863" s="53">
        <v>4.3674327304173381</v>
      </c>
      <c r="P863" s="54">
        <v>20085.260139062277</v>
      </c>
      <c r="Q863" s="54">
        <v>4.7365826131566315</v>
      </c>
      <c r="R863" s="54">
        <v>27742.001371978702</v>
      </c>
      <c r="S863" s="54">
        <v>0.36914988273929339</v>
      </c>
      <c r="T863" s="54">
        <v>7656.7412329164254</v>
      </c>
      <c r="V863" s="69">
        <f t="shared" si="80"/>
        <v>853401.28594440536</v>
      </c>
      <c r="W863" s="69">
        <f t="shared" si="81"/>
        <v>919574.52125934768</v>
      </c>
      <c r="X863" s="69">
        <f t="shared" si="78"/>
        <v>66173.235314942256</v>
      </c>
      <c r="Z863" s="68">
        <f t="shared" si="82"/>
        <v>0</v>
      </c>
      <c r="AA863" s="68">
        <f t="shared" si="83"/>
        <v>1</v>
      </c>
      <c r="AB863" s="68">
        <f t="shared" si="79"/>
        <v>1</v>
      </c>
    </row>
    <row r="864" spans="1:28" x14ac:dyDescent="0.25">
      <c r="A864">
        <v>859</v>
      </c>
      <c r="C864" s="24">
        <v>5.0461294845327576E-4</v>
      </c>
      <c r="D864" s="24">
        <v>2.1710846255243998E-3</v>
      </c>
      <c r="E864" s="24">
        <v>4.3512026482437777E-38</v>
      </c>
      <c r="F864" s="24">
        <v>1.8223749176371484E-9</v>
      </c>
      <c r="G864" s="24">
        <v>0.42959116407195563</v>
      </c>
      <c r="H864" s="24">
        <v>0.30475653559934268</v>
      </c>
      <c r="I864" s="53">
        <v>2000.9885065891499</v>
      </c>
      <c r="J864" s="53">
        <v>5194.5754715287931</v>
      </c>
      <c r="K864" s="24">
        <v>0.53222564159684638</v>
      </c>
      <c r="L864" s="24">
        <v>0.86414897644814415</v>
      </c>
      <c r="M864" s="24">
        <v>0.73120686828805936</v>
      </c>
      <c r="O864" s="53">
        <v>4.0739206854861276</v>
      </c>
      <c r="P864" s="54">
        <v>9504.1032602818523</v>
      </c>
      <c r="Q864" s="54">
        <v>4.1737361701419395</v>
      </c>
      <c r="R864" s="54">
        <v>40959.416940171453</v>
      </c>
      <c r="S864" s="54">
        <v>9.9815484655811915E-2</v>
      </c>
      <c r="T864" s="54">
        <v>31455.313679889601</v>
      </c>
      <c r="V864" s="69">
        <f t="shared" si="80"/>
        <v>805280.03383694368</v>
      </c>
      <c r="W864" s="69">
        <f t="shared" si="81"/>
        <v>793787.81708821643</v>
      </c>
      <c r="X864" s="69">
        <f t="shared" si="78"/>
        <v>-11492.21674872722</v>
      </c>
      <c r="Z864" s="68">
        <f t="shared" si="82"/>
        <v>1</v>
      </c>
      <c r="AA864" s="68">
        <f t="shared" si="83"/>
        <v>0</v>
      </c>
      <c r="AB864" s="68">
        <f t="shared" si="79"/>
        <v>0</v>
      </c>
    </row>
    <row r="865" spans="1:28" x14ac:dyDescent="0.25">
      <c r="A865">
        <v>860</v>
      </c>
      <c r="C865" s="24">
        <v>5.4393292742143127E-8</v>
      </c>
      <c r="D865" s="24">
        <v>6.7912690377995585E-5</v>
      </c>
      <c r="E865" s="24">
        <v>2.6416463699956427E-3</v>
      </c>
      <c r="F865" s="24">
        <v>8.1046280797636427E-15</v>
      </c>
      <c r="G865" s="24">
        <v>0.61505298622432181</v>
      </c>
      <c r="H865" s="24">
        <v>0.21245617328809763</v>
      </c>
      <c r="I865" s="53">
        <v>2075.7686969010783</v>
      </c>
      <c r="J865" s="53">
        <v>5607.3588529949566</v>
      </c>
      <c r="K865" s="24">
        <v>0.60104823467964397</v>
      </c>
      <c r="L865" s="24">
        <v>0.90680850238065447</v>
      </c>
      <c r="M865" s="24">
        <v>0.86566897014911937</v>
      </c>
      <c r="O865" s="53">
        <v>4.0664628866528432</v>
      </c>
      <c r="P865" s="54">
        <v>18721.139797112639</v>
      </c>
      <c r="Q865" s="54">
        <v>4.4515763030554618</v>
      </c>
      <c r="R865" s="54">
        <v>36738.51077254484</v>
      </c>
      <c r="S865" s="54">
        <v>0.38511341640261865</v>
      </c>
      <c r="T865" s="54">
        <v>18017.370975432201</v>
      </c>
      <c r="V865" s="69">
        <f t="shared" si="80"/>
        <v>794571.43753345602</v>
      </c>
      <c r="W865" s="69">
        <f t="shared" si="81"/>
        <v>853576.74983854743</v>
      </c>
      <c r="X865" s="69">
        <f t="shared" si="78"/>
        <v>59005.312305091531</v>
      </c>
      <c r="Z865" s="68">
        <f t="shared" si="82"/>
        <v>0</v>
      </c>
      <c r="AA865" s="68">
        <f t="shared" si="83"/>
        <v>1</v>
      </c>
      <c r="AB865" s="68">
        <f t="shared" si="79"/>
        <v>1</v>
      </c>
    </row>
    <row r="866" spans="1:28" x14ac:dyDescent="0.25">
      <c r="A866">
        <v>861</v>
      </c>
      <c r="C866" s="24">
        <v>8.3087391298245716E-2</v>
      </c>
      <c r="D866" s="24">
        <v>9.3308839042086826E-4</v>
      </c>
      <c r="E866" s="24">
        <v>2.0669699285491561E-10</v>
      </c>
      <c r="F866" s="24">
        <v>2.0983215165415459E-14</v>
      </c>
      <c r="G866" s="24">
        <v>0.6521464053468865</v>
      </c>
      <c r="H866" s="24">
        <v>0.37385343145304495</v>
      </c>
      <c r="I866" s="53">
        <v>2206.7926102302936</v>
      </c>
      <c r="J866" s="53">
        <v>3616.8694541990162</v>
      </c>
      <c r="K866" s="24">
        <v>0.67336241937059915</v>
      </c>
      <c r="L866" s="24">
        <v>0.88834349682709179</v>
      </c>
      <c r="M866" s="24">
        <v>0.93693579484379941</v>
      </c>
      <c r="O866" s="53">
        <v>4.1250585824595181</v>
      </c>
      <c r="P866" s="54">
        <v>20459.356103960996</v>
      </c>
      <c r="Q866" s="54">
        <v>4.3146152575766044</v>
      </c>
      <c r="R866" s="54">
        <v>47934.98622145805</v>
      </c>
      <c r="S866" s="54">
        <v>0.18955667511708629</v>
      </c>
      <c r="T866" s="54">
        <v>27475.630117497054</v>
      </c>
      <c r="V866" s="69">
        <f t="shared" si="80"/>
        <v>804552.36038794264</v>
      </c>
      <c r="W866" s="69">
        <f t="shared" si="81"/>
        <v>814988.06529386283</v>
      </c>
      <c r="X866" s="69">
        <f t="shared" si="78"/>
        <v>10435.704905920207</v>
      </c>
      <c r="Z866" s="68">
        <f t="shared" si="82"/>
        <v>0</v>
      </c>
      <c r="AA866" s="68">
        <f t="shared" si="83"/>
        <v>1</v>
      </c>
      <c r="AB866" s="68">
        <f t="shared" si="79"/>
        <v>1</v>
      </c>
    </row>
    <row r="867" spans="1:28" x14ac:dyDescent="0.25">
      <c r="A867">
        <v>862</v>
      </c>
      <c r="C867" s="24">
        <v>1.5761105391625925E-5</v>
      </c>
      <c r="D867" s="24">
        <v>1.0903924055678749E-2</v>
      </c>
      <c r="E867" s="24">
        <v>2.862614694188814E-19</v>
      </c>
      <c r="F867" s="24">
        <v>1.668042831855602E-16</v>
      </c>
      <c r="G867" s="24">
        <v>0.53538326415677817</v>
      </c>
      <c r="H867" s="24">
        <v>0.31652972797013357</v>
      </c>
      <c r="I867" s="53">
        <v>1558.6532010645703</v>
      </c>
      <c r="J867" s="53">
        <v>5747.8136288244123</v>
      </c>
      <c r="K867" s="24">
        <v>0.73157783614540539</v>
      </c>
      <c r="L867" s="24">
        <v>0.87293981692940481</v>
      </c>
      <c r="M867" s="24">
        <v>0.77862234611674452</v>
      </c>
      <c r="O867" s="53">
        <v>4.2089587288229637</v>
      </c>
      <c r="P867" s="54">
        <v>15695.289487419599</v>
      </c>
      <c r="Q867" s="54">
        <v>4.2926103993752029</v>
      </c>
      <c r="R867" s="54">
        <v>38531.464773987253</v>
      </c>
      <c r="S867" s="54">
        <v>8.365167055223921E-2</v>
      </c>
      <c r="T867" s="54">
        <v>22836.175286567654</v>
      </c>
      <c r="V867" s="69">
        <f t="shared" si="80"/>
        <v>826096.45627717313</v>
      </c>
      <c r="W867" s="69">
        <f t="shared" si="81"/>
        <v>819990.61510105326</v>
      </c>
      <c r="X867" s="69">
        <f t="shared" si="78"/>
        <v>-6105.8411761198113</v>
      </c>
      <c r="Z867" s="68">
        <f t="shared" si="82"/>
        <v>1</v>
      </c>
      <c r="AA867" s="68">
        <f t="shared" si="83"/>
        <v>0</v>
      </c>
      <c r="AB867" s="68">
        <f t="shared" si="79"/>
        <v>0</v>
      </c>
    </row>
    <row r="868" spans="1:28" x14ac:dyDescent="0.25">
      <c r="A868">
        <v>863</v>
      </c>
      <c r="C868" s="24">
        <v>1.255369761566803E-5</v>
      </c>
      <c r="D868" s="24">
        <v>1.6512616381744377E-4</v>
      </c>
      <c r="E868" s="24">
        <v>8.5043083686286991E-13</v>
      </c>
      <c r="F868" s="24">
        <v>1.9823412101582764E-26</v>
      </c>
      <c r="G868" s="24">
        <v>0.59610071337826953</v>
      </c>
      <c r="H868" s="24">
        <v>0.285861252121692</v>
      </c>
      <c r="I868" s="53">
        <v>2228.9762315594166</v>
      </c>
      <c r="J868" s="53">
        <v>3824.631674929934</v>
      </c>
      <c r="K868" s="24">
        <v>0.66868083523679256</v>
      </c>
      <c r="L868" s="24">
        <v>0.88145280015324001</v>
      </c>
      <c r="M868" s="24">
        <v>0.90836226051143387</v>
      </c>
      <c r="O868" s="53">
        <v>4.116879595481775</v>
      </c>
      <c r="P868" s="54">
        <v>16300.855837544626</v>
      </c>
      <c r="Q868" s="54">
        <v>4.3222851157104465</v>
      </c>
      <c r="R868" s="54">
        <v>38035.352529126263</v>
      </c>
      <c r="S868" s="54">
        <v>0.20540552022867153</v>
      </c>
      <c r="T868" s="54">
        <v>21734.496691581637</v>
      </c>
      <c r="V868" s="69">
        <f t="shared" si="80"/>
        <v>807075.06325881032</v>
      </c>
      <c r="W868" s="69">
        <f t="shared" si="81"/>
        <v>826421.67061296303</v>
      </c>
      <c r="X868" s="69">
        <f t="shared" si="78"/>
        <v>19346.607354152668</v>
      </c>
      <c r="Z868" s="68">
        <f t="shared" si="82"/>
        <v>0</v>
      </c>
      <c r="AA868" s="68">
        <f t="shared" si="83"/>
        <v>1</v>
      </c>
      <c r="AB868" s="68">
        <f t="shared" si="79"/>
        <v>1</v>
      </c>
    </row>
    <row r="869" spans="1:28" x14ac:dyDescent="0.25">
      <c r="A869">
        <v>864</v>
      </c>
      <c r="C869" s="24">
        <v>2.6022270682776183E-3</v>
      </c>
      <c r="D869" s="24">
        <v>3.7730715485536637E-3</v>
      </c>
      <c r="E869" s="24">
        <v>1.2306513206517957E-14</v>
      </c>
      <c r="F869" s="24">
        <v>2.5757174171303632E-14</v>
      </c>
      <c r="G869" s="24">
        <v>0.47251661263775024</v>
      </c>
      <c r="H869" s="24">
        <v>0.1920600854503437</v>
      </c>
      <c r="I869" s="53">
        <v>2122.4957926919437</v>
      </c>
      <c r="J869" s="53">
        <v>4907.8068267820818</v>
      </c>
      <c r="K869" s="24">
        <v>0.68385332868415527</v>
      </c>
      <c r="L869" s="24">
        <v>0.85483573336200347</v>
      </c>
      <c r="M869" s="24">
        <v>0.90830222001516514</v>
      </c>
      <c r="O869" s="53">
        <v>4.1257095388197511</v>
      </c>
      <c r="P869" s="54">
        <v>9743.2400398619538</v>
      </c>
      <c r="Q869" s="54">
        <v>4.2347331695313084</v>
      </c>
      <c r="R869" s="54">
        <v>19903.70887374529</v>
      </c>
      <c r="S869" s="54">
        <v>0.1090236307115573</v>
      </c>
      <c r="T869" s="54">
        <v>10160.468833883337</v>
      </c>
      <c r="V869" s="69">
        <f t="shared" si="80"/>
        <v>815398.66772408818</v>
      </c>
      <c r="W869" s="69">
        <f t="shared" si="81"/>
        <v>827042.92503251636</v>
      </c>
      <c r="X869" s="69">
        <f t="shared" si="78"/>
        <v>11644.257308428121</v>
      </c>
      <c r="Z869" s="68">
        <f t="shared" si="82"/>
        <v>0</v>
      </c>
      <c r="AA869" s="68">
        <f t="shared" si="83"/>
        <v>1</v>
      </c>
      <c r="AB869" s="68">
        <f t="shared" si="79"/>
        <v>1</v>
      </c>
    </row>
    <row r="870" spans="1:28" x14ac:dyDescent="0.25">
      <c r="A870">
        <v>865</v>
      </c>
      <c r="C870" s="24">
        <v>3.4524565403535247E-10</v>
      </c>
      <c r="D870" s="24">
        <v>3.8280115438564126E-4</v>
      </c>
      <c r="E870" s="24">
        <v>6.5794228110861441E-3</v>
      </c>
      <c r="F870" s="24">
        <v>6.394244264025417E-31</v>
      </c>
      <c r="G870" s="24">
        <v>0.54047309314764647</v>
      </c>
      <c r="H870" s="24">
        <v>0.26762588629207928</v>
      </c>
      <c r="I870" s="53">
        <v>2413.6644107659863</v>
      </c>
      <c r="J870" s="53">
        <v>4762.7665701262458</v>
      </c>
      <c r="K870" s="24">
        <v>0.6320514392923291</v>
      </c>
      <c r="L870" s="24">
        <v>0.90426380714152432</v>
      </c>
      <c r="M870" s="24">
        <v>0.85539455165755118</v>
      </c>
      <c r="O870" s="53">
        <v>4.1657114509734248</v>
      </c>
      <c r="P870" s="54">
        <v>17731.815731326067</v>
      </c>
      <c r="Q870" s="54">
        <v>4.421864717755958</v>
      </c>
      <c r="R870" s="54">
        <v>41465.024438644788</v>
      </c>
      <c r="S870" s="54">
        <v>0.25615326678253325</v>
      </c>
      <c r="T870" s="54">
        <v>23733.208707318721</v>
      </c>
      <c r="V870" s="69">
        <f t="shared" si="80"/>
        <v>815410.47446335887</v>
      </c>
      <c r="W870" s="69">
        <f t="shared" si="81"/>
        <v>842907.91911254684</v>
      </c>
      <c r="X870" s="69">
        <f t="shared" si="78"/>
        <v>27497.444649187928</v>
      </c>
      <c r="Z870" s="68">
        <f t="shared" si="82"/>
        <v>0</v>
      </c>
      <c r="AA870" s="68">
        <f t="shared" si="83"/>
        <v>1</v>
      </c>
      <c r="AB870" s="68">
        <f t="shared" si="79"/>
        <v>1</v>
      </c>
    </row>
    <row r="871" spans="1:28" x14ac:dyDescent="0.25">
      <c r="A871">
        <v>866</v>
      </c>
      <c r="C871" s="24">
        <v>1.5517204394654982E-4</v>
      </c>
      <c r="D871" s="24">
        <v>1.7765667707093646E-3</v>
      </c>
      <c r="E871" s="24">
        <v>3.1814024601395374E-6</v>
      </c>
      <c r="F871" s="24">
        <v>7.926027228082333E-4</v>
      </c>
      <c r="G871" s="24">
        <v>0.5006554474469459</v>
      </c>
      <c r="H871" s="24">
        <v>0.23977297653162433</v>
      </c>
      <c r="I871" s="53">
        <v>2331.1684937845794</v>
      </c>
      <c r="J871" s="53">
        <v>5218.7196826103573</v>
      </c>
      <c r="K871" s="24">
        <v>0.52978124043690755</v>
      </c>
      <c r="L871" s="24">
        <v>0.80835551627507918</v>
      </c>
      <c r="M871" s="24">
        <v>0.89958723483788661</v>
      </c>
      <c r="O871" s="53">
        <v>3.7713511148929517</v>
      </c>
      <c r="P871" s="54">
        <v>11753.991748048384</v>
      </c>
      <c r="Q871" s="54">
        <v>3.9510363465296323</v>
      </c>
      <c r="R871" s="54">
        <v>34033.271577248895</v>
      </c>
      <c r="S871" s="54">
        <v>0.1796852316366806</v>
      </c>
      <c r="T871" s="54">
        <v>22279.27982920051</v>
      </c>
      <c r="V871" s="69">
        <f t="shared" si="80"/>
        <v>742516.23123054195</v>
      </c>
      <c r="W871" s="69">
        <f t="shared" si="81"/>
        <v>756173.99772867758</v>
      </c>
      <c r="X871" s="69">
        <f t="shared" si="78"/>
        <v>13657.766498135607</v>
      </c>
      <c r="Z871" s="68">
        <f t="shared" si="82"/>
        <v>0</v>
      </c>
      <c r="AA871" s="68">
        <f t="shared" si="83"/>
        <v>1</v>
      </c>
      <c r="AB871" s="68">
        <f t="shared" si="79"/>
        <v>1</v>
      </c>
    </row>
    <row r="872" spans="1:28" x14ac:dyDescent="0.25">
      <c r="A872">
        <v>867</v>
      </c>
      <c r="C872" s="24">
        <v>3.8647881946787255E-2</v>
      </c>
      <c r="D872" s="24">
        <v>6.2724367751653132E-3</v>
      </c>
      <c r="E872" s="24">
        <v>6.0854834504908695E-9</v>
      </c>
      <c r="F872" s="24">
        <v>1.0886453052361209E-68</v>
      </c>
      <c r="G872" s="24">
        <v>0.66802905834804416</v>
      </c>
      <c r="H872" s="24">
        <v>0.35154498218536046</v>
      </c>
      <c r="I872" s="53">
        <v>1473.7843377660929</v>
      </c>
      <c r="J872" s="53">
        <v>5599.9230459980117</v>
      </c>
      <c r="K872" s="24">
        <v>0.65331498500529461</v>
      </c>
      <c r="L872" s="24">
        <v>0.8464674404991227</v>
      </c>
      <c r="M872" s="24">
        <v>0.78856181828709238</v>
      </c>
      <c r="O872" s="53">
        <v>3.8734181265533199</v>
      </c>
      <c r="P872" s="54">
        <v>23935.303405273651</v>
      </c>
      <c r="Q872" s="54">
        <v>4.1256877063226689</v>
      </c>
      <c r="R872" s="54">
        <v>45950.972579174653</v>
      </c>
      <c r="S872" s="54">
        <v>0.25226957976934905</v>
      </c>
      <c r="T872" s="54">
        <v>22015.669173901002</v>
      </c>
      <c r="V872" s="69">
        <f t="shared" si="80"/>
        <v>750748.32190539024</v>
      </c>
      <c r="W872" s="69">
        <f t="shared" si="81"/>
        <v>779186.56868535909</v>
      </c>
      <c r="X872" s="69">
        <f t="shared" si="78"/>
        <v>28438.246779968806</v>
      </c>
      <c r="Z872" s="68">
        <f t="shared" si="82"/>
        <v>0</v>
      </c>
      <c r="AA872" s="68">
        <f t="shared" si="83"/>
        <v>1</v>
      </c>
      <c r="AB872" s="68">
        <f t="shared" si="79"/>
        <v>1</v>
      </c>
    </row>
    <row r="873" spans="1:28" x14ac:dyDescent="0.25">
      <c r="A873">
        <v>868</v>
      </c>
      <c r="C873" s="24">
        <v>3.1841151603684956E-10</v>
      </c>
      <c r="D873" s="24">
        <v>7.2344880931763944E-3</v>
      </c>
      <c r="E873" s="24">
        <v>8.1043703595518046E-5</v>
      </c>
      <c r="F873" s="24">
        <v>1.937493322595513E-35</v>
      </c>
      <c r="G873" s="24">
        <v>0.50163064332995266</v>
      </c>
      <c r="H873" s="24">
        <v>0.32949410201681451</v>
      </c>
      <c r="I873" s="53">
        <v>2020.2667286081562</v>
      </c>
      <c r="J873" s="53">
        <v>4692.2397593485193</v>
      </c>
      <c r="K873" s="24">
        <v>0.65452921490512106</v>
      </c>
      <c r="L873" s="24">
        <v>0.88710185573177913</v>
      </c>
      <c r="M873" s="24">
        <v>0.95981617124076957</v>
      </c>
      <c r="O873" s="53">
        <v>4.208269525490083</v>
      </c>
      <c r="P873" s="54">
        <v>12461.49382374621</v>
      </c>
      <c r="Q873" s="54">
        <v>4.3252030832670076</v>
      </c>
      <c r="R873" s="54">
        <v>43722.991710894268</v>
      </c>
      <c r="S873" s="54">
        <v>0.1169335577769246</v>
      </c>
      <c r="T873" s="54">
        <v>31261.497887148056</v>
      </c>
      <c r="V873" s="69">
        <f t="shared" si="80"/>
        <v>829192.41127427039</v>
      </c>
      <c r="W873" s="69">
        <f t="shared" si="81"/>
        <v>821317.62494250725</v>
      </c>
      <c r="X873" s="69">
        <f t="shared" si="78"/>
        <v>-7874.7863317631345</v>
      </c>
      <c r="Z873" s="68">
        <f t="shared" si="82"/>
        <v>1</v>
      </c>
      <c r="AA873" s="68">
        <f t="shared" si="83"/>
        <v>0</v>
      </c>
      <c r="AB873" s="68">
        <f t="shared" si="79"/>
        <v>0</v>
      </c>
    </row>
    <row r="874" spans="1:28" x14ac:dyDescent="0.25">
      <c r="A874">
        <v>869</v>
      </c>
      <c r="C874" s="24">
        <v>1.5581923109588836E-2</v>
      </c>
      <c r="D874" s="24">
        <v>1.2354349031027452E-3</v>
      </c>
      <c r="E874" s="24">
        <v>8.8205091420823223E-6</v>
      </c>
      <c r="F874" s="24">
        <v>8.2264480699600354E-39</v>
      </c>
      <c r="G874" s="24">
        <v>0.61843252761751999</v>
      </c>
      <c r="H874" s="24">
        <v>0.2426276054854094</v>
      </c>
      <c r="I874" s="53">
        <v>2118.83628091847</v>
      </c>
      <c r="J874" s="53">
        <v>4801.8807896440385</v>
      </c>
      <c r="K874" s="24">
        <v>0.66875364043322161</v>
      </c>
      <c r="L874" s="24">
        <v>0.92265119702474574</v>
      </c>
      <c r="M874" s="24">
        <v>0.89619219139151207</v>
      </c>
      <c r="O874" s="53">
        <v>4.2350875149387566</v>
      </c>
      <c r="P874" s="54">
        <v>18454.938683043405</v>
      </c>
      <c r="Q874" s="54">
        <v>4.5317851802088835</v>
      </c>
      <c r="R874" s="54">
        <v>29878.345727763517</v>
      </c>
      <c r="S874" s="54">
        <v>0.29669766527012698</v>
      </c>
      <c r="T874" s="54">
        <v>11423.407044720112</v>
      </c>
      <c r="V874" s="69">
        <f t="shared" si="80"/>
        <v>828562.56430470792</v>
      </c>
      <c r="W874" s="69">
        <f t="shared" si="81"/>
        <v>876478.69031401328</v>
      </c>
      <c r="X874" s="69">
        <f t="shared" si="78"/>
        <v>47916.126009305284</v>
      </c>
      <c r="Z874" s="68">
        <f t="shared" si="82"/>
        <v>0</v>
      </c>
      <c r="AA874" s="68">
        <f t="shared" si="83"/>
        <v>1</v>
      </c>
      <c r="AB874" s="68">
        <f t="shared" si="79"/>
        <v>1</v>
      </c>
    </row>
    <row r="875" spans="1:28" x14ac:dyDescent="0.25">
      <c r="A875">
        <v>870</v>
      </c>
      <c r="C875" s="24">
        <v>3.1761732010110455E-3</v>
      </c>
      <c r="D875" s="24">
        <v>1.8778302887467041E-4</v>
      </c>
      <c r="E875" s="24">
        <v>1.1927656357649215E-31</v>
      </c>
      <c r="F875" s="24">
        <v>3.5527136788005009E-15</v>
      </c>
      <c r="G875" s="24">
        <v>0.71797062277549195</v>
      </c>
      <c r="H875" s="24">
        <v>0.23234228938458668</v>
      </c>
      <c r="I875" s="53">
        <v>1887.5725837449406</v>
      </c>
      <c r="J875" s="53">
        <v>4651.625013321981</v>
      </c>
      <c r="K875" s="24">
        <v>0.67305836287776921</v>
      </c>
      <c r="L875" s="24">
        <v>0.95974340818238768</v>
      </c>
      <c r="M875" s="24">
        <v>0.60064993734974703</v>
      </c>
      <c r="O875" s="53">
        <v>4.1962407808591395</v>
      </c>
      <c r="P875" s="54">
        <v>23386.798492193328</v>
      </c>
      <c r="Q875" s="54">
        <v>4.711593936409658</v>
      </c>
      <c r="R875" s="54">
        <v>32450.624494631178</v>
      </c>
      <c r="S875" s="54">
        <v>0.51535315555051842</v>
      </c>
      <c r="T875" s="54">
        <v>9063.8260024378505</v>
      </c>
      <c r="V875" s="69">
        <f t="shared" si="80"/>
        <v>815861.35767963459</v>
      </c>
      <c r="W875" s="69">
        <f t="shared" si="81"/>
        <v>909868.16278730042</v>
      </c>
      <c r="X875" s="69">
        <f t="shared" si="78"/>
        <v>94006.80510766583</v>
      </c>
      <c r="Z875" s="68">
        <f t="shared" si="82"/>
        <v>0</v>
      </c>
      <c r="AA875" s="68">
        <f t="shared" si="83"/>
        <v>1</v>
      </c>
      <c r="AB875" s="68">
        <f t="shared" si="79"/>
        <v>1</v>
      </c>
    </row>
    <row r="876" spans="1:28" x14ac:dyDescent="0.25">
      <c r="A876">
        <v>871</v>
      </c>
      <c r="C876" s="24">
        <v>3.0114388902719225E-2</v>
      </c>
      <c r="D876" s="24">
        <v>2.3670092002110454E-3</v>
      </c>
      <c r="E876" s="24">
        <v>8.2886203156551375E-7</v>
      </c>
      <c r="F876" s="24">
        <v>1.0392008852423978E-16</v>
      </c>
      <c r="G876" s="24">
        <v>0.53823878962387528</v>
      </c>
      <c r="H876" s="24">
        <v>0.26852673062425669</v>
      </c>
      <c r="I876" s="53">
        <v>1749.1422928717591</v>
      </c>
      <c r="J876" s="53">
        <v>5885.3746799385244</v>
      </c>
      <c r="K876" s="24">
        <v>0.47161730381915207</v>
      </c>
      <c r="L876" s="24">
        <v>0.9126757370944687</v>
      </c>
      <c r="M876" s="24">
        <v>0.90591693939375295</v>
      </c>
      <c r="O876" s="53">
        <v>4.0707753388691188</v>
      </c>
      <c r="P876" s="54">
        <v>13651.312968145514</v>
      </c>
      <c r="Q876" s="54">
        <v>4.4015891116672119</v>
      </c>
      <c r="R876" s="54">
        <v>41624.704467080031</v>
      </c>
      <c r="S876" s="54">
        <v>0.3308137727980931</v>
      </c>
      <c r="T876" s="54">
        <v>27973.391498934518</v>
      </c>
      <c r="V876" s="69">
        <f t="shared" si="80"/>
        <v>800503.75480567827</v>
      </c>
      <c r="W876" s="69">
        <f t="shared" si="81"/>
        <v>838693.11786636233</v>
      </c>
      <c r="X876" s="69">
        <f t="shared" si="78"/>
        <v>38189.363060684103</v>
      </c>
      <c r="Z876" s="68">
        <f t="shared" si="82"/>
        <v>0</v>
      </c>
      <c r="AA876" s="68">
        <f t="shared" si="83"/>
        <v>1</v>
      </c>
      <c r="AB876" s="68">
        <f t="shared" si="79"/>
        <v>1</v>
      </c>
    </row>
    <row r="877" spans="1:28" x14ac:dyDescent="0.25">
      <c r="A877">
        <v>872</v>
      </c>
      <c r="C877" s="24">
        <v>9.4490004145630913E-5</v>
      </c>
      <c r="D877" s="24">
        <v>8.6043985889785405E-4</v>
      </c>
      <c r="E877" s="24">
        <v>1.9454167581312021E-6</v>
      </c>
      <c r="F877" s="24">
        <v>7.5539607496954986E-6</v>
      </c>
      <c r="G877" s="24">
        <v>0.68627421237401187</v>
      </c>
      <c r="H877" s="24">
        <v>0.19849977519836404</v>
      </c>
      <c r="I877" s="53">
        <v>1756.1770282242996</v>
      </c>
      <c r="J877" s="53">
        <v>4947.9663057826447</v>
      </c>
      <c r="K877" s="24">
        <v>0.49844919526787185</v>
      </c>
      <c r="L877" s="24">
        <v>0.79460740145436459</v>
      </c>
      <c r="M877" s="24">
        <v>0.80347463519476803</v>
      </c>
      <c r="O877" s="53">
        <v>3.423803509470333</v>
      </c>
      <c r="P877" s="54">
        <v>24127.662638822665</v>
      </c>
      <c r="Q877" s="54">
        <v>3.8997226336980941</v>
      </c>
      <c r="R877" s="54">
        <v>30178.346694606982</v>
      </c>
      <c r="S877" s="54">
        <v>0.47591912422776117</v>
      </c>
      <c r="T877" s="54">
        <v>6050.684055784317</v>
      </c>
      <c r="V877" s="69">
        <f t="shared" si="80"/>
        <v>660633.03925524396</v>
      </c>
      <c r="W877" s="69">
        <f t="shared" si="81"/>
        <v>749766.18004501192</v>
      </c>
      <c r="X877" s="69">
        <f t="shared" si="78"/>
        <v>89133.140789767931</v>
      </c>
      <c r="Z877" s="68">
        <f t="shared" si="82"/>
        <v>0</v>
      </c>
      <c r="AA877" s="68">
        <f t="shared" si="83"/>
        <v>1</v>
      </c>
      <c r="AB877" s="68">
        <f t="shared" si="79"/>
        <v>1</v>
      </c>
    </row>
    <row r="878" spans="1:28" x14ac:dyDescent="0.25">
      <c r="A878">
        <v>873</v>
      </c>
      <c r="C878" s="24">
        <v>1.4282964680411347E-2</v>
      </c>
      <c r="D878" s="24">
        <v>2.0273610238410456E-3</v>
      </c>
      <c r="E878" s="24">
        <v>6.1414700160966618E-6</v>
      </c>
      <c r="F878" s="24">
        <v>3.0154767571843877E-12</v>
      </c>
      <c r="G878" s="24">
        <v>0.52567940301773863</v>
      </c>
      <c r="H878" s="24">
        <v>0.24482330809386654</v>
      </c>
      <c r="I878" s="53">
        <v>1664.8364565499826</v>
      </c>
      <c r="J878" s="53">
        <v>5148.4104519210396</v>
      </c>
      <c r="K878" s="24">
        <v>0.70395497440151877</v>
      </c>
      <c r="L878" s="24">
        <v>0.88856143089474215</v>
      </c>
      <c r="M878" s="24">
        <v>0.88129511934144922</v>
      </c>
      <c r="O878" s="53">
        <v>4.2455181785327856</v>
      </c>
      <c r="P878" s="54">
        <v>13494.394434411903</v>
      </c>
      <c r="Q878" s="54">
        <v>4.3829203796143847</v>
      </c>
      <c r="R878" s="54">
        <v>31116.618992778673</v>
      </c>
      <c r="S878" s="54">
        <v>0.13740220108159917</v>
      </c>
      <c r="T878" s="54">
        <v>17622.224558366768</v>
      </c>
      <c r="V878" s="69">
        <f t="shared" si="80"/>
        <v>835609.24127214518</v>
      </c>
      <c r="W878" s="69">
        <f t="shared" si="81"/>
        <v>845467.45693009824</v>
      </c>
      <c r="X878" s="69">
        <f t="shared" si="78"/>
        <v>9858.2156579530674</v>
      </c>
      <c r="Z878" s="68">
        <f t="shared" si="82"/>
        <v>0</v>
      </c>
      <c r="AA878" s="68">
        <f t="shared" si="83"/>
        <v>1</v>
      </c>
      <c r="AB878" s="68">
        <f t="shared" si="79"/>
        <v>1</v>
      </c>
    </row>
    <row r="879" spans="1:28" x14ac:dyDescent="0.25">
      <c r="A879">
        <v>874</v>
      </c>
      <c r="C879" s="24">
        <v>3.2203351225449159E-13</v>
      </c>
      <c r="D879" s="24">
        <v>6.5500426089301067E-3</v>
      </c>
      <c r="E879" s="24">
        <v>1.3588175429291027E-7</v>
      </c>
      <c r="F879" s="24">
        <v>2.8331863743957797E-8</v>
      </c>
      <c r="G879" s="24">
        <v>0.6980774243736444</v>
      </c>
      <c r="H879" s="24">
        <v>0.37148839773226916</v>
      </c>
      <c r="I879" s="53">
        <v>1837.099799504402</v>
      </c>
      <c r="J879" s="53">
        <v>4121.7100062273939</v>
      </c>
      <c r="K879" s="24">
        <v>0.59504069995561493</v>
      </c>
      <c r="L879" s="24">
        <v>0.92081482769355216</v>
      </c>
      <c r="M879" s="24">
        <v>0.89411438594951775</v>
      </c>
      <c r="O879" s="53">
        <v>3.9757136202961072</v>
      </c>
      <c r="P879" s="54">
        <v>17703.180904104742</v>
      </c>
      <c r="Q879" s="54">
        <v>4.4116560438683772</v>
      </c>
      <c r="R879" s="54">
        <v>47031.530607612855</v>
      </c>
      <c r="S879" s="54">
        <v>0.43594242357226998</v>
      </c>
      <c r="T879" s="54">
        <v>29328.349703508113</v>
      </c>
      <c r="V879" s="69">
        <f t="shared" si="80"/>
        <v>777439.54315511673</v>
      </c>
      <c r="W879" s="69">
        <f t="shared" si="81"/>
        <v>835299.67816606269</v>
      </c>
      <c r="X879" s="69">
        <f t="shared" si="78"/>
        <v>57860.135010945887</v>
      </c>
      <c r="Z879" s="68">
        <f t="shared" si="82"/>
        <v>0</v>
      </c>
      <c r="AA879" s="68">
        <f t="shared" si="83"/>
        <v>1</v>
      </c>
      <c r="AB879" s="68">
        <f t="shared" si="79"/>
        <v>1</v>
      </c>
    </row>
    <row r="880" spans="1:28" x14ac:dyDescent="0.25">
      <c r="A880">
        <v>875</v>
      </c>
      <c r="C880" s="24">
        <v>1.0252706827677094E-2</v>
      </c>
      <c r="D880" s="24">
        <v>5.2585287833490924E-3</v>
      </c>
      <c r="E880" s="24">
        <v>9.3043486984562344E-64</v>
      </c>
      <c r="F880" s="24">
        <v>4.5671130707414243E-5</v>
      </c>
      <c r="G880" s="24">
        <v>0.58992636688896316</v>
      </c>
      <c r="H880" s="24">
        <v>0.34560856400885454</v>
      </c>
      <c r="I880" s="53">
        <v>2164.6834500754171</v>
      </c>
      <c r="J880" s="53">
        <v>4140.5695294523057</v>
      </c>
      <c r="K880" s="24">
        <v>0.74922620103239956</v>
      </c>
      <c r="L880" s="24">
        <v>0.81410932291300897</v>
      </c>
      <c r="M880" s="24">
        <v>0.7479048105303</v>
      </c>
      <c r="O880" s="53">
        <v>3.977810401876146</v>
      </c>
      <c r="P880" s="54">
        <v>16649.993064257087</v>
      </c>
      <c r="Q880" s="54">
        <v>4.033813719256627</v>
      </c>
      <c r="R880" s="54">
        <v>57167.121028968337</v>
      </c>
      <c r="S880" s="54">
        <v>5.6003317380481032E-2</v>
      </c>
      <c r="T880" s="54">
        <v>40517.127964711253</v>
      </c>
      <c r="V880" s="69">
        <f t="shared" si="80"/>
        <v>778912.08731097216</v>
      </c>
      <c r="W880" s="69">
        <f t="shared" si="81"/>
        <v>749595.62282235699</v>
      </c>
      <c r="X880" s="69">
        <f t="shared" si="78"/>
        <v>-29316.464488615049</v>
      </c>
      <c r="Z880" s="68">
        <f t="shared" si="82"/>
        <v>1</v>
      </c>
      <c r="AA880" s="68">
        <f t="shared" si="83"/>
        <v>0</v>
      </c>
      <c r="AB880" s="68">
        <f t="shared" si="79"/>
        <v>0</v>
      </c>
    </row>
    <row r="881" spans="1:28" x14ac:dyDescent="0.25">
      <c r="A881">
        <v>876</v>
      </c>
      <c r="C881" s="24">
        <v>1.0494294671548943E-2</v>
      </c>
      <c r="D881" s="24">
        <v>3.1874023865377467E-4</v>
      </c>
      <c r="E881" s="24">
        <v>6.1262794329735221E-17</v>
      </c>
      <c r="F881" s="24">
        <v>8.6587093384160596E-8</v>
      </c>
      <c r="G881" s="24">
        <v>0.55986897546314873</v>
      </c>
      <c r="H881" s="24">
        <v>0.30615616094791553</v>
      </c>
      <c r="I881" s="53">
        <v>1712.8953760197721</v>
      </c>
      <c r="J881" s="53">
        <v>5692.1976887962028</v>
      </c>
      <c r="K881" s="24">
        <v>0.55756519265620774</v>
      </c>
      <c r="L881" s="24">
        <v>0.6646611037182879</v>
      </c>
      <c r="M881" s="24">
        <v>0.9146792710047007</v>
      </c>
      <c r="O881" s="53">
        <v>3.2172086721250865</v>
      </c>
      <c r="P881" s="54">
        <v>15562.004680750126</v>
      </c>
      <c r="Q881" s="54">
        <v>3.2767002801790657</v>
      </c>
      <c r="R881" s="54">
        <v>36286.695393820053</v>
      </c>
      <c r="S881" s="54">
        <v>5.9491608053979128E-2</v>
      </c>
      <c r="T881" s="54">
        <v>20724.690713069926</v>
      </c>
      <c r="V881" s="69">
        <f t="shared" si="80"/>
        <v>627879.72974426718</v>
      </c>
      <c r="W881" s="69">
        <f t="shared" si="81"/>
        <v>619053.36064199312</v>
      </c>
      <c r="X881" s="69">
        <f t="shared" si="78"/>
        <v>-8826.3691022741004</v>
      </c>
      <c r="Z881" s="68">
        <f t="shared" si="82"/>
        <v>1</v>
      </c>
      <c r="AA881" s="68">
        <f t="shared" si="83"/>
        <v>0</v>
      </c>
      <c r="AB881" s="68">
        <f t="shared" si="79"/>
        <v>0</v>
      </c>
    </row>
    <row r="882" spans="1:28" x14ac:dyDescent="0.25">
      <c r="A882">
        <v>877</v>
      </c>
      <c r="C882" s="24">
        <v>2.2760154115779141E-2</v>
      </c>
      <c r="D882" s="24">
        <v>2.7017242839461053E-3</v>
      </c>
      <c r="E882" s="24">
        <v>5.4101981534360479E-24</v>
      </c>
      <c r="F882" s="24">
        <v>6.65296311398713E-103</v>
      </c>
      <c r="G882" s="24">
        <v>0.58147686070675475</v>
      </c>
      <c r="H882" s="24">
        <v>0.15573571614990189</v>
      </c>
      <c r="I882" s="53">
        <v>2118.3680051182023</v>
      </c>
      <c r="J882" s="53">
        <v>4572.535792668762</v>
      </c>
      <c r="K882" s="24">
        <v>0.82691224876829372</v>
      </c>
      <c r="L882" s="24">
        <v>0.66070065614279383</v>
      </c>
      <c r="M882" s="24">
        <v>0.89825145025002295</v>
      </c>
      <c r="O882" s="53">
        <v>3.5669163246289362</v>
      </c>
      <c r="P882" s="54">
        <v>18346.714756591839</v>
      </c>
      <c r="Q882" s="54">
        <v>3.3378211090665832</v>
      </c>
      <c r="R882" s="54">
        <v>25571.328129018049</v>
      </c>
      <c r="S882" s="54">
        <v>-0.22909521556235291</v>
      </c>
      <c r="T882" s="54">
        <v>7224.6133724262108</v>
      </c>
      <c r="V882" s="69">
        <f t="shared" si="80"/>
        <v>695036.5501691954</v>
      </c>
      <c r="W882" s="69">
        <f t="shared" si="81"/>
        <v>641992.89368429861</v>
      </c>
      <c r="X882" s="69">
        <f t="shared" si="78"/>
        <v>-53043.65648489679</v>
      </c>
      <c r="Z882" s="68">
        <f t="shared" si="82"/>
        <v>1</v>
      </c>
      <c r="AA882" s="68">
        <f t="shared" si="83"/>
        <v>0</v>
      </c>
      <c r="AB882" s="68">
        <f t="shared" si="79"/>
        <v>0</v>
      </c>
    </row>
    <row r="883" spans="1:28" x14ac:dyDescent="0.25">
      <c r="A883">
        <v>878</v>
      </c>
      <c r="C883" s="24">
        <v>1.1151678696524225E-2</v>
      </c>
      <c r="D883" s="24">
        <v>6.9182314002987685E-4</v>
      </c>
      <c r="E883" s="24">
        <v>1.2544109032165366E-19</v>
      </c>
      <c r="F883" s="24">
        <v>1.1435297153639112E-13</v>
      </c>
      <c r="G883" s="24">
        <v>0.59809390974158261</v>
      </c>
      <c r="H883" s="24">
        <v>0.35829795792680186</v>
      </c>
      <c r="I883" s="53">
        <v>2194.1586536362552</v>
      </c>
      <c r="J883" s="53">
        <v>4773.897057915492</v>
      </c>
      <c r="K883" s="24">
        <v>0.62529549453661493</v>
      </c>
      <c r="L883" s="24">
        <v>0.63211900607809524</v>
      </c>
      <c r="M883" s="24">
        <v>0.88207738715653616</v>
      </c>
      <c r="O883" s="53">
        <v>3.1763645070732354</v>
      </c>
      <c r="P883" s="54">
        <v>21725.287200728661</v>
      </c>
      <c r="Q883" s="54">
        <v>3.1580054126442909</v>
      </c>
      <c r="R883" s="54">
        <v>51743.895298470467</v>
      </c>
      <c r="S883" s="54">
        <v>-1.8359094428944456E-2</v>
      </c>
      <c r="T883" s="54">
        <v>30018.608097741806</v>
      </c>
      <c r="V883" s="69">
        <f t="shared" si="80"/>
        <v>613547.61421391845</v>
      </c>
      <c r="W883" s="69">
        <f t="shared" si="81"/>
        <v>579857.1872303877</v>
      </c>
      <c r="X883" s="69">
        <f t="shared" si="78"/>
        <v>-33690.426983530699</v>
      </c>
      <c r="Z883" s="68">
        <f t="shared" si="82"/>
        <v>1</v>
      </c>
      <c r="AA883" s="68">
        <f t="shared" si="83"/>
        <v>0</v>
      </c>
      <c r="AB883" s="68">
        <f t="shared" si="79"/>
        <v>0</v>
      </c>
    </row>
    <row r="884" spans="1:28" x14ac:dyDescent="0.25">
      <c r="A884">
        <v>879</v>
      </c>
      <c r="C884" s="24">
        <v>8.3888632751216718E-5</v>
      </c>
      <c r="D884" s="24">
        <v>5.1828033373793765E-4</v>
      </c>
      <c r="E884" s="24">
        <v>1.4717289948011194E-17</v>
      </c>
      <c r="F884" s="24">
        <v>4.5224712863500827E-11</v>
      </c>
      <c r="G884" s="24">
        <v>0.54248520976290604</v>
      </c>
      <c r="H884" s="24">
        <v>0.24555472062785133</v>
      </c>
      <c r="I884" s="53">
        <v>2040.0132552182436</v>
      </c>
      <c r="J884" s="53">
        <v>5075.8427468051832</v>
      </c>
      <c r="K884" s="24">
        <v>0.80283236380833167</v>
      </c>
      <c r="L884" s="24">
        <v>0.93881774918683514</v>
      </c>
      <c r="M884" s="24">
        <v>0.7497269734812545</v>
      </c>
      <c r="O884" s="53">
        <v>4.5402893041681915</v>
      </c>
      <c r="P884" s="54">
        <v>18864.561083660206</v>
      </c>
      <c r="Q884" s="54">
        <v>4.6492608647451661</v>
      </c>
      <c r="R884" s="54">
        <v>34348.337518463537</v>
      </c>
      <c r="S884" s="54">
        <v>0.10897156057697455</v>
      </c>
      <c r="T884" s="54">
        <v>15483.776434803331</v>
      </c>
      <c r="V884" s="69">
        <f t="shared" si="80"/>
        <v>889193.29974997812</v>
      </c>
      <c r="W884" s="69">
        <f t="shared" si="81"/>
        <v>895503.83543056971</v>
      </c>
      <c r="X884" s="69">
        <f t="shared" si="78"/>
        <v>6310.5356805915799</v>
      </c>
      <c r="Z884" s="68">
        <f t="shared" si="82"/>
        <v>0</v>
      </c>
      <c r="AA884" s="68">
        <f t="shared" si="83"/>
        <v>1</v>
      </c>
      <c r="AB884" s="68">
        <f t="shared" si="79"/>
        <v>1</v>
      </c>
    </row>
    <row r="885" spans="1:28" x14ac:dyDescent="0.25">
      <c r="A885">
        <v>880</v>
      </c>
      <c r="C885" s="24">
        <v>2.1754228708146468E-6</v>
      </c>
      <c r="D885" s="24">
        <v>6.3866878218119037E-5</v>
      </c>
      <c r="E885" s="24">
        <v>4.2112377585112881E-8</v>
      </c>
      <c r="F885" s="24">
        <v>1.2604437493735077E-9</v>
      </c>
      <c r="G885" s="24">
        <v>0.68222064232512281</v>
      </c>
      <c r="H885" s="24">
        <v>0.29397886445984034</v>
      </c>
      <c r="I885" s="53">
        <v>2494.9837669912022</v>
      </c>
      <c r="J885" s="53">
        <v>4954.9169231898932</v>
      </c>
      <c r="K885" s="24">
        <v>0.80986002670700752</v>
      </c>
      <c r="L885" s="24">
        <v>0.84625377350924436</v>
      </c>
      <c r="M885" s="24">
        <v>0.78309794362573704</v>
      </c>
      <c r="O885" s="53">
        <v>4.164682177148066</v>
      </c>
      <c r="P885" s="54">
        <v>24725.943159007657</v>
      </c>
      <c r="Q885" s="54">
        <v>4.2161220163940127</v>
      </c>
      <c r="R885" s="54">
        <v>48807.312428906087</v>
      </c>
      <c r="S885" s="54">
        <v>5.143983924594675E-2</v>
      </c>
      <c r="T885" s="54">
        <v>24081.369269898431</v>
      </c>
      <c r="V885" s="69">
        <f t="shared" si="80"/>
        <v>808210.49227060552</v>
      </c>
      <c r="W885" s="69">
        <f t="shared" si="81"/>
        <v>794417.09084989643</v>
      </c>
      <c r="X885" s="69">
        <f t="shared" si="78"/>
        <v>-13793.40142070908</v>
      </c>
      <c r="Z885" s="68">
        <f t="shared" si="82"/>
        <v>1</v>
      </c>
      <c r="AA885" s="68">
        <f t="shared" si="83"/>
        <v>0</v>
      </c>
      <c r="AB885" s="68">
        <f t="shared" si="79"/>
        <v>0</v>
      </c>
    </row>
    <row r="886" spans="1:28" x14ac:dyDescent="0.25">
      <c r="A886">
        <v>881</v>
      </c>
      <c r="C886" s="24">
        <v>3.049843833766101E-9</v>
      </c>
      <c r="D886" s="24">
        <v>3.6520102392330056E-3</v>
      </c>
      <c r="E886" s="24">
        <v>1.7426237800388865E-22</v>
      </c>
      <c r="F886" s="24">
        <v>1.4419023340872528E-6</v>
      </c>
      <c r="G886" s="24">
        <v>0.77686565793384887</v>
      </c>
      <c r="H886" s="24">
        <v>0.31211559943664624</v>
      </c>
      <c r="I886" s="53">
        <v>1574.0335987922701</v>
      </c>
      <c r="J886" s="53">
        <v>4480.8937938878953</v>
      </c>
      <c r="K886" s="24">
        <v>0.53807817620754528</v>
      </c>
      <c r="L886" s="24">
        <v>0.69138633132135574</v>
      </c>
      <c r="M886" s="24">
        <v>0.94229678138292661</v>
      </c>
      <c r="O886" s="53">
        <v>3.0742070949818663</v>
      </c>
      <c r="P886" s="54">
        <v>33199.320455609828</v>
      </c>
      <c r="Q886" s="54">
        <v>3.3936280404465253</v>
      </c>
      <c r="R886" s="54">
        <v>50150.531768222616</v>
      </c>
      <c r="S886" s="54">
        <v>0.31942094546465905</v>
      </c>
      <c r="T886" s="54">
        <v>16951.211312612788</v>
      </c>
      <c r="V886" s="69">
        <f t="shared" si="80"/>
        <v>581642.09854076349</v>
      </c>
      <c r="W886" s="69">
        <f t="shared" si="81"/>
        <v>628575.07632108254</v>
      </c>
      <c r="X886" s="69">
        <f t="shared" si="78"/>
        <v>46932.977780319023</v>
      </c>
      <c r="Z886" s="68">
        <f t="shared" si="82"/>
        <v>0</v>
      </c>
      <c r="AA886" s="68">
        <f t="shared" si="83"/>
        <v>1</v>
      </c>
      <c r="AB886" s="68">
        <f t="shared" si="79"/>
        <v>1</v>
      </c>
    </row>
    <row r="887" spans="1:28" x14ac:dyDescent="0.25">
      <c r="A887">
        <v>882</v>
      </c>
      <c r="C887" s="24">
        <v>1.2513831413325779E-13</v>
      </c>
      <c r="D887" s="24">
        <v>4.9136363846763453E-3</v>
      </c>
      <c r="E887" s="24">
        <v>7.6343726895800046E-9</v>
      </c>
      <c r="F887" s="24">
        <v>9.716016059480026E-7</v>
      </c>
      <c r="G887" s="24">
        <v>0.62096495376989358</v>
      </c>
      <c r="H887" s="24">
        <v>0.27366461835110101</v>
      </c>
      <c r="I887" s="53">
        <v>2423.1028853115868</v>
      </c>
      <c r="J887" s="53">
        <v>4639.2125240680798</v>
      </c>
      <c r="K887" s="24">
        <v>0.76955993187725302</v>
      </c>
      <c r="L887" s="24">
        <v>0.94858704278459816</v>
      </c>
      <c r="M887" s="24">
        <v>0.85366903788440707</v>
      </c>
      <c r="O887" s="53">
        <v>4.4767184695454034</v>
      </c>
      <c r="P887" s="54">
        <v>18052.13693760163</v>
      </c>
      <c r="Q887" s="54">
        <v>4.6726110161742778</v>
      </c>
      <c r="R887" s="54">
        <v>39354.599659249019</v>
      </c>
      <c r="S887" s="54">
        <v>0.19589254662887434</v>
      </c>
      <c r="T887" s="54">
        <v>21302.462721647389</v>
      </c>
      <c r="V887" s="69">
        <f t="shared" si="80"/>
        <v>877291.55697147909</v>
      </c>
      <c r="W887" s="69">
        <f t="shared" si="81"/>
        <v>895167.60357560648</v>
      </c>
      <c r="X887" s="69">
        <f t="shared" si="78"/>
        <v>17876.046604127478</v>
      </c>
      <c r="Z887" s="68">
        <f t="shared" si="82"/>
        <v>0</v>
      </c>
      <c r="AA887" s="68">
        <f t="shared" si="83"/>
        <v>1</v>
      </c>
      <c r="AB887" s="68">
        <f t="shared" si="79"/>
        <v>1</v>
      </c>
    </row>
    <row r="888" spans="1:28" x14ac:dyDescent="0.25">
      <c r="A888">
        <v>883</v>
      </c>
      <c r="C888" s="24">
        <v>3.1198656959577667E-12</v>
      </c>
      <c r="D888" s="24">
        <v>3.0708152048284365E-3</v>
      </c>
      <c r="E888" s="24">
        <v>2.1308364517302891E-8</v>
      </c>
      <c r="F888" s="24">
        <v>3.636398765438642E-7</v>
      </c>
      <c r="G888" s="24">
        <v>0.69861670632588146</v>
      </c>
      <c r="H888" s="24">
        <v>0.32196305560945193</v>
      </c>
      <c r="I888" s="53">
        <v>1924.7638685686727</v>
      </c>
      <c r="J888" s="53">
        <v>5975.3234805292577</v>
      </c>
      <c r="K888" s="24">
        <v>0.64760365483909177</v>
      </c>
      <c r="L888" s="24">
        <v>0.92273043021698009</v>
      </c>
      <c r="M888" s="24">
        <v>0.9482305477677927</v>
      </c>
      <c r="O888" s="53">
        <v>4.0820310231056736</v>
      </c>
      <c r="P888" s="54">
        <v>21905.237545449469</v>
      </c>
      <c r="Q888" s="54">
        <v>4.4839818665683815</v>
      </c>
      <c r="R888" s="54">
        <v>37195.939873838812</v>
      </c>
      <c r="S888" s="54">
        <v>0.40195084346270793</v>
      </c>
      <c r="T888" s="54">
        <v>15290.702328389343</v>
      </c>
      <c r="V888" s="69">
        <f t="shared" si="80"/>
        <v>794500.96707568516</v>
      </c>
      <c r="W888" s="69">
        <f t="shared" si="81"/>
        <v>859600.43343983754</v>
      </c>
      <c r="X888" s="69">
        <f t="shared" si="78"/>
        <v>65099.466364152242</v>
      </c>
      <c r="Z888" s="68">
        <f t="shared" si="82"/>
        <v>0</v>
      </c>
      <c r="AA888" s="68">
        <f t="shared" si="83"/>
        <v>1</v>
      </c>
      <c r="AB888" s="68">
        <f t="shared" si="79"/>
        <v>1</v>
      </c>
    </row>
    <row r="889" spans="1:28" x14ac:dyDescent="0.25">
      <c r="A889">
        <v>884</v>
      </c>
      <c r="C889" s="24">
        <v>3.2521746333326051E-3</v>
      </c>
      <c r="D889" s="24">
        <v>1.7642768328898217E-3</v>
      </c>
      <c r="E889" s="24">
        <v>3.3852792242292922E-22</v>
      </c>
      <c r="F889" s="24">
        <v>7.156698289158322E-29</v>
      </c>
      <c r="G889" s="24">
        <v>0.56862918237753302</v>
      </c>
      <c r="H889" s="24">
        <v>0.28437305913609789</v>
      </c>
      <c r="I889" s="53">
        <v>1675.080062143338</v>
      </c>
      <c r="J889" s="53">
        <v>6443.938430794281</v>
      </c>
      <c r="K889" s="24">
        <v>0.47282547651685791</v>
      </c>
      <c r="L889" s="24">
        <v>0.84407904198937356</v>
      </c>
      <c r="M889" s="24">
        <v>0.85333730383843531</v>
      </c>
      <c r="O889" s="53">
        <v>3.7603679314294087</v>
      </c>
      <c r="P889" s="54">
        <v>16711.867856630906</v>
      </c>
      <c r="Q889" s="54">
        <v>4.0732473350892349</v>
      </c>
      <c r="R889" s="54">
        <v>44123.444874366258</v>
      </c>
      <c r="S889" s="54">
        <v>0.31287940365982614</v>
      </c>
      <c r="T889" s="54">
        <v>27411.577017735352</v>
      </c>
      <c r="V889" s="69">
        <f t="shared" si="80"/>
        <v>735361.71842925076</v>
      </c>
      <c r="W889" s="69">
        <f t="shared" si="81"/>
        <v>770526.02214348072</v>
      </c>
      <c r="X889" s="69">
        <f t="shared" si="78"/>
        <v>35164.303714229871</v>
      </c>
      <c r="Z889" s="68">
        <f t="shared" si="82"/>
        <v>0</v>
      </c>
      <c r="AA889" s="68">
        <f t="shared" si="83"/>
        <v>1</v>
      </c>
      <c r="AB889" s="68">
        <f t="shared" si="79"/>
        <v>1</v>
      </c>
    </row>
    <row r="890" spans="1:28" x14ac:dyDescent="0.25">
      <c r="A890">
        <v>885</v>
      </c>
      <c r="C890" s="24">
        <v>1.9740046768364916E-8</v>
      </c>
      <c r="D890" s="24">
        <v>5.3905789638479806E-3</v>
      </c>
      <c r="E890" s="24">
        <v>4.6662442743095056E-6</v>
      </c>
      <c r="F890" s="24">
        <v>2.0860872641479545E-19</v>
      </c>
      <c r="G890" s="24">
        <v>0.6572083381654934</v>
      </c>
      <c r="H890" s="24">
        <v>0.28765398644465867</v>
      </c>
      <c r="I890" s="53">
        <v>2601.1109470135834</v>
      </c>
      <c r="J890" s="53">
        <v>6029.4797005539849</v>
      </c>
      <c r="K890" s="24">
        <v>0.72437564781653141</v>
      </c>
      <c r="L890" s="24">
        <v>0.92315666633562254</v>
      </c>
      <c r="M890" s="24">
        <v>0.79223080470145057</v>
      </c>
      <c r="O890" s="53">
        <v>4.2813603885744449</v>
      </c>
      <c r="P890" s="54">
        <v>18903.385073561982</v>
      </c>
      <c r="Q890" s="54">
        <v>4.5311167071949026</v>
      </c>
      <c r="R890" s="54">
        <v>44993.814453152372</v>
      </c>
      <c r="S890" s="54">
        <v>0.24975631862045766</v>
      </c>
      <c r="T890" s="54">
        <v>26090.42937959039</v>
      </c>
      <c r="V890" s="69">
        <f t="shared" si="80"/>
        <v>837368.69264132692</v>
      </c>
      <c r="W890" s="69">
        <f t="shared" si="81"/>
        <v>861229.52698582818</v>
      </c>
      <c r="X890" s="69">
        <f t="shared" si="78"/>
        <v>23860.834344501145</v>
      </c>
      <c r="Z890" s="68">
        <f t="shared" si="82"/>
        <v>0</v>
      </c>
      <c r="AA890" s="68">
        <f t="shared" si="83"/>
        <v>1</v>
      </c>
      <c r="AB890" s="68">
        <f t="shared" si="79"/>
        <v>1</v>
      </c>
    </row>
    <row r="891" spans="1:28" x14ac:dyDescent="0.25">
      <c r="A891">
        <v>886</v>
      </c>
      <c r="C891" s="24">
        <v>4.0677358591100332E-2</v>
      </c>
      <c r="D891" s="24">
        <v>2.0703787188840472E-3</v>
      </c>
      <c r="E891" s="24">
        <v>2.9128873620228868E-3</v>
      </c>
      <c r="F891" s="24">
        <v>2.3777846031733804E-37</v>
      </c>
      <c r="G891" s="24">
        <v>0.56847168325118802</v>
      </c>
      <c r="H891" s="24">
        <v>0.31993464051874165</v>
      </c>
      <c r="I891" s="53">
        <v>2014.0168839560229</v>
      </c>
      <c r="J891" s="53">
        <v>5864.4923469294408</v>
      </c>
      <c r="K891" s="24">
        <v>0.56633010971965991</v>
      </c>
      <c r="L891" s="24">
        <v>0.96210623948015883</v>
      </c>
      <c r="M891" s="24">
        <v>0.84961398339296179</v>
      </c>
      <c r="O891" s="53">
        <v>4.2558055169122948</v>
      </c>
      <c r="P891" s="54">
        <v>17228.089678856628</v>
      </c>
      <c r="Q891" s="54">
        <v>4.6234118882362072</v>
      </c>
      <c r="R891" s="54">
        <v>41324.712573803117</v>
      </c>
      <c r="S891" s="54">
        <v>0.36760637132391238</v>
      </c>
      <c r="T891" s="54">
        <v>24096.622894946489</v>
      </c>
      <c r="V891" s="69">
        <f t="shared" si="80"/>
        <v>833933.01370360225</v>
      </c>
      <c r="W891" s="69">
        <f t="shared" si="81"/>
        <v>883357.66507343831</v>
      </c>
      <c r="X891" s="69">
        <f t="shared" si="78"/>
        <v>49424.651369835992</v>
      </c>
      <c r="Z891" s="68">
        <f t="shared" si="82"/>
        <v>0</v>
      </c>
      <c r="AA891" s="68">
        <f t="shared" si="83"/>
        <v>1</v>
      </c>
      <c r="AB891" s="68">
        <f t="shared" si="79"/>
        <v>1</v>
      </c>
    </row>
    <row r="892" spans="1:28" x14ac:dyDescent="0.25">
      <c r="A892">
        <v>887</v>
      </c>
      <c r="C892" s="24">
        <v>1.292111996337342E-10</v>
      </c>
      <c r="D892" s="24">
        <v>3.0993371222926388E-4</v>
      </c>
      <c r="E892" s="24">
        <v>9.5784737919046847E-9</v>
      </c>
      <c r="F892" s="24">
        <v>1.9782776355935765E-16</v>
      </c>
      <c r="G892" s="24">
        <v>0.6156565430903792</v>
      </c>
      <c r="H892" s="24">
        <v>0.24042845465574814</v>
      </c>
      <c r="I892" s="53">
        <v>2281.8385587927105</v>
      </c>
      <c r="J892" s="53">
        <v>3824.6533716227673</v>
      </c>
      <c r="K892" s="24">
        <v>0.76989945188069742</v>
      </c>
      <c r="L892" s="24">
        <v>0.90005837045380155</v>
      </c>
      <c r="M892" s="24">
        <v>0.62381340368091009</v>
      </c>
      <c r="O892" s="53">
        <v>4.3102391124630124</v>
      </c>
      <c r="P892" s="54">
        <v>19162.233089122263</v>
      </c>
      <c r="Q892" s="54">
        <v>4.4585975896453274</v>
      </c>
      <c r="R892" s="54">
        <v>37704.125367606604</v>
      </c>
      <c r="S892" s="54">
        <v>0.14835847718231499</v>
      </c>
      <c r="T892" s="54">
        <v>18541.892278484342</v>
      </c>
      <c r="V892" s="69">
        <f t="shared" si="80"/>
        <v>842885.58940348029</v>
      </c>
      <c r="W892" s="69">
        <f t="shared" si="81"/>
        <v>854015.39256145887</v>
      </c>
      <c r="X892" s="69">
        <f t="shared" si="78"/>
        <v>11129.803157978655</v>
      </c>
      <c r="Z892" s="68">
        <f t="shared" si="82"/>
        <v>0</v>
      </c>
      <c r="AA892" s="68">
        <f t="shared" si="83"/>
        <v>1</v>
      </c>
      <c r="AB892" s="68">
        <f t="shared" si="79"/>
        <v>1</v>
      </c>
    </row>
    <row r="893" spans="1:28" x14ac:dyDescent="0.25">
      <c r="A893">
        <v>888</v>
      </c>
      <c r="C893" s="24">
        <v>1.0367574336261898E-3</v>
      </c>
      <c r="D893" s="24">
        <v>8.6272059537907397E-3</v>
      </c>
      <c r="E893" s="24">
        <v>2.3427101369932757E-9</v>
      </c>
      <c r="F893" s="24">
        <v>1.4954547003540792E-34</v>
      </c>
      <c r="G893" s="24">
        <v>0.62401651618851628</v>
      </c>
      <c r="H893" s="24">
        <v>0.22221898563557696</v>
      </c>
      <c r="I893" s="53">
        <v>2227.2619044636276</v>
      </c>
      <c r="J893" s="53">
        <v>4602.0251123057014</v>
      </c>
      <c r="K893" s="24">
        <v>0.83139102279353461</v>
      </c>
      <c r="L893" s="24">
        <v>0.41063580560478341</v>
      </c>
      <c r="M893" s="24">
        <v>0.78709940945333634</v>
      </c>
      <c r="O893" s="53">
        <v>2.6890583112196986</v>
      </c>
      <c r="P893" s="54">
        <v>23860.186446047119</v>
      </c>
      <c r="Q893" s="54">
        <v>2.1930138193703921</v>
      </c>
      <c r="R893" s="54">
        <v>34799.239104099091</v>
      </c>
      <c r="S893" s="54">
        <v>-0.49604449184930655</v>
      </c>
      <c r="T893" s="54">
        <v>10939.052658051973</v>
      </c>
      <c r="V893" s="69">
        <f t="shared" si="80"/>
        <v>513951.47579789261</v>
      </c>
      <c r="W893" s="69">
        <f t="shared" si="81"/>
        <v>403803.5247699793</v>
      </c>
      <c r="X893" s="69">
        <f t="shared" si="78"/>
        <v>-110147.95102791328</v>
      </c>
      <c r="Z893" s="68">
        <f t="shared" si="82"/>
        <v>1</v>
      </c>
      <c r="AA893" s="68">
        <f t="shared" si="83"/>
        <v>0</v>
      </c>
      <c r="AB893" s="68">
        <f t="shared" si="79"/>
        <v>0</v>
      </c>
    </row>
    <row r="894" spans="1:28" x14ac:dyDescent="0.25">
      <c r="A894">
        <v>889</v>
      </c>
      <c r="C894" s="24">
        <v>3.0982289295045096E-4</v>
      </c>
      <c r="D894" s="24">
        <v>2.1960351771947995E-3</v>
      </c>
      <c r="E894" s="24">
        <v>8.8503981920950991E-11</v>
      </c>
      <c r="F894" s="24">
        <v>7.7370869352028417E-41</v>
      </c>
      <c r="G894" s="24">
        <v>0.5204563342891072</v>
      </c>
      <c r="H894" s="24">
        <v>0.30970583884016711</v>
      </c>
      <c r="I894" s="53">
        <v>1749.0593015810186</v>
      </c>
      <c r="J894" s="53">
        <v>5419.1165828979611</v>
      </c>
      <c r="K894" s="24">
        <v>0.77050762756218927</v>
      </c>
      <c r="L894" s="24">
        <v>0.97176997427153933</v>
      </c>
      <c r="M894" s="24">
        <v>0.82870382985523205</v>
      </c>
      <c r="O894" s="53">
        <v>4.6483924091485109</v>
      </c>
      <c r="P894" s="54">
        <v>13901.532014952501</v>
      </c>
      <c r="Q894" s="54">
        <v>4.7667371815521671</v>
      </c>
      <c r="R894" s="54">
        <v>45576.688824569101</v>
      </c>
      <c r="S894" s="54">
        <v>0.11834477240365615</v>
      </c>
      <c r="T894" s="54">
        <v>31675.156809616601</v>
      </c>
      <c r="V894" s="69">
        <f t="shared" si="80"/>
        <v>915776.94981474965</v>
      </c>
      <c r="W894" s="69">
        <f t="shared" si="81"/>
        <v>907770.74748586433</v>
      </c>
      <c r="X894" s="69">
        <f t="shared" si="78"/>
        <v>-8006.2023288853707</v>
      </c>
      <c r="Z894" s="68">
        <f t="shared" si="82"/>
        <v>1</v>
      </c>
      <c r="AA894" s="68">
        <f t="shared" si="83"/>
        <v>0</v>
      </c>
      <c r="AB894" s="68">
        <f t="shared" si="79"/>
        <v>0</v>
      </c>
    </row>
    <row r="895" spans="1:28" x14ac:dyDescent="0.25">
      <c r="A895">
        <v>890</v>
      </c>
      <c r="C895" s="24">
        <v>0.10636174635303142</v>
      </c>
      <c r="D895" s="24">
        <v>2.2684828436159927E-4</v>
      </c>
      <c r="E895" s="24">
        <v>2.4417548176186576E-3</v>
      </c>
      <c r="F895" s="24">
        <v>3.8671285723537781E-24</v>
      </c>
      <c r="G895" s="24">
        <v>0.4264381393177602</v>
      </c>
      <c r="H895" s="24">
        <v>0.15503358093130259</v>
      </c>
      <c r="I895" s="53">
        <v>1892.868035980812</v>
      </c>
      <c r="J895" s="53">
        <v>5148.8504691816761</v>
      </c>
      <c r="K895" s="24">
        <v>0.67870081554007888</v>
      </c>
      <c r="L895" s="24">
        <v>0.70039739691175096</v>
      </c>
      <c r="M895" s="24">
        <v>0.83352185549017543</v>
      </c>
      <c r="O895" s="53">
        <v>3.5786982805494931</v>
      </c>
      <c r="P895" s="54">
        <v>13901.955905671799</v>
      </c>
      <c r="Q895" s="54">
        <v>3.498178617162369</v>
      </c>
      <c r="R895" s="54">
        <v>23445.440009050966</v>
      </c>
      <c r="S895" s="54">
        <v>-8.051966338712413E-2</v>
      </c>
      <c r="T895" s="54">
        <v>9543.4841033791672</v>
      </c>
      <c r="V895" s="69">
        <f t="shared" si="80"/>
        <v>701837.70020422677</v>
      </c>
      <c r="W895" s="69">
        <f t="shared" si="81"/>
        <v>676190.28342342284</v>
      </c>
      <c r="X895" s="69">
        <f t="shared" si="78"/>
        <v>-25647.416780803993</v>
      </c>
      <c r="Z895" s="68">
        <f t="shared" si="82"/>
        <v>1</v>
      </c>
      <c r="AA895" s="68">
        <f t="shared" si="83"/>
        <v>0</v>
      </c>
      <c r="AB895" s="68">
        <f t="shared" si="79"/>
        <v>0</v>
      </c>
    </row>
    <row r="896" spans="1:28" x14ac:dyDescent="0.25">
      <c r="A896">
        <v>891</v>
      </c>
      <c r="C896" s="24">
        <v>1.6206524158076774E-2</v>
      </c>
      <c r="D896" s="24">
        <v>9.7662961098274065E-4</v>
      </c>
      <c r="E896" s="24">
        <v>9.5009894187195874E-22</v>
      </c>
      <c r="F896" s="24">
        <v>1.1902590508761079E-6</v>
      </c>
      <c r="G896" s="24">
        <v>0.58424834336374443</v>
      </c>
      <c r="H896" s="24">
        <v>0.30719960975410476</v>
      </c>
      <c r="I896" s="53">
        <v>1854.4711742823986</v>
      </c>
      <c r="J896" s="53">
        <v>4536.9256537501378</v>
      </c>
      <c r="K896" s="24">
        <v>0.73830360474430379</v>
      </c>
      <c r="L896" s="24">
        <v>0.88508469843468029</v>
      </c>
      <c r="M896" s="24">
        <v>0.90613986376839006</v>
      </c>
      <c r="O896" s="53">
        <v>4.2362253063536031</v>
      </c>
      <c r="P896" s="54">
        <v>19284.07929501617</v>
      </c>
      <c r="Q896" s="54">
        <v>4.3606446484040546</v>
      </c>
      <c r="R896" s="54">
        <v>49138.563597171444</v>
      </c>
      <c r="S896" s="54">
        <v>0.12441934205045158</v>
      </c>
      <c r="T896" s="54">
        <v>29854.484302155273</v>
      </c>
      <c r="V896" s="69">
        <f t="shared" si="80"/>
        <v>827960.98197570443</v>
      </c>
      <c r="W896" s="69">
        <f t="shared" si="81"/>
        <v>822990.36608363944</v>
      </c>
      <c r="X896" s="69">
        <f t="shared" si="78"/>
        <v>-4970.6158920649577</v>
      </c>
      <c r="Z896" s="68">
        <f t="shared" si="82"/>
        <v>1</v>
      </c>
      <c r="AA896" s="68">
        <f t="shared" si="83"/>
        <v>0</v>
      </c>
      <c r="AB896" s="68">
        <f t="shared" si="79"/>
        <v>0</v>
      </c>
    </row>
    <row r="897" spans="1:28" x14ac:dyDescent="0.25">
      <c r="A897">
        <v>892</v>
      </c>
      <c r="C897" s="24">
        <v>9.1845425066929831E-3</v>
      </c>
      <c r="D897" s="24">
        <v>7.967795805679048E-4</v>
      </c>
      <c r="E897" s="24">
        <v>3.8388948644672961E-31</v>
      </c>
      <c r="F897" s="24">
        <v>1.1060561377895795E-7</v>
      </c>
      <c r="G897" s="24">
        <v>0.51988484522463807</v>
      </c>
      <c r="H897" s="24">
        <v>0.2553837899489213</v>
      </c>
      <c r="I897" s="53">
        <v>1715.6139018654326</v>
      </c>
      <c r="J897" s="53">
        <v>4653.5286201200879</v>
      </c>
      <c r="K897" s="24">
        <v>0.56266092551266211</v>
      </c>
      <c r="L897" s="24">
        <v>0.96960624177042576</v>
      </c>
      <c r="M897" s="24">
        <v>0.71149524381752771</v>
      </c>
      <c r="O897" s="53">
        <v>4.4045678523288609</v>
      </c>
      <c r="P897" s="54">
        <v>15404.010895644495</v>
      </c>
      <c r="Q897" s="54">
        <v>4.7073242727993359</v>
      </c>
      <c r="R897" s="54">
        <v>40527.746749790516</v>
      </c>
      <c r="S897" s="54">
        <v>0.30275642047047491</v>
      </c>
      <c r="T897" s="54">
        <v>25123.73585414602</v>
      </c>
      <c r="V897" s="69">
        <f t="shared" si="80"/>
        <v>865509.55957012763</v>
      </c>
      <c r="W897" s="69">
        <f t="shared" si="81"/>
        <v>900937.10781007668</v>
      </c>
      <c r="X897" s="69">
        <f t="shared" si="78"/>
        <v>35427.548239948963</v>
      </c>
      <c r="Z897" s="68">
        <f t="shared" si="82"/>
        <v>0</v>
      </c>
      <c r="AA897" s="68">
        <f t="shared" si="83"/>
        <v>1</v>
      </c>
      <c r="AB897" s="68">
        <f t="shared" si="79"/>
        <v>1</v>
      </c>
    </row>
    <row r="898" spans="1:28" x14ac:dyDescent="0.25">
      <c r="A898">
        <v>893</v>
      </c>
      <c r="C898" s="24">
        <v>8.4317649947929035E-8</v>
      </c>
      <c r="D898" s="24">
        <v>1.0744815416639584E-3</v>
      </c>
      <c r="E898" s="24">
        <v>1.8132215433851105E-13</v>
      </c>
      <c r="F898" s="24">
        <v>2.8039701969985922E-15</v>
      </c>
      <c r="G898" s="24">
        <v>0.65967607226997793</v>
      </c>
      <c r="H898" s="24">
        <v>0.27958068947387682</v>
      </c>
      <c r="I898" s="53">
        <v>1732.1711545179694</v>
      </c>
      <c r="J898" s="53">
        <v>6125.32912308714</v>
      </c>
      <c r="K898" s="24">
        <v>0.74184193499073992</v>
      </c>
      <c r="L898" s="24">
        <v>0.95955122721355113</v>
      </c>
      <c r="M898" s="24">
        <v>0.92752092850689449</v>
      </c>
      <c r="O898" s="53">
        <v>4.4284726335110474</v>
      </c>
      <c r="P898" s="54">
        <v>18137.530748766996</v>
      </c>
      <c r="Q898" s="54">
        <v>4.713191373926068</v>
      </c>
      <c r="R898" s="54">
        <v>41360.32411041826</v>
      </c>
      <c r="S898" s="54">
        <v>0.28471874041502065</v>
      </c>
      <c r="T898" s="54">
        <v>23222.793361651264</v>
      </c>
      <c r="V898" s="69">
        <f t="shared" si="80"/>
        <v>867556.99595344253</v>
      </c>
      <c r="W898" s="69">
        <f t="shared" si="81"/>
        <v>901277.95067479543</v>
      </c>
      <c r="X898" s="69">
        <f t="shared" si="78"/>
        <v>33720.954721352871</v>
      </c>
      <c r="Z898" s="68">
        <f t="shared" si="82"/>
        <v>0</v>
      </c>
      <c r="AA898" s="68">
        <f t="shared" si="83"/>
        <v>1</v>
      </c>
      <c r="AB898" s="68">
        <f t="shared" si="79"/>
        <v>1</v>
      </c>
    </row>
    <row r="899" spans="1:28" x14ac:dyDescent="0.25">
      <c r="A899">
        <v>894</v>
      </c>
      <c r="C899" s="24">
        <v>2.8389491585554284E-10</v>
      </c>
      <c r="D899" s="24">
        <v>4.5233628368225309E-3</v>
      </c>
      <c r="E899" s="24">
        <v>4.7068763299185079E-6</v>
      </c>
      <c r="F899" s="24">
        <v>1.763461440392744E-4</v>
      </c>
      <c r="G899" s="24">
        <v>0.64513357751921618</v>
      </c>
      <c r="H899" s="24">
        <v>0.2390729927063584</v>
      </c>
      <c r="I899" s="53">
        <v>2553.0913804986562</v>
      </c>
      <c r="J899" s="53">
        <v>6360.1759386082476</v>
      </c>
      <c r="K899" s="24">
        <v>0.8265814510426458</v>
      </c>
      <c r="L899" s="24">
        <v>0.90493353327778348</v>
      </c>
      <c r="M899" s="24">
        <v>0.92750418852678651</v>
      </c>
      <c r="O899" s="53">
        <v>4.39810376416537</v>
      </c>
      <c r="P899" s="54">
        <v>16528.11119440274</v>
      </c>
      <c r="Q899" s="54">
        <v>4.4997157051143466</v>
      </c>
      <c r="R899" s="54">
        <v>44540.974373712626</v>
      </c>
      <c r="S899" s="54">
        <v>0.10161194094897663</v>
      </c>
      <c r="T899" s="54">
        <v>28012.863179309887</v>
      </c>
      <c r="V899" s="69">
        <f t="shared" si="80"/>
        <v>863092.64163867116</v>
      </c>
      <c r="W899" s="69">
        <f t="shared" si="81"/>
        <v>855402.1666491566</v>
      </c>
      <c r="X899" s="69">
        <f t="shared" si="78"/>
        <v>-7690.4749895145615</v>
      </c>
      <c r="Z899" s="68">
        <f t="shared" si="82"/>
        <v>1</v>
      </c>
      <c r="AA899" s="68">
        <f t="shared" si="83"/>
        <v>0</v>
      </c>
      <c r="AB899" s="68">
        <f t="shared" si="79"/>
        <v>0</v>
      </c>
    </row>
    <row r="900" spans="1:28" x14ac:dyDescent="0.25">
      <c r="A900">
        <v>895</v>
      </c>
      <c r="C900" s="24">
        <v>3.2052289254565571E-6</v>
      </c>
      <c r="D900" s="24">
        <v>1.7833219452431413E-5</v>
      </c>
      <c r="E900" s="24">
        <v>6.7575725927551839E-16</v>
      </c>
      <c r="F900" s="24">
        <v>2.3774938344626052E-36</v>
      </c>
      <c r="G900" s="24">
        <v>0.45715125514069277</v>
      </c>
      <c r="H900" s="24">
        <v>0.20822659808485833</v>
      </c>
      <c r="I900" s="53">
        <v>2174.3002691367087</v>
      </c>
      <c r="J900" s="53">
        <v>4390.8740290180485</v>
      </c>
      <c r="K900" s="24">
        <v>0.75355945263836077</v>
      </c>
      <c r="L900" s="24">
        <v>0.79221985882372659</v>
      </c>
      <c r="M900" s="24">
        <v>0.80064446169215153</v>
      </c>
      <c r="O900" s="53">
        <v>3.9291923189829459</v>
      </c>
      <c r="P900" s="54">
        <v>12413.98292621982</v>
      </c>
      <c r="Q900" s="54">
        <v>3.9509369649829114</v>
      </c>
      <c r="R900" s="54">
        <v>27493.503460008378</v>
      </c>
      <c r="S900" s="54">
        <v>2.1744645999965506E-2</v>
      </c>
      <c r="T900" s="54">
        <v>15079.520533788558</v>
      </c>
      <c r="V900" s="69">
        <f t="shared" si="80"/>
        <v>773424.48087036936</v>
      </c>
      <c r="W900" s="69">
        <f t="shared" si="81"/>
        <v>762693.8895365739</v>
      </c>
      <c r="X900" s="69">
        <f t="shared" si="78"/>
        <v>-10730.591333795457</v>
      </c>
      <c r="Z900" s="68">
        <f t="shared" si="82"/>
        <v>1</v>
      </c>
      <c r="AA900" s="68">
        <f t="shared" si="83"/>
        <v>0</v>
      </c>
      <c r="AB900" s="68">
        <f t="shared" si="79"/>
        <v>0</v>
      </c>
    </row>
    <row r="901" spans="1:28" x14ac:dyDescent="0.25">
      <c r="A901">
        <v>896</v>
      </c>
      <c r="C901" s="24">
        <v>1.8822286212074602E-3</v>
      </c>
      <c r="D901" s="24">
        <v>8.0890662050540074E-3</v>
      </c>
      <c r="E901" s="24">
        <v>2.082251953516856E-5</v>
      </c>
      <c r="F901" s="24">
        <v>3.9068748236559259E-13</v>
      </c>
      <c r="G901" s="24">
        <v>0.5705021313089933</v>
      </c>
      <c r="H901" s="24">
        <v>0.16261016773132897</v>
      </c>
      <c r="I901" s="53">
        <v>1726.6655601552261</v>
      </c>
      <c r="J901" s="53">
        <v>6516.8552614116334</v>
      </c>
      <c r="K901" s="24">
        <v>0.68873190342006385</v>
      </c>
      <c r="L901" s="24">
        <v>0.94068161447507381</v>
      </c>
      <c r="M901" s="24">
        <v>0.82933352518595838</v>
      </c>
      <c r="O901" s="53">
        <v>4.3869666100957243</v>
      </c>
      <c r="P901" s="54">
        <v>15059.944607039395</v>
      </c>
      <c r="Q901" s="54">
        <v>4.64931910369648</v>
      </c>
      <c r="R901" s="54">
        <v>21239.449243587485</v>
      </c>
      <c r="S901" s="54">
        <v>0.26235249360075574</v>
      </c>
      <c r="T901" s="54">
        <v>6179.5046365480903</v>
      </c>
      <c r="V901" s="69">
        <f t="shared" si="80"/>
        <v>862333.37741210544</v>
      </c>
      <c r="W901" s="69">
        <f t="shared" si="81"/>
        <v>908624.37149570859</v>
      </c>
      <c r="X901" s="69">
        <f t="shared" si="78"/>
        <v>46290.994083603058</v>
      </c>
      <c r="Z901" s="68">
        <f t="shared" si="82"/>
        <v>0</v>
      </c>
      <c r="AA901" s="68">
        <f t="shared" si="83"/>
        <v>1</v>
      </c>
      <c r="AB901" s="68">
        <f t="shared" si="79"/>
        <v>1</v>
      </c>
    </row>
    <row r="902" spans="1:28" x14ac:dyDescent="0.25">
      <c r="A902">
        <v>897</v>
      </c>
      <c r="C902" s="24">
        <v>6.922093944251043E-6</v>
      </c>
      <c r="D902" s="24">
        <v>3.7127942770823763E-3</v>
      </c>
      <c r="E902" s="24">
        <v>4.3847148134545932E-12</v>
      </c>
      <c r="F902" s="24">
        <v>2.2018170419342777E-38</v>
      </c>
      <c r="G902" s="24">
        <v>0.57493154851560924</v>
      </c>
      <c r="H902" s="24">
        <v>0.38211095491656599</v>
      </c>
      <c r="I902" s="53">
        <v>1719.9617362194322</v>
      </c>
      <c r="J902" s="53">
        <v>5171.5870162531246</v>
      </c>
      <c r="K902" s="24">
        <v>0.41998836691090874</v>
      </c>
      <c r="L902" s="24">
        <v>0.92757676715296467</v>
      </c>
      <c r="M902" s="24">
        <v>0.88584600036237282</v>
      </c>
      <c r="O902" s="53">
        <v>3.9944634225448907</v>
      </c>
      <c r="P902" s="54">
        <v>14639.232940569316</v>
      </c>
      <c r="Q902" s="54">
        <v>4.3254413765094917</v>
      </c>
      <c r="R902" s="54">
        <v>66101.35539467496</v>
      </c>
      <c r="S902" s="54">
        <v>0.33097795396460095</v>
      </c>
      <c r="T902" s="54">
        <v>51462.122454105644</v>
      </c>
      <c r="V902" s="69">
        <f t="shared" si="80"/>
        <v>784253.45156840887</v>
      </c>
      <c r="W902" s="69">
        <f t="shared" si="81"/>
        <v>798986.91990722343</v>
      </c>
      <c r="X902" s="69">
        <f t="shared" si="78"/>
        <v>14733.468338814549</v>
      </c>
      <c r="Z902" s="68">
        <f t="shared" si="82"/>
        <v>0</v>
      </c>
      <c r="AA902" s="68">
        <f t="shared" si="83"/>
        <v>1</v>
      </c>
      <c r="AB902" s="68">
        <f t="shared" si="79"/>
        <v>1</v>
      </c>
    </row>
    <row r="903" spans="1:28" x14ac:dyDescent="0.25">
      <c r="A903">
        <v>898</v>
      </c>
      <c r="C903" s="24">
        <v>5.4499078824643554E-2</v>
      </c>
      <c r="D903" s="24">
        <v>2.0281543839979488E-3</v>
      </c>
      <c r="E903" s="24">
        <v>4.6886395349404414E-52</v>
      </c>
      <c r="F903" s="24">
        <v>3.9860395095736578E-8</v>
      </c>
      <c r="G903" s="24">
        <v>0.54322693646259301</v>
      </c>
      <c r="H903" s="24">
        <v>0.22415694705142164</v>
      </c>
      <c r="I903" s="53">
        <v>2344.7396122236619</v>
      </c>
      <c r="J903" s="53">
        <v>5369.5790929112636</v>
      </c>
      <c r="K903" s="24">
        <v>0.62412331355436812</v>
      </c>
      <c r="L903" s="24">
        <v>0.7673364895810596</v>
      </c>
      <c r="M903" s="24">
        <v>0.81783388161674675</v>
      </c>
      <c r="O903" s="53">
        <v>3.6977187503729034</v>
      </c>
      <c r="P903" s="54">
        <v>21951.257887729171</v>
      </c>
      <c r="Q903" s="54">
        <v>3.7959503749717722</v>
      </c>
      <c r="R903" s="54">
        <v>36711.439825994174</v>
      </c>
      <c r="S903" s="54">
        <v>9.8231624598868805E-2</v>
      </c>
      <c r="T903" s="54">
        <v>14760.181938265003</v>
      </c>
      <c r="V903" s="69">
        <f t="shared" si="80"/>
        <v>717592.49218685145</v>
      </c>
      <c r="W903" s="69">
        <f t="shared" si="81"/>
        <v>722478.6351683602</v>
      </c>
      <c r="X903" s="69">
        <f t="shared" ref="X903:X966" si="84">S903*cRatio-T903</f>
        <v>4886.1429815087577</v>
      </c>
      <c r="Z903" s="68">
        <f t="shared" si="82"/>
        <v>0</v>
      </c>
      <c r="AA903" s="68">
        <f t="shared" si="83"/>
        <v>1</v>
      </c>
      <c r="AB903" s="68">
        <f t="shared" ref="AB903:AB966" si="85">IF(X903&gt;0,1,0)</f>
        <v>1</v>
      </c>
    </row>
    <row r="904" spans="1:28" x14ac:dyDescent="0.25">
      <c r="A904">
        <v>899</v>
      </c>
      <c r="C904" s="24">
        <v>4.2767611986178622E-3</v>
      </c>
      <c r="D904" s="24">
        <v>1.842409695941627E-3</v>
      </c>
      <c r="E904" s="24">
        <v>1.4201386667108999E-37</v>
      </c>
      <c r="F904" s="24">
        <v>2.2136985074984408E-28</v>
      </c>
      <c r="G904" s="24">
        <v>0.68579055614167772</v>
      </c>
      <c r="H904" s="24">
        <v>0.34319426521194274</v>
      </c>
      <c r="I904" s="53">
        <v>2235.0589481074567</v>
      </c>
      <c r="J904" s="53">
        <v>5088.9416485120837</v>
      </c>
      <c r="K904" s="24">
        <v>0.72727356197647519</v>
      </c>
      <c r="L904" s="24">
        <v>0.85832944002464817</v>
      </c>
      <c r="M904" s="24">
        <v>0.91755105926895197</v>
      </c>
      <c r="O904" s="53">
        <v>4.0515334646405439</v>
      </c>
      <c r="P904" s="54">
        <v>16983.588404441456</v>
      </c>
      <c r="Q904" s="54">
        <v>4.2242381131378002</v>
      </c>
      <c r="R904" s="54">
        <v>45527.141409648299</v>
      </c>
      <c r="S904" s="54">
        <v>0.17270464849725631</v>
      </c>
      <c r="T904" s="54">
        <v>28543.553005206842</v>
      </c>
      <c r="V904" s="69">
        <f t="shared" si="80"/>
        <v>793323.10452366725</v>
      </c>
      <c r="W904" s="69">
        <f t="shared" si="81"/>
        <v>799320.4812179117</v>
      </c>
      <c r="X904" s="69">
        <f t="shared" si="84"/>
        <v>5997.3766942444199</v>
      </c>
      <c r="Z904" s="68">
        <f t="shared" si="82"/>
        <v>0</v>
      </c>
      <c r="AA904" s="68">
        <f t="shared" si="83"/>
        <v>1</v>
      </c>
      <c r="AB904" s="68">
        <f t="shared" si="85"/>
        <v>1</v>
      </c>
    </row>
    <row r="905" spans="1:28" x14ac:dyDescent="0.25">
      <c r="A905">
        <v>900</v>
      </c>
      <c r="C905" s="24">
        <v>7.7859779746947133E-5</v>
      </c>
      <c r="D905" s="24">
        <v>6.2135922707633954E-4</v>
      </c>
      <c r="E905" s="24">
        <v>3.0635457474589793E-34</v>
      </c>
      <c r="F905" s="24">
        <v>5.2157730586779305E-3</v>
      </c>
      <c r="G905" s="24">
        <v>0.66907912562944172</v>
      </c>
      <c r="H905" s="24">
        <v>0.31295236082405087</v>
      </c>
      <c r="I905" s="53">
        <v>2106.0123787424282</v>
      </c>
      <c r="J905" s="53">
        <v>4599.237521674565</v>
      </c>
      <c r="K905" s="24">
        <v>0.72036985116649044</v>
      </c>
      <c r="L905" s="24">
        <v>0.68900804063391641</v>
      </c>
      <c r="M905" s="24">
        <v>0.81536353567922948</v>
      </c>
      <c r="O905" s="53">
        <v>3.5000439110687114</v>
      </c>
      <c r="P905" s="54">
        <v>19585.841415017629</v>
      </c>
      <c r="Q905" s="54">
        <v>3.4360243508023953</v>
      </c>
      <c r="R905" s="54">
        <v>46002.377558980996</v>
      </c>
      <c r="S905" s="54">
        <v>-6.4019560266316056E-2</v>
      </c>
      <c r="T905" s="54">
        <v>26416.536143963367</v>
      </c>
      <c r="V905" s="69">
        <f t="shared" si="80"/>
        <v>680422.94079872465</v>
      </c>
      <c r="W905" s="69">
        <f t="shared" si="81"/>
        <v>641202.49260149815</v>
      </c>
      <c r="X905" s="69">
        <f t="shared" si="84"/>
        <v>-39220.448197226578</v>
      </c>
      <c r="Z905" s="68">
        <f t="shared" si="82"/>
        <v>1</v>
      </c>
      <c r="AA905" s="68">
        <f t="shared" si="83"/>
        <v>0</v>
      </c>
      <c r="AB905" s="68">
        <f t="shared" si="85"/>
        <v>0</v>
      </c>
    </row>
    <row r="906" spans="1:28" x14ac:dyDescent="0.25">
      <c r="A906">
        <v>901</v>
      </c>
      <c r="C906" s="24">
        <v>2.2839813805581866E-3</v>
      </c>
      <c r="D906" s="24">
        <v>6.7568943250421176E-3</v>
      </c>
      <c r="E906" s="24">
        <v>1.575343078208391E-9</v>
      </c>
      <c r="F906" s="24">
        <v>9.4165271008921385E-23</v>
      </c>
      <c r="G906" s="24">
        <v>0.67309035436053977</v>
      </c>
      <c r="H906" s="24">
        <v>0.3215835310880083</v>
      </c>
      <c r="I906" s="53">
        <v>1567.3170575475203</v>
      </c>
      <c r="J906" s="53">
        <v>4920.0826130320656</v>
      </c>
      <c r="K906" s="24">
        <v>0.67272976384531513</v>
      </c>
      <c r="L906" s="24">
        <v>0.77804190056113132</v>
      </c>
      <c r="M906" s="24">
        <v>0.92290488841262197</v>
      </c>
      <c r="O906" s="53">
        <v>3.7065981633385277</v>
      </c>
      <c r="P906" s="54">
        <v>22081.455134227348</v>
      </c>
      <c r="Q906" s="54">
        <v>3.846993513088897</v>
      </c>
      <c r="R906" s="54">
        <v>55213.114465338498</v>
      </c>
      <c r="S906" s="54">
        <v>0.14039534975036938</v>
      </c>
      <c r="T906" s="54">
        <v>33131.65933111115</v>
      </c>
      <c r="V906" s="69">
        <f t="shared" ref="V906:V969" si="86">O906*cRatio-P906</f>
        <v>719238.17753347824</v>
      </c>
      <c r="W906" s="69">
        <f t="shared" ref="W906:W969" si="87">Q906*cRatio-R906</f>
        <v>714185.58815244085</v>
      </c>
      <c r="X906" s="69">
        <f t="shared" si="84"/>
        <v>-5052.5893810372727</v>
      </c>
      <c r="Z906" s="68">
        <f t="shared" ref="Z906:Z969" si="88">IF(MAX(V906:W906)=V906,1,0)</f>
        <v>1</v>
      </c>
      <c r="AA906" s="68">
        <f t="shared" ref="AA906:AA969" si="89">IF(MAX(V906:W906)=W906,1,0)</f>
        <v>0</v>
      </c>
      <c r="AB906" s="68">
        <f t="shared" si="85"/>
        <v>0</v>
      </c>
    </row>
    <row r="907" spans="1:28" x14ac:dyDescent="0.25">
      <c r="A907">
        <v>902</v>
      </c>
      <c r="C907" s="24">
        <v>2.2808048567605543E-8</v>
      </c>
      <c r="D907" s="24">
        <v>1.7213964357515432E-2</v>
      </c>
      <c r="E907" s="24">
        <v>1.8861629049575377E-13</v>
      </c>
      <c r="F907" s="24">
        <v>1.5988765866836729E-11</v>
      </c>
      <c r="G907" s="24">
        <v>0.62694581282201234</v>
      </c>
      <c r="H907" s="24">
        <v>0.21465631965003829</v>
      </c>
      <c r="I907" s="53">
        <v>2383.2575685308288</v>
      </c>
      <c r="J907" s="53">
        <v>5895.9352514121856</v>
      </c>
      <c r="K907" s="24">
        <v>0.46954341042942094</v>
      </c>
      <c r="L907" s="24">
        <v>0.55197174486050216</v>
      </c>
      <c r="M907" s="24">
        <v>0.70870738317072024</v>
      </c>
      <c r="O907" s="53">
        <v>2.6347496022288217</v>
      </c>
      <c r="P907" s="54">
        <v>19208.576078153772</v>
      </c>
      <c r="Q907" s="54">
        <v>2.7535779013326671</v>
      </c>
      <c r="R907" s="54">
        <v>34549.157738977032</v>
      </c>
      <c r="S907" s="54">
        <v>0.1188282991038454</v>
      </c>
      <c r="T907" s="54">
        <v>15340.58166082326</v>
      </c>
      <c r="V907" s="69">
        <f t="shared" si="86"/>
        <v>507741.34436761052</v>
      </c>
      <c r="W907" s="69">
        <f t="shared" si="87"/>
        <v>516166.42252755637</v>
      </c>
      <c r="X907" s="69">
        <f t="shared" si="84"/>
        <v>8425.0781599458205</v>
      </c>
      <c r="Z907" s="68">
        <f t="shared" si="88"/>
        <v>0</v>
      </c>
      <c r="AA907" s="68">
        <f t="shared" si="89"/>
        <v>1</v>
      </c>
      <c r="AB907" s="68">
        <f t="shared" si="85"/>
        <v>1</v>
      </c>
    </row>
    <row r="908" spans="1:28" x14ac:dyDescent="0.25">
      <c r="A908">
        <v>903</v>
      </c>
      <c r="C908" s="24">
        <v>2.1223203535327695E-2</v>
      </c>
      <c r="D908" s="24">
        <v>3.6870769846112372E-3</v>
      </c>
      <c r="E908" s="24">
        <v>5.1640493881066618E-8</v>
      </c>
      <c r="F908" s="24">
        <v>1.0320571933355702E-89</v>
      </c>
      <c r="G908" s="24">
        <v>0.63302175845091591</v>
      </c>
      <c r="H908" s="24">
        <v>0.38045194806492799</v>
      </c>
      <c r="I908" s="53">
        <v>2295.824290745702</v>
      </c>
      <c r="J908" s="53">
        <v>5876.4096090589073</v>
      </c>
      <c r="K908" s="24">
        <v>0.74530423493240638</v>
      </c>
      <c r="L908" s="24">
        <v>0.95757205421607816</v>
      </c>
      <c r="M908" s="24">
        <v>0.82031574661123074</v>
      </c>
      <c r="O908" s="53">
        <v>4.4315365363117225</v>
      </c>
      <c r="P908" s="54">
        <v>22749.544223116205</v>
      </c>
      <c r="Q908" s="54">
        <v>4.6549632575761537</v>
      </c>
      <c r="R908" s="54">
        <v>49873.747441671672</v>
      </c>
      <c r="S908" s="54">
        <v>0.22342672126443119</v>
      </c>
      <c r="T908" s="54">
        <v>27124.203218555467</v>
      </c>
      <c r="V908" s="69">
        <f t="shared" si="86"/>
        <v>863557.76303922827</v>
      </c>
      <c r="W908" s="69">
        <f t="shared" si="87"/>
        <v>881118.9040735591</v>
      </c>
      <c r="X908" s="69">
        <f t="shared" si="84"/>
        <v>17561.141034330769</v>
      </c>
      <c r="Z908" s="68">
        <f t="shared" si="88"/>
        <v>0</v>
      </c>
      <c r="AA908" s="68">
        <f t="shared" si="89"/>
        <v>1</v>
      </c>
      <c r="AB908" s="68">
        <f t="shared" si="85"/>
        <v>1</v>
      </c>
    </row>
    <row r="909" spans="1:28" x14ac:dyDescent="0.25">
      <c r="A909">
        <v>904</v>
      </c>
      <c r="C909" s="24">
        <v>1.147722801001505E-2</v>
      </c>
      <c r="D909" s="24">
        <v>3.1938367331555417E-3</v>
      </c>
      <c r="E909" s="24">
        <v>2.395609808878504E-20</v>
      </c>
      <c r="F909" s="24">
        <v>1.879882324785687E-19</v>
      </c>
      <c r="G909" s="24">
        <v>0.53117822039679563</v>
      </c>
      <c r="H909" s="24">
        <v>0.32209920321923102</v>
      </c>
      <c r="I909" s="53">
        <v>1841.6274143211954</v>
      </c>
      <c r="J909" s="53">
        <v>6882.4647793003305</v>
      </c>
      <c r="K909" s="24">
        <v>0.73686082715047552</v>
      </c>
      <c r="L909" s="24">
        <v>0.89615084527053823</v>
      </c>
      <c r="M909" s="24">
        <v>0.79624096203409334</v>
      </c>
      <c r="O909" s="53">
        <v>4.2983338443771117</v>
      </c>
      <c r="P909" s="54">
        <v>15531.976051478396</v>
      </c>
      <c r="Q909" s="54">
        <v>4.4032005525936704</v>
      </c>
      <c r="R909" s="54">
        <v>53698.341518644782</v>
      </c>
      <c r="S909" s="54">
        <v>0.10486670821655864</v>
      </c>
      <c r="T909" s="54">
        <v>38166.365467166383</v>
      </c>
      <c r="V909" s="69">
        <f t="shared" si="86"/>
        <v>844134.79282394389</v>
      </c>
      <c r="W909" s="69">
        <f t="shared" si="87"/>
        <v>826941.76900008926</v>
      </c>
      <c r="X909" s="69">
        <f t="shared" si="84"/>
        <v>-17193.023823854655</v>
      </c>
      <c r="Z909" s="68">
        <f t="shared" si="88"/>
        <v>1</v>
      </c>
      <c r="AA909" s="68">
        <f t="shared" si="89"/>
        <v>0</v>
      </c>
      <c r="AB909" s="68">
        <f t="shared" si="85"/>
        <v>0</v>
      </c>
    </row>
    <row r="910" spans="1:28" x14ac:dyDescent="0.25">
      <c r="A910">
        <v>905</v>
      </c>
      <c r="C910" s="24">
        <v>2.7786201174048975E-5</v>
      </c>
      <c r="D910" s="24">
        <v>1.5033893798623854E-3</v>
      </c>
      <c r="E910" s="24">
        <v>1.8069183300273295E-5</v>
      </c>
      <c r="F910" s="24">
        <v>2.9715187774726122E-34</v>
      </c>
      <c r="G910" s="24">
        <v>0.60401496290202061</v>
      </c>
      <c r="H910" s="24">
        <v>0.28107565938170653</v>
      </c>
      <c r="I910" s="53">
        <v>2114.2947444472356</v>
      </c>
      <c r="J910" s="53">
        <v>6360.2372041160515</v>
      </c>
      <c r="K910" s="24">
        <v>0.75511214093648993</v>
      </c>
      <c r="L910" s="24">
        <v>0.82288675051680249</v>
      </c>
      <c r="M910" s="24">
        <v>0.824308773692777</v>
      </c>
      <c r="O910" s="53">
        <v>4.0192305798803387</v>
      </c>
      <c r="P910" s="54">
        <v>13877.184571395166</v>
      </c>
      <c r="Q910" s="54">
        <v>4.0879963139077722</v>
      </c>
      <c r="R910" s="54">
        <v>30531.511646179082</v>
      </c>
      <c r="S910" s="54">
        <v>6.8765734027433467E-2</v>
      </c>
      <c r="T910" s="54">
        <v>16654.327074783916</v>
      </c>
      <c r="V910" s="69">
        <f t="shared" si="86"/>
        <v>789968.93140467256</v>
      </c>
      <c r="W910" s="69">
        <f t="shared" si="87"/>
        <v>787067.75113537535</v>
      </c>
      <c r="X910" s="69">
        <f t="shared" si="84"/>
        <v>-2901.1802692972233</v>
      </c>
      <c r="Z910" s="68">
        <f t="shared" si="88"/>
        <v>1</v>
      </c>
      <c r="AA910" s="68">
        <f t="shared" si="89"/>
        <v>0</v>
      </c>
      <c r="AB910" s="68">
        <f t="shared" si="85"/>
        <v>0</v>
      </c>
    </row>
    <row r="911" spans="1:28" x14ac:dyDescent="0.25">
      <c r="A911">
        <v>906</v>
      </c>
      <c r="C911" s="24">
        <v>5.058653569362413E-7</v>
      </c>
      <c r="D911" s="24">
        <v>9.2725931993158176E-5</v>
      </c>
      <c r="E911" s="24">
        <v>1.6157965926501162E-52</v>
      </c>
      <c r="F911" s="24">
        <v>1.7432056886658747E-15</v>
      </c>
      <c r="G911" s="24">
        <v>0.53414125812440538</v>
      </c>
      <c r="H911" s="24">
        <v>0.1307278686501232</v>
      </c>
      <c r="I911" s="53">
        <v>1363.891947675661</v>
      </c>
      <c r="J911" s="53">
        <v>3261.3441892721403</v>
      </c>
      <c r="K911" s="24">
        <v>0.7056839281699725</v>
      </c>
      <c r="L911" s="24">
        <v>0.87960407151984921</v>
      </c>
      <c r="M911" s="24">
        <v>0.86414477970707049</v>
      </c>
      <c r="O911" s="53">
        <v>4.2072783410903147</v>
      </c>
      <c r="P911" s="54">
        <v>15709.953335971315</v>
      </c>
      <c r="Q911" s="54">
        <v>4.3718579021680029</v>
      </c>
      <c r="R911" s="54">
        <v>18579.103003522268</v>
      </c>
      <c r="S911" s="54">
        <v>0.16457956107768812</v>
      </c>
      <c r="T911" s="54">
        <v>2869.1496675509534</v>
      </c>
      <c r="V911" s="69">
        <f t="shared" si="86"/>
        <v>825745.71488209162</v>
      </c>
      <c r="W911" s="69">
        <f t="shared" si="87"/>
        <v>855792.47743007832</v>
      </c>
      <c r="X911" s="69">
        <f t="shared" si="84"/>
        <v>30046.762547986669</v>
      </c>
      <c r="Z911" s="68">
        <f t="shared" si="88"/>
        <v>0</v>
      </c>
      <c r="AA911" s="68">
        <f t="shared" si="89"/>
        <v>1</v>
      </c>
      <c r="AB911" s="68">
        <f t="shared" si="85"/>
        <v>1</v>
      </c>
    </row>
    <row r="912" spans="1:28" x14ac:dyDescent="0.25">
      <c r="A912">
        <v>907</v>
      </c>
      <c r="C912" s="24">
        <v>7.4442618091806949E-7</v>
      </c>
      <c r="D912" s="24">
        <v>1.4185401092225991E-3</v>
      </c>
      <c r="E912" s="24">
        <v>7.1841834434411688E-14</v>
      </c>
      <c r="F912" s="24">
        <v>2.5042649688611363E-5</v>
      </c>
      <c r="G912" s="24">
        <v>0.55479105535193041</v>
      </c>
      <c r="H912" s="24">
        <v>0.27169301224554998</v>
      </c>
      <c r="I912" s="53">
        <v>1914.7871901893909</v>
      </c>
      <c r="J912" s="53">
        <v>4970.4308635269381</v>
      </c>
      <c r="K912" s="24">
        <v>0.65510472692757382</v>
      </c>
      <c r="L912" s="24">
        <v>0.98217742249558726</v>
      </c>
      <c r="M912" s="24">
        <v>0.93364183915876098</v>
      </c>
      <c r="O912" s="53">
        <v>4.5247314798271878</v>
      </c>
      <c r="P912" s="54">
        <v>14476.625186369214</v>
      </c>
      <c r="Q912" s="54">
        <v>4.7884603997820099</v>
      </c>
      <c r="R912" s="54">
        <v>38328.256105450455</v>
      </c>
      <c r="S912" s="54">
        <v>0.26372891995482206</v>
      </c>
      <c r="T912" s="54">
        <v>23851.630919081239</v>
      </c>
      <c r="V912" s="69">
        <f t="shared" si="86"/>
        <v>890469.67077906837</v>
      </c>
      <c r="W912" s="69">
        <f t="shared" si="87"/>
        <v>919363.82385095151</v>
      </c>
      <c r="X912" s="69">
        <f t="shared" si="84"/>
        <v>28894.153071883171</v>
      </c>
      <c r="Z912" s="68">
        <f t="shared" si="88"/>
        <v>0</v>
      </c>
      <c r="AA912" s="68">
        <f t="shared" si="89"/>
        <v>1</v>
      </c>
      <c r="AB912" s="68">
        <f t="shared" si="85"/>
        <v>1</v>
      </c>
    </row>
    <row r="913" spans="1:28" x14ac:dyDescent="0.25">
      <c r="A913">
        <v>908</v>
      </c>
      <c r="C913" s="24">
        <v>1.0257491747753972E-10</v>
      </c>
      <c r="D913" s="24">
        <v>8.7218270692985822E-3</v>
      </c>
      <c r="E913" s="24">
        <v>1.4007679496753078E-2</v>
      </c>
      <c r="F913" s="24">
        <v>4.5041661450254189E-30</v>
      </c>
      <c r="G913" s="24">
        <v>0.63782138431088076</v>
      </c>
      <c r="H913" s="24">
        <v>0.21646559252003006</v>
      </c>
      <c r="I913" s="53">
        <v>1530.1504518545444</v>
      </c>
      <c r="J913" s="53">
        <v>4404.6383739615885</v>
      </c>
      <c r="K913" s="24">
        <v>0.71880969330834232</v>
      </c>
      <c r="L913" s="24">
        <v>0.76416666636462671</v>
      </c>
      <c r="M913" s="24">
        <v>0.8386558967957789</v>
      </c>
      <c r="O913" s="53">
        <v>3.6481673872759632</v>
      </c>
      <c r="P913" s="54">
        <v>17626.683054106023</v>
      </c>
      <c r="Q913" s="54">
        <v>3.8122254801645523</v>
      </c>
      <c r="R913" s="54">
        <v>32853.378530897964</v>
      </c>
      <c r="S913" s="54">
        <v>0.16405809288858908</v>
      </c>
      <c r="T913" s="54">
        <v>15226.695476791941</v>
      </c>
      <c r="V913" s="69">
        <f t="shared" si="86"/>
        <v>712006.79440108652</v>
      </c>
      <c r="W913" s="69">
        <f t="shared" si="87"/>
        <v>729591.7175020125</v>
      </c>
      <c r="X913" s="69">
        <f t="shared" si="84"/>
        <v>17584.923100925876</v>
      </c>
      <c r="Z913" s="68">
        <f t="shared" si="88"/>
        <v>0</v>
      </c>
      <c r="AA913" s="68">
        <f t="shared" si="89"/>
        <v>1</v>
      </c>
      <c r="AB913" s="68">
        <f t="shared" si="85"/>
        <v>1</v>
      </c>
    </row>
    <row r="914" spans="1:28" x14ac:dyDescent="0.25">
      <c r="A914">
        <v>909</v>
      </c>
      <c r="C914" s="24">
        <v>1.6976638579565066E-5</v>
      </c>
      <c r="D914" s="24">
        <v>8.8004150622371122E-5</v>
      </c>
      <c r="E914" s="24">
        <v>1.5573812197135344E-32</v>
      </c>
      <c r="F914" s="24">
        <v>2.143682658162227E-6</v>
      </c>
      <c r="G914" s="24">
        <v>0.58335415491636844</v>
      </c>
      <c r="H914" s="24">
        <v>0.18341380727327272</v>
      </c>
      <c r="I914" s="53">
        <v>1985.5493152670817</v>
      </c>
      <c r="J914" s="53">
        <v>4491.6933580668501</v>
      </c>
      <c r="K914" s="24">
        <v>0.62258099935959055</v>
      </c>
      <c r="L914" s="24">
        <v>0.60316777999920834</v>
      </c>
      <c r="M914" s="24">
        <v>0.79624417854737017</v>
      </c>
      <c r="O914" s="53">
        <v>3.0412125820022755</v>
      </c>
      <c r="P914" s="54">
        <v>16581.092710187815</v>
      </c>
      <c r="Q914" s="54">
        <v>3.0202902129491904</v>
      </c>
      <c r="R914" s="54">
        <v>22669.867276387064</v>
      </c>
      <c r="S914" s="54">
        <v>-2.0922369053085088E-2</v>
      </c>
      <c r="T914" s="54">
        <v>6088.7745661992485</v>
      </c>
      <c r="V914" s="69">
        <f t="shared" si="86"/>
        <v>591661.42369026737</v>
      </c>
      <c r="W914" s="69">
        <f t="shared" si="87"/>
        <v>581388.17531345098</v>
      </c>
      <c r="X914" s="69">
        <f t="shared" si="84"/>
        <v>-10273.248376816267</v>
      </c>
      <c r="Z914" s="68">
        <f t="shared" si="88"/>
        <v>1</v>
      </c>
      <c r="AA914" s="68">
        <f t="shared" si="89"/>
        <v>0</v>
      </c>
      <c r="AB914" s="68">
        <f t="shared" si="85"/>
        <v>0</v>
      </c>
    </row>
    <row r="915" spans="1:28" x14ac:dyDescent="0.25">
      <c r="A915">
        <v>910</v>
      </c>
      <c r="C915" s="24">
        <v>3.9828886581694256E-4</v>
      </c>
      <c r="D915" s="24">
        <v>1.9743552144355636E-3</v>
      </c>
      <c r="E915" s="24">
        <v>1.7934394887862181E-34</v>
      </c>
      <c r="F915" s="24">
        <v>4.6049924521551119E-18</v>
      </c>
      <c r="G915" s="24">
        <v>0.76097170480808829</v>
      </c>
      <c r="H915" s="24">
        <v>0.35438511980101328</v>
      </c>
      <c r="I915" s="53">
        <v>1575.2191583506478</v>
      </c>
      <c r="J915" s="53">
        <v>6486.3189450662067</v>
      </c>
      <c r="K915" s="24">
        <v>0.72313385153716436</v>
      </c>
      <c r="L915" s="24">
        <v>0.71582911542253969</v>
      </c>
      <c r="M915" s="24">
        <v>0.79487996689682516</v>
      </c>
      <c r="O915" s="53">
        <v>3.5968129823082515</v>
      </c>
      <c r="P915" s="54">
        <v>18869.579558650868</v>
      </c>
      <c r="Q915" s="54">
        <v>3.5842095872994792</v>
      </c>
      <c r="R915" s="54">
        <v>43911.694140743697</v>
      </c>
      <c r="S915" s="54">
        <v>-1.2603395008772278E-2</v>
      </c>
      <c r="T915" s="54">
        <v>25042.114582092829</v>
      </c>
      <c r="V915" s="69">
        <f t="shared" si="86"/>
        <v>700493.01690299949</v>
      </c>
      <c r="W915" s="69">
        <f t="shared" si="87"/>
        <v>672930.22331915214</v>
      </c>
      <c r="X915" s="69">
        <f t="shared" si="84"/>
        <v>-27562.793583847284</v>
      </c>
      <c r="Z915" s="68">
        <f t="shared" si="88"/>
        <v>1</v>
      </c>
      <c r="AA915" s="68">
        <f t="shared" si="89"/>
        <v>0</v>
      </c>
      <c r="AB915" s="68">
        <f t="shared" si="85"/>
        <v>0</v>
      </c>
    </row>
    <row r="916" spans="1:28" x14ac:dyDescent="0.25">
      <c r="A916">
        <v>911</v>
      </c>
      <c r="C916" s="24">
        <v>7.6787315090284608E-6</v>
      </c>
      <c r="D916" s="24">
        <v>9.4673520165987624E-3</v>
      </c>
      <c r="E916" s="24">
        <v>7.6641822888134925E-9</v>
      </c>
      <c r="F916" s="24">
        <v>7.105445398725152E-8</v>
      </c>
      <c r="G916" s="24">
        <v>0.66615311086898266</v>
      </c>
      <c r="H916" s="24">
        <v>0.27894020195208769</v>
      </c>
      <c r="I916" s="53">
        <v>2046.0043940334242</v>
      </c>
      <c r="J916" s="53">
        <v>5613.1933808555423</v>
      </c>
      <c r="K916" s="24">
        <v>0.41413796619973231</v>
      </c>
      <c r="L916" s="24">
        <v>0.68237809229437618</v>
      </c>
      <c r="M916" s="24">
        <v>0.83295202062274265</v>
      </c>
      <c r="O916" s="53">
        <v>2.9468728941974818</v>
      </c>
      <c r="P916" s="54">
        <v>20430.581192656246</v>
      </c>
      <c r="Q916" s="54">
        <v>3.3174188566682079</v>
      </c>
      <c r="R916" s="54">
        <v>39309.190317793335</v>
      </c>
      <c r="S916" s="54">
        <v>0.37054596247072613</v>
      </c>
      <c r="T916" s="54">
        <v>18878.609125137089</v>
      </c>
      <c r="V916" s="69">
        <f t="shared" si="86"/>
        <v>568943.99764684006</v>
      </c>
      <c r="W916" s="69">
        <f t="shared" si="87"/>
        <v>624174.58101584832</v>
      </c>
      <c r="X916" s="69">
        <f t="shared" si="84"/>
        <v>55230.583369008142</v>
      </c>
      <c r="Z916" s="68">
        <f t="shared" si="88"/>
        <v>0</v>
      </c>
      <c r="AA916" s="68">
        <f t="shared" si="89"/>
        <v>1</v>
      </c>
      <c r="AB916" s="68">
        <f t="shared" si="85"/>
        <v>1</v>
      </c>
    </row>
    <row r="917" spans="1:28" x14ac:dyDescent="0.25">
      <c r="A917">
        <v>912</v>
      </c>
      <c r="C917" s="24">
        <v>5.7163297200180097E-5</v>
      </c>
      <c r="D917" s="24">
        <v>4.7547161168338681E-3</v>
      </c>
      <c r="E917" s="24">
        <v>1.4544120019444051E-8</v>
      </c>
      <c r="F917" s="24">
        <v>4.6541659415311187E-12</v>
      </c>
      <c r="G917" s="24">
        <v>0.56449288519165419</v>
      </c>
      <c r="H917" s="24">
        <v>0.19179836632837843</v>
      </c>
      <c r="I917" s="53">
        <v>2147.9470950270879</v>
      </c>
      <c r="J917" s="53">
        <v>6040.7423882915245</v>
      </c>
      <c r="K917" s="24">
        <v>0.69204444122863884</v>
      </c>
      <c r="L917" s="24">
        <v>0.81369114252095787</v>
      </c>
      <c r="M917" s="24">
        <v>0.83947731628443456</v>
      </c>
      <c r="O917" s="53">
        <v>3.9198307961058041</v>
      </c>
      <c r="P917" s="54">
        <v>17383.893230765745</v>
      </c>
      <c r="Q917" s="54">
        <v>4.0403171381854808</v>
      </c>
      <c r="R917" s="54">
        <v>22561.113401940354</v>
      </c>
      <c r="S917" s="54">
        <v>0.12048634207967668</v>
      </c>
      <c r="T917" s="54">
        <v>5177.2201711746093</v>
      </c>
      <c r="V917" s="69">
        <f t="shared" si="86"/>
        <v>766582.2659903951</v>
      </c>
      <c r="W917" s="69">
        <f t="shared" si="87"/>
        <v>785502.31423515582</v>
      </c>
      <c r="X917" s="69">
        <f t="shared" si="84"/>
        <v>18920.048244760725</v>
      </c>
      <c r="Z917" s="68">
        <f t="shared" si="88"/>
        <v>0</v>
      </c>
      <c r="AA917" s="68">
        <f t="shared" si="89"/>
        <v>1</v>
      </c>
      <c r="AB917" s="68">
        <f t="shared" si="85"/>
        <v>1</v>
      </c>
    </row>
    <row r="918" spans="1:28" x14ac:dyDescent="0.25">
      <c r="A918">
        <v>913</v>
      </c>
      <c r="C918" s="24">
        <v>4.8332119249478891E-8</v>
      </c>
      <c r="D918" s="24">
        <v>1.0041136551707857E-4</v>
      </c>
      <c r="E918" s="24">
        <v>4.9081849695653545E-12</v>
      </c>
      <c r="F918" s="24">
        <v>6.1556189727767222E-16</v>
      </c>
      <c r="G918" s="24">
        <v>0.52239296750525566</v>
      </c>
      <c r="H918" s="24">
        <v>0.31924509693483893</v>
      </c>
      <c r="I918" s="53">
        <v>1790.5993991919624</v>
      </c>
      <c r="J918" s="53">
        <v>5634.6111373531494</v>
      </c>
      <c r="K918" s="24">
        <v>0.61577142148845332</v>
      </c>
      <c r="L918" s="24">
        <v>0.89523404632045933</v>
      </c>
      <c r="M918" s="24">
        <v>0.92712649325746921</v>
      </c>
      <c r="O918" s="53">
        <v>4.1823934942918566</v>
      </c>
      <c r="P918" s="54">
        <v>14073.730379706136</v>
      </c>
      <c r="Q918" s="54">
        <v>4.3455700567419191</v>
      </c>
      <c r="R918" s="54">
        <v>55426.708422291063</v>
      </c>
      <c r="S918" s="54">
        <v>0.16317656245006251</v>
      </c>
      <c r="T918" s="54">
        <v>41352.978042584931</v>
      </c>
      <c r="V918" s="69">
        <f t="shared" si="86"/>
        <v>822404.96847866522</v>
      </c>
      <c r="W918" s="69">
        <f t="shared" si="87"/>
        <v>813687.30292609276</v>
      </c>
      <c r="X918" s="69">
        <f t="shared" si="84"/>
        <v>-8717.6655525724273</v>
      </c>
      <c r="Z918" s="68">
        <f t="shared" si="88"/>
        <v>1</v>
      </c>
      <c r="AA918" s="68">
        <f t="shared" si="89"/>
        <v>0</v>
      </c>
      <c r="AB918" s="68">
        <f t="shared" si="85"/>
        <v>0</v>
      </c>
    </row>
    <row r="919" spans="1:28" x14ac:dyDescent="0.25">
      <c r="A919">
        <v>914</v>
      </c>
      <c r="C919" s="24">
        <v>5.0089761201441707E-3</v>
      </c>
      <c r="D919" s="24">
        <v>2.3387127090592866E-4</v>
      </c>
      <c r="E919" s="24">
        <v>4.6605275194622209E-11</v>
      </c>
      <c r="F919" s="24">
        <v>1.2786592362701299E-7</v>
      </c>
      <c r="G919" s="24">
        <v>0.54846558436016934</v>
      </c>
      <c r="H919" s="24">
        <v>0.18245764770380168</v>
      </c>
      <c r="I919" s="53">
        <v>2104.916519252818</v>
      </c>
      <c r="J919" s="53">
        <v>6242.5425200024038</v>
      </c>
      <c r="K919" s="24">
        <v>0.76372415935666438</v>
      </c>
      <c r="L919" s="24">
        <v>0.6088167011579666</v>
      </c>
      <c r="M919" s="24">
        <v>0.86260050818979261</v>
      </c>
      <c r="O919" s="53">
        <v>3.2337330189054612</v>
      </c>
      <c r="P919" s="54">
        <v>15996.292012567335</v>
      </c>
      <c r="Q919" s="54">
        <v>3.078994826605963</v>
      </c>
      <c r="R919" s="54">
        <v>29274.775068678755</v>
      </c>
      <c r="S919" s="54">
        <v>-0.15473819229949815</v>
      </c>
      <c r="T919" s="54">
        <v>13278.48305611142</v>
      </c>
      <c r="V919" s="69">
        <f t="shared" si="86"/>
        <v>630750.31176852493</v>
      </c>
      <c r="W919" s="69">
        <f t="shared" si="87"/>
        <v>586524.19025251386</v>
      </c>
      <c r="X919" s="69">
        <f t="shared" si="84"/>
        <v>-44226.121516011051</v>
      </c>
      <c r="Z919" s="68">
        <f t="shared" si="88"/>
        <v>1</v>
      </c>
      <c r="AA919" s="68">
        <f t="shared" si="89"/>
        <v>0</v>
      </c>
      <c r="AB919" s="68">
        <f t="shared" si="85"/>
        <v>0</v>
      </c>
    </row>
    <row r="920" spans="1:28" x14ac:dyDescent="0.25">
      <c r="A920">
        <v>915</v>
      </c>
      <c r="C920" s="24">
        <v>1.1770507789321538E-4</v>
      </c>
      <c r="D920" s="24">
        <v>2.5705056922494915E-5</v>
      </c>
      <c r="E920" s="24">
        <v>6.9755019171950775E-27</v>
      </c>
      <c r="F920" s="24">
        <v>7.6992574958856252E-6</v>
      </c>
      <c r="G920" s="24">
        <v>0.6908808087813334</v>
      </c>
      <c r="H920" s="24">
        <v>0.32910472317693595</v>
      </c>
      <c r="I920" s="53">
        <v>1441.578389565256</v>
      </c>
      <c r="J920" s="53">
        <v>6153.5363393442758</v>
      </c>
      <c r="K920" s="24">
        <v>0.63565256198998599</v>
      </c>
      <c r="L920" s="24">
        <v>0.95674171229881388</v>
      </c>
      <c r="M920" s="24">
        <v>0.72308093421855357</v>
      </c>
      <c r="O920" s="53">
        <v>4.1787559829763286</v>
      </c>
      <c r="P920" s="54">
        <v>19196.971978697773</v>
      </c>
      <c r="Q920" s="54">
        <v>4.6267178724196185</v>
      </c>
      <c r="R920" s="54">
        <v>54969.378730100834</v>
      </c>
      <c r="S920" s="54">
        <v>0.44796188944328996</v>
      </c>
      <c r="T920" s="54">
        <v>35772.406751403061</v>
      </c>
      <c r="V920" s="69">
        <f t="shared" si="86"/>
        <v>816554.22461656795</v>
      </c>
      <c r="W920" s="69">
        <f t="shared" si="87"/>
        <v>870374.19575382292</v>
      </c>
      <c r="X920" s="69">
        <f t="shared" si="84"/>
        <v>53819.971137254935</v>
      </c>
      <c r="Z920" s="68">
        <f t="shared" si="88"/>
        <v>0</v>
      </c>
      <c r="AA920" s="68">
        <f t="shared" si="89"/>
        <v>1</v>
      </c>
      <c r="AB920" s="68">
        <f t="shared" si="85"/>
        <v>1</v>
      </c>
    </row>
    <row r="921" spans="1:28" x14ac:dyDescent="0.25">
      <c r="A921">
        <v>916</v>
      </c>
      <c r="C921" s="24">
        <v>1.2043105600815229E-3</v>
      </c>
      <c r="D921" s="24">
        <v>1.2968299754394319E-3</v>
      </c>
      <c r="E921" s="24">
        <v>3.1145229079099224E-6</v>
      </c>
      <c r="F921" s="24">
        <v>3.9220018404839685E-5</v>
      </c>
      <c r="G921" s="24">
        <v>0.61955089950102304</v>
      </c>
      <c r="H921" s="24">
        <v>0.20286754108126914</v>
      </c>
      <c r="I921" s="53">
        <v>2108.3046344223385</v>
      </c>
      <c r="J921" s="53">
        <v>4145.1604022857164</v>
      </c>
      <c r="K921" s="24">
        <v>0.72564708953315715</v>
      </c>
      <c r="L921" s="24">
        <v>0.97879895967586283</v>
      </c>
      <c r="M921" s="24">
        <v>0.88491485789127911</v>
      </c>
      <c r="O921" s="53">
        <v>4.5183006372814294</v>
      </c>
      <c r="P921" s="54">
        <v>18108.314617169948</v>
      </c>
      <c r="Q921" s="54">
        <v>4.8286372653609684</v>
      </c>
      <c r="R921" s="54">
        <v>27340.885610233385</v>
      </c>
      <c r="S921" s="54">
        <v>0.31033662807953899</v>
      </c>
      <c r="T921" s="54">
        <v>9232.5709930634366</v>
      </c>
      <c r="V921" s="69">
        <f t="shared" si="86"/>
        <v>885551.81283911597</v>
      </c>
      <c r="W921" s="69">
        <f t="shared" si="87"/>
        <v>938386.56746196025</v>
      </c>
      <c r="X921" s="69">
        <f t="shared" si="84"/>
        <v>52834.754622844368</v>
      </c>
      <c r="Z921" s="68">
        <f t="shared" si="88"/>
        <v>0</v>
      </c>
      <c r="AA921" s="68">
        <f t="shared" si="89"/>
        <v>1</v>
      </c>
      <c r="AB921" s="68">
        <f t="shared" si="85"/>
        <v>1</v>
      </c>
    </row>
    <row r="922" spans="1:28" x14ac:dyDescent="0.25">
      <c r="A922">
        <v>917</v>
      </c>
      <c r="C922" s="24">
        <v>6.4766306526523399E-7</v>
      </c>
      <c r="D922" s="24">
        <v>4.1721233298265157E-4</v>
      </c>
      <c r="E922" s="24">
        <v>6.0013768399258538E-9</v>
      </c>
      <c r="F922" s="24">
        <v>6.1453376262241254E-16</v>
      </c>
      <c r="G922" s="24">
        <v>0.52030203800998442</v>
      </c>
      <c r="H922" s="24">
        <v>0.27067936519431668</v>
      </c>
      <c r="I922" s="53">
        <v>2176.9631448365326</v>
      </c>
      <c r="J922" s="53">
        <v>4030.4457671877599</v>
      </c>
      <c r="K922" s="24">
        <v>0.52879693266154515</v>
      </c>
      <c r="L922" s="24">
        <v>0.97299912107828401</v>
      </c>
      <c r="M922" s="24">
        <v>0.69871602558250356</v>
      </c>
      <c r="O922" s="53">
        <v>4.4015639281551149</v>
      </c>
      <c r="P922" s="54">
        <v>14722.266020272902</v>
      </c>
      <c r="Q922" s="54">
        <v>4.6996479993638269</v>
      </c>
      <c r="R922" s="54">
        <v>35415.962187542995</v>
      </c>
      <c r="S922" s="54">
        <v>0.29808407120871205</v>
      </c>
      <c r="T922" s="54">
        <v>20693.696167270093</v>
      </c>
      <c r="V922" s="69">
        <f t="shared" si="86"/>
        <v>865590.51961075014</v>
      </c>
      <c r="W922" s="69">
        <f t="shared" si="87"/>
        <v>904513.63768522232</v>
      </c>
      <c r="X922" s="69">
        <f t="shared" si="84"/>
        <v>38923.118074472317</v>
      </c>
      <c r="Z922" s="68">
        <f t="shared" si="88"/>
        <v>0</v>
      </c>
      <c r="AA922" s="68">
        <f t="shared" si="89"/>
        <v>1</v>
      </c>
      <c r="AB922" s="68">
        <f t="shared" si="85"/>
        <v>1</v>
      </c>
    </row>
    <row r="923" spans="1:28" x14ac:dyDescent="0.25">
      <c r="A923">
        <v>918</v>
      </c>
      <c r="C923" s="24">
        <v>2.5004495245182754E-7</v>
      </c>
      <c r="D923" s="24">
        <v>1.0708425282677458E-2</v>
      </c>
      <c r="E923" s="24">
        <v>9.0720642975661292E-7</v>
      </c>
      <c r="F923" s="24">
        <v>9.4794614547233463E-30</v>
      </c>
      <c r="G923" s="24">
        <v>0.60405600707005203</v>
      </c>
      <c r="H923" s="24">
        <v>0.2398317644499981</v>
      </c>
      <c r="I923" s="53">
        <v>1912.0783710654734</v>
      </c>
      <c r="J923" s="53">
        <v>4760.9493226498435</v>
      </c>
      <c r="K923" s="24">
        <v>0.67237558976763778</v>
      </c>
      <c r="L923" s="24">
        <v>0.78404058797118026</v>
      </c>
      <c r="M923" s="24">
        <v>0.88356130237775954</v>
      </c>
      <c r="O923" s="53">
        <v>3.7635403162195398</v>
      </c>
      <c r="P923" s="54">
        <v>15320.864428479614</v>
      </c>
      <c r="Q923" s="54">
        <v>3.8915685207189363</v>
      </c>
      <c r="R923" s="54">
        <v>30970.095011465204</v>
      </c>
      <c r="S923" s="54">
        <v>0.12802820449939656</v>
      </c>
      <c r="T923" s="54">
        <v>15649.23058298559</v>
      </c>
      <c r="V923" s="69">
        <f t="shared" si="86"/>
        <v>737387.19881542842</v>
      </c>
      <c r="W923" s="69">
        <f t="shared" si="87"/>
        <v>747343.60913232202</v>
      </c>
      <c r="X923" s="69">
        <f t="shared" si="84"/>
        <v>9956.4103168937218</v>
      </c>
      <c r="Z923" s="68">
        <f t="shared" si="88"/>
        <v>0</v>
      </c>
      <c r="AA923" s="68">
        <f t="shared" si="89"/>
        <v>1</v>
      </c>
      <c r="AB923" s="68">
        <f t="shared" si="85"/>
        <v>1</v>
      </c>
    </row>
    <row r="924" spans="1:28" x14ac:dyDescent="0.25">
      <c r="A924">
        <v>919</v>
      </c>
      <c r="C924" s="24">
        <v>2.2904484962245298E-5</v>
      </c>
      <c r="D924" s="24">
        <v>5.3515468565507496E-4</v>
      </c>
      <c r="E924" s="24">
        <v>2.9704163617654267E-3</v>
      </c>
      <c r="F924" s="24">
        <v>1.8766359558751001E-34</v>
      </c>
      <c r="G924" s="24">
        <v>0.65513690972987937</v>
      </c>
      <c r="H924" s="24">
        <v>0.26797327494844647</v>
      </c>
      <c r="I924" s="53">
        <v>2025.3203585341944</v>
      </c>
      <c r="J924" s="53">
        <v>5836.2078842142391</v>
      </c>
      <c r="K924" s="24">
        <v>0.77631383622839834</v>
      </c>
      <c r="L924" s="24">
        <v>0.8625276768283574</v>
      </c>
      <c r="M924" s="24">
        <v>0.8987911502523892</v>
      </c>
      <c r="O924" s="53">
        <v>4.1438959072663861</v>
      </c>
      <c r="P924" s="54">
        <v>20953.024008388034</v>
      </c>
      <c r="Q924" s="54">
        <v>4.2812445274603235</v>
      </c>
      <c r="R924" s="54">
        <v>49244.752625712223</v>
      </c>
      <c r="S924" s="54">
        <v>0.13734862019393734</v>
      </c>
      <c r="T924" s="54">
        <v>28291.728617324188</v>
      </c>
      <c r="V924" s="69">
        <f t="shared" si="86"/>
        <v>807826.15744488919</v>
      </c>
      <c r="W924" s="69">
        <f t="shared" si="87"/>
        <v>807004.15286635247</v>
      </c>
      <c r="X924" s="69">
        <f t="shared" si="84"/>
        <v>-822.00457853671833</v>
      </c>
      <c r="Z924" s="68">
        <f t="shared" si="88"/>
        <v>1</v>
      </c>
      <c r="AA924" s="68">
        <f t="shared" si="89"/>
        <v>0</v>
      </c>
      <c r="AB924" s="68">
        <f t="shared" si="85"/>
        <v>0</v>
      </c>
    </row>
    <row r="925" spans="1:28" x14ac:dyDescent="0.25">
      <c r="A925">
        <v>920</v>
      </c>
      <c r="C925" s="24">
        <v>2.5363524386839975E-3</v>
      </c>
      <c r="D925" s="24">
        <v>3.9668401168053702E-3</v>
      </c>
      <c r="E925" s="24">
        <v>5.8755222909212534E-12</v>
      </c>
      <c r="F925" s="24">
        <v>4.5142844351531153E-7</v>
      </c>
      <c r="G925" s="24">
        <v>0.60385198783207694</v>
      </c>
      <c r="H925" s="24">
        <v>0.33833565500172502</v>
      </c>
      <c r="I925" s="53">
        <v>1675.8921132446833</v>
      </c>
      <c r="J925" s="53">
        <v>5359.2114989032061</v>
      </c>
      <c r="K925" s="24">
        <v>0.68702980734345365</v>
      </c>
      <c r="L925" s="24">
        <v>0.82461384725488218</v>
      </c>
      <c r="M925" s="24">
        <v>0.89670083519036325</v>
      </c>
      <c r="O925" s="53">
        <v>3.9318474167807325</v>
      </c>
      <c r="P925" s="54">
        <v>20698.353773909981</v>
      </c>
      <c r="Q925" s="54">
        <v>4.0549672294096961</v>
      </c>
      <c r="R925" s="54">
        <v>63629.495357692307</v>
      </c>
      <c r="S925" s="54">
        <v>0.12311981262896365</v>
      </c>
      <c r="T925" s="54">
        <v>42931.14158378233</v>
      </c>
      <c r="V925" s="69">
        <f t="shared" si="86"/>
        <v>765671.12958223652</v>
      </c>
      <c r="W925" s="69">
        <f t="shared" si="87"/>
        <v>747363.9505242469</v>
      </c>
      <c r="X925" s="69">
        <f t="shared" si="84"/>
        <v>-18307.179057989601</v>
      </c>
      <c r="Z925" s="68">
        <f t="shared" si="88"/>
        <v>1</v>
      </c>
      <c r="AA925" s="68">
        <f t="shared" si="89"/>
        <v>0</v>
      </c>
      <c r="AB925" s="68">
        <f t="shared" si="85"/>
        <v>0</v>
      </c>
    </row>
    <row r="926" spans="1:28" x14ac:dyDescent="0.25">
      <c r="A926">
        <v>921</v>
      </c>
      <c r="C926" s="24">
        <v>8.9601499381793626E-2</v>
      </c>
      <c r="D926" s="24">
        <v>1.4791489031920069E-3</v>
      </c>
      <c r="E926" s="24">
        <v>6.7821038021953495E-4</v>
      </c>
      <c r="F926" s="24">
        <v>1.2351057723209346E-21</v>
      </c>
      <c r="G926" s="24">
        <v>0.48589958495531271</v>
      </c>
      <c r="H926" s="24">
        <v>0.20381143560168125</v>
      </c>
      <c r="I926" s="53">
        <v>2021.5463751246314</v>
      </c>
      <c r="J926" s="53">
        <v>5972.6101526906796</v>
      </c>
      <c r="K926" s="24">
        <v>0.61617188967346659</v>
      </c>
      <c r="L926" s="24">
        <v>0.76385483045025648</v>
      </c>
      <c r="M926" s="24">
        <v>0.90705945584587955</v>
      </c>
      <c r="O926" s="53">
        <v>3.7812044841065848</v>
      </c>
      <c r="P926" s="54">
        <v>16802.006084261506</v>
      </c>
      <c r="Q926" s="54">
        <v>3.7827451350411909</v>
      </c>
      <c r="R926" s="54">
        <v>20105.331856025816</v>
      </c>
      <c r="S926" s="54">
        <v>1.5406509346060915E-3</v>
      </c>
      <c r="T926" s="54">
        <v>3303.32577176431</v>
      </c>
      <c r="V926" s="69">
        <f t="shared" si="86"/>
        <v>739438.89073705545</v>
      </c>
      <c r="W926" s="69">
        <f t="shared" si="87"/>
        <v>736443.69515221228</v>
      </c>
      <c r="X926" s="69">
        <f t="shared" si="84"/>
        <v>-2995.1955848430916</v>
      </c>
      <c r="Z926" s="68">
        <f t="shared" si="88"/>
        <v>1</v>
      </c>
      <c r="AA926" s="68">
        <f t="shared" si="89"/>
        <v>0</v>
      </c>
      <c r="AB926" s="68">
        <f t="shared" si="85"/>
        <v>0</v>
      </c>
    </row>
    <row r="927" spans="1:28" x14ac:dyDescent="0.25">
      <c r="A927">
        <v>922</v>
      </c>
      <c r="C927" s="24">
        <v>3.3886425363380356E-5</v>
      </c>
      <c r="D927" s="24">
        <v>5.2796397231036352E-3</v>
      </c>
      <c r="E927" s="24">
        <v>4.2843673973555997E-18</v>
      </c>
      <c r="F927" s="24">
        <v>1.0026229616504702E-43</v>
      </c>
      <c r="G927" s="24">
        <v>0.65561815118652045</v>
      </c>
      <c r="H927" s="24">
        <v>0.29989525856215027</v>
      </c>
      <c r="I927" s="53">
        <v>1725.3385196004106</v>
      </c>
      <c r="J927" s="53">
        <v>4725.5911099137656</v>
      </c>
      <c r="K927" s="24">
        <v>0.7693302273721907</v>
      </c>
      <c r="L927" s="24">
        <v>0.83654369331013112</v>
      </c>
      <c r="M927" s="24">
        <v>0.74125235354716867</v>
      </c>
      <c r="O927" s="53">
        <v>4.0702290497509663</v>
      </c>
      <c r="P927" s="54">
        <v>19472.957192707501</v>
      </c>
      <c r="Q927" s="54">
        <v>4.1507109162601772</v>
      </c>
      <c r="R927" s="54">
        <v>38422.729681478908</v>
      </c>
      <c r="S927" s="54">
        <v>8.0481866509210853E-2</v>
      </c>
      <c r="T927" s="54">
        <v>18949.772488771407</v>
      </c>
      <c r="V927" s="69">
        <f t="shared" si="86"/>
        <v>794572.85275748582</v>
      </c>
      <c r="W927" s="69">
        <f t="shared" si="87"/>
        <v>791719.45357055648</v>
      </c>
      <c r="X927" s="69">
        <f t="shared" si="84"/>
        <v>-2853.3991869292367</v>
      </c>
      <c r="Z927" s="68">
        <f t="shared" si="88"/>
        <v>1</v>
      </c>
      <c r="AA927" s="68">
        <f t="shared" si="89"/>
        <v>0</v>
      </c>
      <c r="AB927" s="68">
        <f t="shared" si="85"/>
        <v>0</v>
      </c>
    </row>
    <row r="928" spans="1:28" x14ac:dyDescent="0.25">
      <c r="A928">
        <v>923</v>
      </c>
      <c r="C928" s="24">
        <v>2.6546737293953182E-4</v>
      </c>
      <c r="D928" s="24">
        <v>5.2739137902261608E-7</v>
      </c>
      <c r="E928" s="24">
        <v>1.5346484279236607E-33</v>
      </c>
      <c r="F928" s="24">
        <v>1.5161263491067634E-21</v>
      </c>
      <c r="G928" s="24">
        <v>0.47706911770938853</v>
      </c>
      <c r="H928" s="24">
        <v>0.28365709972714548</v>
      </c>
      <c r="I928" s="53">
        <v>2043.2261423947255</v>
      </c>
      <c r="J928" s="53">
        <v>4429.4836583384413</v>
      </c>
      <c r="K928" s="24">
        <v>0.48637617845696851</v>
      </c>
      <c r="L928" s="24">
        <v>0.80067285924472853</v>
      </c>
      <c r="M928" s="24">
        <v>0.82166185960755678</v>
      </c>
      <c r="O928" s="53">
        <v>3.7237613752714798</v>
      </c>
      <c r="P928" s="54">
        <v>12792.55303976685</v>
      </c>
      <c r="Q928" s="54">
        <v>3.8791378762819795</v>
      </c>
      <c r="R928" s="54">
        <v>54384.041983313444</v>
      </c>
      <c r="S928" s="54">
        <v>0.15537650101049971</v>
      </c>
      <c r="T928" s="54">
        <v>41591.488943546596</v>
      </c>
      <c r="V928" s="69">
        <f t="shared" si="86"/>
        <v>731959.72201452905</v>
      </c>
      <c r="W928" s="69">
        <f t="shared" si="87"/>
        <v>721443.53327308246</v>
      </c>
      <c r="X928" s="69">
        <f t="shared" si="84"/>
        <v>-10516.188741446655</v>
      </c>
      <c r="Z928" s="68">
        <f t="shared" si="88"/>
        <v>1</v>
      </c>
      <c r="AA928" s="68">
        <f t="shared" si="89"/>
        <v>0</v>
      </c>
      <c r="AB928" s="68">
        <f t="shared" si="85"/>
        <v>0</v>
      </c>
    </row>
    <row r="929" spans="1:28" x14ac:dyDescent="0.25">
      <c r="A929">
        <v>924</v>
      </c>
      <c r="C929" s="24">
        <v>9.124588806204148E-3</v>
      </c>
      <c r="D929" s="24">
        <v>1.1383404708952272E-2</v>
      </c>
      <c r="E929" s="24">
        <v>4.5436835045643364E-19</v>
      </c>
      <c r="F929" s="24">
        <v>5.9095530750452596E-5</v>
      </c>
      <c r="G929" s="24">
        <v>0.62673924615533483</v>
      </c>
      <c r="H929" s="24">
        <v>0.26700315461224433</v>
      </c>
      <c r="I929" s="53">
        <v>1627.957564502786</v>
      </c>
      <c r="J929" s="53">
        <v>5239.2463299667916</v>
      </c>
      <c r="K929" s="24">
        <v>0.72959450774108592</v>
      </c>
      <c r="L929" s="24">
        <v>0.91188345692038575</v>
      </c>
      <c r="M929" s="24">
        <v>0.84080891462806251</v>
      </c>
      <c r="O929" s="53">
        <v>4.2768837347848425</v>
      </c>
      <c r="P929" s="54">
        <v>15463.075240863376</v>
      </c>
      <c r="Q929" s="54">
        <v>4.4876481456077277</v>
      </c>
      <c r="R929" s="54">
        <v>45228.829124873904</v>
      </c>
      <c r="S929" s="54">
        <v>0.21076441082288522</v>
      </c>
      <c r="T929" s="54">
        <v>29765.753884010526</v>
      </c>
      <c r="V929" s="69">
        <f t="shared" si="86"/>
        <v>839913.67171610508</v>
      </c>
      <c r="W929" s="69">
        <f t="shared" si="87"/>
        <v>852300.79999667173</v>
      </c>
      <c r="X929" s="69">
        <f t="shared" si="84"/>
        <v>12387.128280566518</v>
      </c>
      <c r="Z929" s="68">
        <f t="shared" si="88"/>
        <v>0</v>
      </c>
      <c r="AA929" s="68">
        <f t="shared" si="89"/>
        <v>1</v>
      </c>
      <c r="AB929" s="68">
        <f t="shared" si="85"/>
        <v>1</v>
      </c>
    </row>
    <row r="930" spans="1:28" x14ac:dyDescent="0.25">
      <c r="A930">
        <v>925</v>
      </c>
      <c r="C930" s="24">
        <v>1.6201414825471883E-3</v>
      </c>
      <c r="D930" s="24">
        <v>6.4013992036238042E-6</v>
      </c>
      <c r="E930" s="24">
        <v>3.9717959932183966E-5</v>
      </c>
      <c r="F930" s="24">
        <v>1.637840818524694E-8</v>
      </c>
      <c r="G930" s="24">
        <v>0.63107944384721959</v>
      </c>
      <c r="H930" s="24">
        <v>0.28843989325044994</v>
      </c>
      <c r="I930" s="53">
        <v>2420.6294196490958</v>
      </c>
      <c r="J930" s="53">
        <v>4631.6515428001467</v>
      </c>
      <c r="K930" s="24">
        <v>0.67647341657758919</v>
      </c>
      <c r="L930" s="24">
        <v>0.86139152167878918</v>
      </c>
      <c r="M930" s="24">
        <v>0.88689737399203361</v>
      </c>
      <c r="O930" s="53">
        <v>4.0223643276592442</v>
      </c>
      <c r="P930" s="54">
        <v>16253.898297066433</v>
      </c>
      <c r="Q930" s="54">
        <v>4.2321493358638982</v>
      </c>
      <c r="R930" s="54">
        <v>47375.380958847418</v>
      </c>
      <c r="S930" s="54">
        <v>0.20978500820465396</v>
      </c>
      <c r="T930" s="54">
        <v>31121.482661780985</v>
      </c>
      <c r="V930" s="69">
        <f t="shared" si="86"/>
        <v>788218.96723478241</v>
      </c>
      <c r="W930" s="69">
        <f t="shared" si="87"/>
        <v>799054.48621393216</v>
      </c>
      <c r="X930" s="69">
        <f t="shared" si="84"/>
        <v>10835.518979149809</v>
      </c>
      <c r="Z930" s="68">
        <f t="shared" si="88"/>
        <v>0</v>
      </c>
      <c r="AA930" s="68">
        <f t="shared" si="89"/>
        <v>1</v>
      </c>
      <c r="AB930" s="68">
        <f t="shared" si="85"/>
        <v>1</v>
      </c>
    </row>
    <row r="931" spans="1:28" x14ac:dyDescent="0.25">
      <c r="A931">
        <v>926</v>
      </c>
      <c r="C931" s="24">
        <v>3.0350853166765574E-7</v>
      </c>
      <c r="D931" s="24">
        <v>5.944067513803386E-3</v>
      </c>
      <c r="E931" s="24">
        <v>3.2463135737466118E-18</v>
      </c>
      <c r="F931" s="24">
        <v>4.7073456244106637E-14</v>
      </c>
      <c r="G931" s="24">
        <v>0.71348892859670943</v>
      </c>
      <c r="H931" s="24">
        <v>0.14731091515499983</v>
      </c>
      <c r="I931" s="53">
        <v>2126.4001908252412</v>
      </c>
      <c r="J931" s="53">
        <v>5256.9793135933542</v>
      </c>
      <c r="K931" s="24">
        <v>0.78379643024635537</v>
      </c>
      <c r="L931" s="24">
        <v>0.84624268568590555</v>
      </c>
      <c r="M931" s="24">
        <v>0.96584433543111858</v>
      </c>
      <c r="O931" s="53">
        <v>4.1044593337178856</v>
      </c>
      <c r="P931" s="54">
        <v>20298.085444750348</v>
      </c>
      <c r="Q931" s="54">
        <v>4.2244506048472621</v>
      </c>
      <c r="R931" s="54">
        <v>23463.478951604848</v>
      </c>
      <c r="S931" s="54">
        <v>0.11999127112937646</v>
      </c>
      <c r="T931" s="54">
        <v>3165.3935068544997</v>
      </c>
      <c r="V931" s="69">
        <f t="shared" si="86"/>
        <v>800593.7812988268</v>
      </c>
      <c r="W931" s="69">
        <f t="shared" si="87"/>
        <v>821426.64201784763</v>
      </c>
      <c r="X931" s="69">
        <f t="shared" si="84"/>
        <v>20832.860719020795</v>
      </c>
      <c r="Z931" s="68">
        <f t="shared" si="88"/>
        <v>0</v>
      </c>
      <c r="AA931" s="68">
        <f t="shared" si="89"/>
        <v>1</v>
      </c>
      <c r="AB931" s="68">
        <f t="shared" si="85"/>
        <v>1</v>
      </c>
    </row>
    <row r="932" spans="1:28" x14ac:dyDescent="0.25">
      <c r="A932">
        <v>927</v>
      </c>
      <c r="C932" s="24">
        <v>2.0929677251094843E-8</v>
      </c>
      <c r="D932" s="24">
        <v>3.2448176942835659E-4</v>
      </c>
      <c r="E932" s="24">
        <v>1.9189245307752695E-22</v>
      </c>
      <c r="F932" s="24">
        <v>2.990858265501169E-17</v>
      </c>
      <c r="G932" s="24">
        <v>0.61461960617713096</v>
      </c>
      <c r="H932" s="24">
        <v>0.2262410613305248</v>
      </c>
      <c r="I932" s="53">
        <v>1765.524616372654</v>
      </c>
      <c r="J932" s="53">
        <v>4312.4212386003137</v>
      </c>
      <c r="K932" s="24">
        <v>0.72908710455113734</v>
      </c>
      <c r="L932" s="24">
        <v>0.7579252206072602</v>
      </c>
      <c r="M932" s="24">
        <v>0.95931789048610472</v>
      </c>
      <c r="O932" s="53">
        <v>3.7476678080049077</v>
      </c>
      <c r="P932" s="54">
        <v>16370.262234356434</v>
      </c>
      <c r="Q932" s="54">
        <v>3.7815966597232675</v>
      </c>
      <c r="R932" s="54">
        <v>34575.666363193173</v>
      </c>
      <c r="S932" s="54">
        <v>3.3928851718359798E-2</v>
      </c>
      <c r="T932" s="54">
        <v>18205.404128836737</v>
      </c>
      <c r="V932" s="69">
        <f t="shared" si="86"/>
        <v>733163.29936662503</v>
      </c>
      <c r="W932" s="69">
        <f t="shared" si="87"/>
        <v>721743.66558146034</v>
      </c>
      <c r="X932" s="69">
        <f t="shared" si="84"/>
        <v>-11419.633785164777</v>
      </c>
      <c r="Z932" s="68">
        <f t="shared" si="88"/>
        <v>1</v>
      </c>
      <c r="AA932" s="68">
        <f t="shared" si="89"/>
        <v>0</v>
      </c>
      <c r="AB932" s="68">
        <f t="shared" si="85"/>
        <v>0</v>
      </c>
    </row>
    <row r="933" spans="1:28" x14ac:dyDescent="0.25">
      <c r="A933">
        <v>928</v>
      </c>
      <c r="C933" s="24">
        <v>2.0978141598100817E-11</v>
      </c>
      <c r="D933" s="24">
        <v>5.7437046735092645E-3</v>
      </c>
      <c r="E933" s="24">
        <v>2.0821222523892402E-10</v>
      </c>
      <c r="F933" s="24">
        <v>4.5671522676427045E-5</v>
      </c>
      <c r="G933" s="24">
        <v>0.5713763649217154</v>
      </c>
      <c r="H933" s="24">
        <v>0.39078361366202641</v>
      </c>
      <c r="I933" s="53">
        <v>2050.0071375244761</v>
      </c>
      <c r="J933" s="53">
        <v>4115.4323952478753</v>
      </c>
      <c r="K933" s="24">
        <v>0.73729047804010928</v>
      </c>
      <c r="L933" s="24">
        <v>0.91626462158012623</v>
      </c>
      <c r="M933" s="24">
        <v>0.92557185231129757</v>
      </c>
      <c r="O933" s="53">
        <v>4.3572711837251097</v>
      </c>
      <c r="P933" s="54">
        <v>15410.106881192864</v>
      </c>
      <c r="Q933" s="54">
        <v>4.4676490578889423</v>
      </c>
      <c r="R933" s="54">
        <v>53425.008617797052</v>
      </c>
      <c r="S933" s="54">
        <v>0.1103778741638326</v>
      </c>
      <c r="T933" s="54">
        <v>38014.901736604188</v>
      </c>
      <c r="V933" s="69">
        <f t="shared" si="86"/>
        <v>856044.129863829</v>
      </c>
      <c r="W933" s="69">
        <f t="shared" si="87"/>
        <v>840104.80295999139</v>
      </c>
      <c r="X933" s="69">
        <f t="shared" si="84"/>
        <v>-15939.326903837667</v>
      </c>
      <c r="Z933" s="68">
        <f t="shared" si="88"/>
        <v>1</v>
      </c>
      <c r="AA933" s="68">
        <f t="shared" si="89"/>
        <v>0</v>
      </c>
      <c r="AB933" s="68">
        <f t="shared" si="85"/>
        <v>0</v>
      </c>
    </row>
    <row r="934" spans="1:28" x14ac:dyDescent="0.25">
      <c r="A934">
        <v>929</v>
      </c>
      <c r="C934" s="24">
        <v>3.7935748758086965E-7</v>
      </c>
      <c r="D934" s="24">
        <v>1.4089515865648994E-2</v>
      </c>
      <c r="E934" s="24">
        <v>1.1762038340194474E-15</v>
      </c>
      <c r="F934" s="24">
        <v>5.4940791850166537E-4</v>
      </c>
      <c r="G934" s="24">
        <v>0.59286974157340611</v>
      </c>
      <c r="H934" s="24">
        <v>0.38130261268291521</v>
      </c>
      <c r="I934" s="53">
        <v>2264.8670998679418</v>
      </c>
      <c r="J934" s="53">
        <v>4206.6505650962536</v>
      </c>
      <c r="K934" s="24">
        <v>0.71892205623587713</v>
      </c>
      <c r="L934" s="24">
        <v>0.91333830881752165</v>
      </c>
      <c r="M934" s="24">
        <v>0.96160331980031</v>
      </c>
      <c r="O934" s="53">
        <v>4.3043170097457226</v>
      </c>
      <c r="P934" s="54">
        <v>20291.992691042229</v>
      </c>
      <c r="Q934" s="54">
        <v>4.4491030551496475</v>
      </c>
      <c r="R934" s="54">
        <v>53654.036741785421</v>
      </c>
      <c r="S934" s="54">
        <v>0.14478604540392492</v>
      </c>
      <c r="T934" s="54">
        <v>33362.044050743192</v>
      </c>
      <c r="V934" s="69">
        <f t="shared" si="86"/>
        <v>840571.4092581023</v>
      </c>
      <c r="W934" s="69">
        <f t="shared" si="87"/>
        <v>836166.57428814401</v>
      </c>
      <c r="X934" s="69">
        <f t="shared" si="84"/>
        <v>-4404.8349699582068</v>
      </c>
      <c r="Z934" s="68">
        <f t="shared" si="88"/>
        <v>1</v>
      </c>
      <c r="AA934" s="68">
        <f t="shared" si="89"/>
        <v>0</v>
      </c>
      <c r="AB934" s="68">
        <f t="shared" si="85"/>
        <v>0</v>
      </c>
    </row>
    <row r="935" spans="1:28" x14ac:dyDescent="0.25">
      <c r="A935">
        <v>930</v>
      </c>
      <c r="C935" s="24">
        <v>8.8472228438385425E-4</v>
      </c>
      <c r="D935" s="24">
        <v>1.245050367321326E-4</v>
      </c>
      <c r="E935" s="24">
        <v>2.3884205612539056E-15</v>
      </c>
      <c r="F935" s="24">
        <v>3.3680084445409842E-33</v>
      </c>
      <c r="G935" s="24">
        <v>0.62091780754490267</v>
      </c>
      <c r="H935" s="24">
        <v>0.26759804050285052</v>
      </c>
      <c r="I935" s="53">
        <v>2072.5505071460479</v>
      </c>
      <c r="J935" s="53">
        <v>4378.0744619614661</v>
      </c>
      <c r="K935" s="24">
        <v>0.84488654153881571</v>
      </c>
      <c r="L935" s="24">
        <v>0.99215964710193694</v>
      </c>
      <c r="M935" s="24">
        <v>0.67704648301850423</v>
      </c>
      <c r="O935" s="53">
        <v>4.7392520475323172</v>
      </c>
      <c r="P935" s="54">
        <v>22098.911533466486</v>
      </c>
      <c r="Q935" s="54">
        <v>4.9068145359688149</v>
      </c>
      <c r="R935" s="54">
        <v>47761.129912050332</v>
      </c>
      <c r="S935" s="54">
        <v>0.16756248843649768</v>
      </c>
      <c r="T935" s="54">
        <v>25662.218378583846</v>
      </c>
      <c r="V935" s="69">
        <f t="shared" si="86"/>
        <v>925751.49797299691</v>
      </c>
      <c r="W935" s="69">
        <f t="shared" si="87"/>
        <v>933601.77728171262</v>
      </c>
      <c r="X935" s="69">
        <f t="shared" si="84"/>
        <v>7850.2793087156933</v>
      </c>
      <c r="Z935" s="68">
        <f t="shared" si="88"/>
        <v>0</v>
      </c>
      <c r="AA935" s="68">
        <f t="shared" si="89"/>
        <v>1</v>
      </c>
      <c r="AB935" s="68">
        <f t="shared" si="85"/>
        <v>1</v>
      </c>
    </row>
    <row r="936" spans="1:28" x14ac:dyDescent="0.25">
      <c r="A936">
        <v>931</v>
      </c>
      <c r="C936" s="24">
        <v>6.0654568985362811E-2</v>
      </c>
      <c r="D936" s="24">
        <v>2.043316476388557E-3</v>
      </c>
      <c r="E936" s="24">
        <v>9.906697627570793E-6</v>
      </c>
      <c r="F936" s="24">
        <v>1.1191048088221578E-13</v>
      </c>
      <c r="G936" s="24">
        <v>0.45253317716307695</v>
      </c>
      <c r="H936" s="24">
        <v>0.31930760423185001</v>
      </c>
      <c r="I936" s="53">
        <v>1914.628610515193</v>
      </c>
      <c r="J936" s="53">
        <v>4598.6423148404547</v>
      </c>
      <c r="K936" s="24">
        <v>0.78134415415911829</v>
      </c>
      <c r="L936" s="24">
        <v>0.67998924418589457</v>
      </c>
      <c r="M936" s="24">
        <v>0.68271965787200495</v>
      </c>
      <c r="O936" s="53">
        <v>3.4833513610080264</v>
      </c>
      <c r="P936" s="54">
        <v>13154.912360498043</v>
      </c>
      <c r="Q936" s="54">
        <v>3.4473703687367481</v>
      </c>
      <c r="R936" s="54">
        <v>46927.842535821808</v>
      </c>
      <c r="S936" s="54">
        <v>-3.5980992271278378E-2</v>
      </c>
      <c r="T936" s="54">
        <v>33772.930175323767</v>
      </c>
      <c r="V936" s="69">
        <f t="shared" si="86"/>
        <v>683515.35984110716</v>
      </c>
      <c r="W936" s="69">
        <f t="shared" si="87"/>
        <v>642546.23121152783</v>
      </c>
      <c r="X936" s="69">
        <f t="shared" si="84"/>
        <v>-40969.128629579442</v>
      </c>
      <c r="Z936" s="68">
        <f t="shared" si="88"/>
        <v>1</v>
      </c>
      <c r="AA936" s="68">
        <f t="shared" si="89"/>
        <v>0</v>
      </c>
      <c r="AB936" s="68">
        <f t="shared" si="85"/>
        <v>0</v>
      </c>
    </row>
    <row r="937" spans="1:28" x14ac:dyDescent="0.25">
      <c r="A937">
        <v>932</v>
      </c>
      <c r="C937" s="24">
        <v>3.5887631652045385E-6</v>
      </c>
      <c r="D937" s="24">
        <v>1.0867386905106062E-3</v>
      </c>
      <c r="E937" s="24">
        <v>1.1063042695424671E-13</v>
      </c>
      <c r="F937" s="24">
        <v>3.6211096787752695E-8</v>
      </c>
      <c r="G937" s="24">
        <v>0.56140709556960244</v>
      </c>
      <c r="H937" s="24">
        <v>0.24515409014422518</v>
      </c>
      <c r="I937" s="53">
        <v>1655.6138971003936</v>
      </c>
      <c r="J937" s="53">
        <v>5436.1293346254724</v>
      </c>
      <c r="K937" s="24">
        <v>0.71630680839054783</v>
      </c>
      <c r="L937" s="24">
        <v>0.65708306406400008</v>
      </c>
      <c r="M937" s="24">
        <v>0.89472186695057743</v>
      </c>
      <c r="O937" s="53">
        <v>3.3570025140248072</v>
      </c>
      <c r="P937" s="54">
        <v>17194.468568334421</v>
      </c>
      <c r="Q937" s="54">
        <v>3.3062320624174615</v>
      </c>
      <c r="R937" s="54">
        <v>22475.878128407629</v>
      </c>
      <c r="S937" s="54">
        <v>-5.0770451607345723E-2</v>
      </c>
      <c r="T937" s="54">
        <v>5281.4095600732071</v>
      </c>
      <c r="V937" s="69">
        <f t="shared" si="86"/>
        <v>654206.03423662693</v>
      </c>
      <c r="W937" s="69">
        <f t="shared" si="87"/>
        <v>638770.53435508464</v>
      </c>
      <c r="X937" s="69">
        <f t="shared" si="84"/>
        <v>-15435.499881542351</v>
      </c>
      <c r="Z937" s="68">
        <f t="shared" si="88"/>
        <v>1</v>
      </c>
      <c r="AA937" s="68">
        <f t="shared" si="89"/>
        <v>0</v>
      </c>
      <c r="AB937" s="68">
        <f t="shared" si="85"/>
        <v>0</v>
      </c>
    </row>
    <row r="938" spans="1:28" x14ac:dyDescent="0.25">
      <c r="A938">
        <v>933</v>
      </c>
      <c r="C938" s="24">
        <v>1.1284591759469228E-5</v>
      </c>
      <c r="D938" s="24">
        <v>5.0862396023749756E-3</v>
      </c>
      <c r="E938" s="24">
        <v>3.3378034195347833E-39</v>
      </c>
      <c r="F938" s="24">
        <v>1.0086707496803626E-5</v>
      </c>
      <c r="G938" s="24">
        <v>0.47474951233255502</v>
      </c>
      <c r="H938" s="24">
        <v>0.33817164795747634</v>
      </c>
      <c r="I938" s="53">
        <v>1862.5020648876673</v>
      </c>
      <c r="J938" s="53">
        <v>4541.6252446494582</v>
      </c>
      <c r="K938" s="24">
        <v>0.67757050931039442</v>
      </c>
      <c r="L938" s="24">
        <v>0.83224028740973244</v>
      </c>
      <c r="M938" s="24">
        <v>0.96819447336930442</v>
      </c>
      <c r="O938" s="53">
        <v>4.0247861619279135</v>
      </c>
      <c r="P938" s="54">
        <v>13404.796178785384</v>
      </c>
      <c r="Q938" s="54">
        <v>4.0871556547624204</v>
      </c>
      <c r="R938" s="54">
        <v>52299.652077770523</v>
      </c>
      <c r="S938" s="54">
        <v>6.2369492834506879E-2</v>
      </c>
      <c r="T938" s="54">
        <v>38894.855898985137</v>
      </c>
      <c r="V938" s="69">
        <f t="shared" si="86"/>
        <v>791552.43620679737</v>
      </c>
      <c r="W938" s="69">
        <f t="shared" si="87"/>
        <v>765131.47887471353</v>
      </c>
      <c r="X938" s="69">
        <f t="shared" si="84"/>
        <v>-26420.957332083759</v>
      </c>
      <c r="Z938" s="68">
        <f t="shared" si="88"/>
        <v>1</v>
      </c>
      <c r="AA938" s="68">
        <f t="shared" si="89"/>
        <v>0</v>
      </c>
      <c r="AB938" s="68">
        <f t="shared" si="85"/>
        <v>0</v>
      </c>
    </row>
    <row r="939" spans="1:28" x14ac:dyDescent="0.25">
      <c r="A939">
        <v>934</v>
      </c>
      <c r="C939" s="24">
        <v>3.7897978368971342E-5</v>
      </c>
      <c r="D939" s="24">
        <v>4.2576537126063726E-5</v>
      </c>
      <c r="E939" s="24">
        <v>6.439413533124498E-27</v>
      </c>
      <c r="F939" s="24">
        <v>1.4742742940496935E-47</v>
      </c>
      <c r="G939" s="24">
        <v>0.57746623544227615</v>
      </c>
      <c r="H939" s="24">
        <v>0.28179482428156732</v>
      </c>
      <c r="I939" s="53">
        <v>2350.5302480475225</v>
      </c>
      <c r="J939" s="53">
        <v>3839.3895373115984</v>
      </c>
      <c r="K939" s="24">
        <v>0.67303003178654697</v>
      </c>
      <c r="L939" s="24">
        <v>0.92758114787764945</v>
      </c>
      <c r="M939" s="24">
        <v>0.84224663311873205</v>
      </c>
      <c r="O939" s="53">
        <v>4.3123281560869602</v>
      </c>
      <c r="P939" s="54">
        <v>16215.740829774402</v>
      </c>
      <c r="Q939" s="54">
        <v>4.5381842768737952</v>
      </c>
      <c r="R939" s="54">
        <v>35629.463427829316</v>
      </c>
      <c r="S939" s="54">
        <v>0.22585612078683504</v>
      </c>
      <c r="T939" s="54">
        <v>19413.722598054912</v>
      </c>
      <c r="V939" s="69">
        <f t="shared" si="86"/>
        <v>846249.89038761763</v>
      </c>
      <c r="W939" s="69">
        <f t="shared" si="87"/>
        <v>872007.39194692974</v>
      </c>
      <c r="X939" s="69">
        <f t="shared" si="84"/>
        <v>25757.501559312092</v>
      </c>
      <c r="Z939" s="68">
        <f t="shared" si="88"/>
        <v>0</v>
      </c>
      <c r="AA939" s="68">
        <f t="shared" si="89"/>
        <v>1</v>
      </c>
      <c r="AB939" s="68">
        <f t="shared" si="85"/>
        <v>1</v>
      </c>
    </row>
    <row r="940" spans="1:28" x14ac:dyDescent="0.25">
      <c r="A940">
        <v>935</v>
      </c>
      <c r="C940" s="24">
        <v>5.0158718676800329E-2</v>
      </c>
      <c r="D940" s="24">
        <v>5.4865603999474527E-4</v>
      </c>
      <c r="E940" s="24">
        <v>4.8536937223154823E-41</v>
      </c>
      <c r="F940" s="24">
        <v>1.0265391556796288E-6</v>
      </c>
      <c r="G940" s="24">
        <v>0.59410559782859584</v>
      </c>
      <c r="H940" s="24">
        <v>0.27145788597138298</v>
      </c>
      <c r="I940" s="53">
        <v>2290.9738374956387</v>
      </c>
      <c r="J940" s="53">
        <v>5085.1464143392832</v>
      </c>
      <c r="K940" s="24">
        <v>0.50424048551453093</v>
      </c>
      <c r="L940" s="24">
        <v>0.91904264178649575</v>
      </c>
      <c r="M940" s="24">
        <v>0.79599392910695355</v>
      </c>
      <c r="O940" s="53">
        <v>3.9775871526025304</v>
      </c>
      <c r="P940" s="54">
        <v>18929.811404168115</v>
      </c>
      <c r="Q940" s="54">
        <v>4.4404491403200934</v>
      </c>
      <c r="R940" s="54">
        <v>42056.073695754807</v>
      </c>
      <c r="S940" s="54">
        <v>0.46286198771756304</v>
      </c>
      <c r="T940" s="54">
        <v>23126.262291586692</v>
      </c>
      <c r="V940" s="69">
        <f t="shared" si="86"/>
        <v>776587.61911633797</v>
      </c>
      <c r="W940" s="69">
        <f t="shared" si="87"/>
        <v>846033.75436826376</v>
      </c>
      <c r="X940" s="69">
        <f t="shared" si="84"/>
        <v>69446.135251925909</v>
      </c>
      <c r="Z940" s="68">
        <f t="shared" si="88"/>
        <v>0</v>
      </c>
      <c r="AA940" s="68">
        <f t="shared" si="89"/>
        <v>1</v>
      </c>
      <c r="AB940" s="68">
        <f t="shared" si="85"/>
        <v>1</v>
      </c>
    </row>
    <row r="941" spans="1:28" x14ac:dyDescent="0.25">
      <c r="A941">
        <v>936</v>
      </c>
      <c r="C941" s="24">
        <v>1.6954791732837698E-10</v>
      </c>
      <c r="D941" s="24">
        <v>2.1067012552739874E-4</v>
      </c>
      <c r="E941" s="24">
        <v>2.5269271048325639E-42</v>
      </c>
      <c r="F941" s="24">
        <v>1.2511216116615942E-22</v>
      </c>
      <c r="G941" s="24">
        <v>0.63855694065620039</v>
      </c>
      <c r="H941" s="24">
        <v>0.1957495217997911</v>
      </c>
      <c r="I941" s="53">
        <v>1715.5885930681438</v>
      </c>
      <c r="J941" s="53">
        <v>4388.3425149918485</v>
      </c>
      <c r="K941" s="24">
        <v>0.73265848238784792</v>
      </c>
      <c r="L941" s="24">
        <v>0.81989308885250134</v>
      </c>
      <c r="M941" s="24">
        <v>0.87649422968098178</v>
      </c>
      <c r="O941" s="53">
        <v>3.9617115424644309</v>
      </c>
      <c r="P941" s="54">
        <v>19780.606450725711</v>
      </c>
      <c r="Q941" s="54">
        <v>4.0783097151985324</v>
      </c>
      <c r="R941" s="54">
        <v>38195.981979600576</v>
      </c>
      <c r="S941" s="54">
        <v>0.11659817273410145</v>
      </c>
      <c r="T941" s="54">
        <v>18415.375528874865</v>
      </c>
      <c r="V941" s="69">
        <f t="shared" si="86"/>
        <v>772561.70204216044</v>
      </c>
      <c r="W941" s="69">
        <f t="shared" si="87"/>
        <v>777465.96106010582</v>
      </c>
      <c r="X941" s="69">
        <f t="shared" si="84"/>
        <v>4904.2590179454237</v>
      </c>
      <c r="Z941" s="68">
        <f t="shared" si="88"/>
        <v>0</v>
      </c>
      <c r="AA941" s="68">
        <f t="shared" si="89"/>
        <v>1</v>
      </c>
      <c r="AB941" s="68">
        <f t="shared" si="85"/>
        <v>1</v>
      </c>
    </row>
    <row r="942" spans="1:28" x14ac:dyDescent="0.25">
      <c r="A942">
        <v>937</v>
      </c>
      <c r="C942" s="24">
        <v>3.2661222616130551E-5</v>
      </c>
      <c r="D942" s="24">
        <v>1.8689871613781632E-4</v>
      </c>
      <c r="E942" s="24">
        <v>1.9257928585147965E-12</v>
      </c>
      <c r="F942" s="24">
        <v>7.2255131782224426E-33</v>
      </c>
      <c r="G942" s="24">
        <v>0.61106613355360562</v>
      </c>
      <c r="H942" s="24">
        <v>0.20130817905715381</v>
      </c>
      <c r="I942" s="53">
        <v>2868.1775787994002</v>
      </c>
      <c r="J942" s="53">
        <v>4104.3950071758973</v>
      </c>
      <c r="K942" s="24">
        <v>0.63816221972096565</v>
      </c>
      <c r="L942" s="24">
        <v>0.97122086011450148</v>
      </c>
      <c r="M942" s="24">
        <v>0.87444638976567568</v>
      </c>
      <c r="O942" s="53">
        <v>4.3773800322938667</v>
      </c>
      <c r="P942" s="54">
        <v>19857.162348064463</v>
      </c>
      <c r="Q942" s="54">
        <v>4.7720779735191252</v>
      </c>
      <c r="R942" s="54">
        <v>24938.340030977743</v>
      </c>
      <c r="S942" s="54">
        <v>0.39469794122525848</v>
      </c>
      <c r="T942" s="54">
        <v>5081.1776829132796</v>
      </c>
      <c r="V942" s="69">
        <f t="shared" si="86"/>
        <v>855618.84411070892</v>
      </c>
      <c r="W942" s="69">
        <f t="shared" si="87"/>
        <v>929477.25467284734</v>
      </c>
      <c r="X942" s="69">
        <f t="shared" si="84"/>
        <v>73858.410562138422</v>
      </c>
      <c r="Z942" s="68">
        <f t="shared" si="88"/>
        <v>0</v>
      </c>
      <c r="AA942" s="68">
        <f t="shared" si="89"/>
        <v>1</v>
      </c>
      <c r="AB942" s="68">
        <f t="shared" si="85"/>
        <v>1</v>
      </c>
    </row>
    <row r="943" spans="1:28" x14ac:dyDescent="0.25">
      <c r="A943">
        <v>938</v>
      </c>
      <c r="C943" s="24">
        <v>6.608554500013215E-14</v>
      </c>
      <c r="D943" s="24">
        <v>6.8402887107886778E-3</v>
      </c>
      <c r="E943" s="24">
        <v>6.1919902637689966E-33</v>
      </c>
      <c r="F943" s="24">
        <v>8.0296485982511712E-7</v>
      </c>
      <c r="G943" s="24">
        <v>0.6588428343935353</v>
      </c>
      <c r="H943" s="24">
        <v>0.25064793612745706</v>
      </c>
      <c r="I943" s="53">
        <v>1898.7687393075953</v>
      </c>
      <c r="J943" s="53">
        <v>4624.9678005731812</v>
      </c>
      <c r="K943" s="24">
        <v>0.71026988553233994</v>
      </c>
      <c r="L943" s="24">
        <v>0.78936885013268143</v>
      </c>
      <c r="M943" s="24">
        <v>0.74865495824588157</v>
      </c>
      <c r="O943" s="53">
        <v>3.8130513127838523</v>
      </c>
      <c r="P943" s="54">
        <v>20634.953969954262</v>
      </c>
      <c r="Q943" s="54">
        <v>3.9186749154922609</v>
      </c>
      <c r="R943" s="54">
        <v>32766.896421289828</v>
      </c>
      <c r="S943" s="54">
        <v>0.10562360270840854</v>
      </c>
      <c r="T943" s="54">
        <v>12131.942451335566</v>
      </c>
      <c r="V943" s="69">
        <f t="shared" si="86"/>
        <v>741975.30858681619</v>
      </c>
      <c r="W943" s="69">
        <f t="shared" si="87"/>
        <v>750968.08667716244</v>
      </c>
      <c r="X943" s="69">
        <f t="shared" si="84"/>
        <v>8992.7780903461426</v>
      </c>
      <c r="Z943" s="68">
        <f t="shared" si="88"/>
        <v>0</v>
      </c>
      <c r="AA943" s="68">
        <f t="shared" si="89"/>
        <v>1</v>
      </c>
      <c r="AB943" s="68">
        <f t="shared" si="85"/>
        <v>1</v>
      </c>
    </row>
    <row r="944" spans="1:28" x14ac:dyDescent="0.25">
      <c r="A944">
        <v>939</v>
      </c>
      <c r="C944" s="24">
        <v>2.454021935961348E-2</v>
      </c>
      <c r="D944" s="24">
        <v>2.6086415452686133E-6</v>
      </c>
      <c r="E944" s="24">
        <v>1.8895022848575138E-6</v>
      </c>
      <c r="F944" s="24">
        <v>9.6484884992553699E-4</v>
      </c>
      <c r="G944" s="24">
        <v>0.53641989300751425</v>
      </c>
      <c r="H944" s="24">
        <v>0.23140976650169975</v>
      </c>
      <c r="I944" s="53">
        <v>2184.3202656138196</v>
      </c>
      <c r="J944" s="53">
        <v>4950.6842998400398</v>
      </c>
      <c r="K944" s="24">
        <v>0.52071935886628207</v>
      </c>
      <c r="L944" s="24">
        <v>0.90928311191948663</v>
      </c>
      <c r="M944" s="24">
        <v>0.88010464905527508</v>
      </c>
      <c r="O944" s="53">
        <v>4.1107388857448957</v>
      </c>
      <c r="P944" s="54">
        <v>17836.710322478353</v>
      </c>
      <c r="Q944" s="54">
        <v>4.4241387418133487</v>
      </c>
      <c r="R944" s="54">
        <v>33768.319845483544</v>
      </c>
      <c r="S944" s="54">
        <v>0.313399856068453</v>
      </c>
      <c r="T944" s="54">
        <v>15931.609523005191</v>
      </c>
      <c r="V944" s="69">
        <f t="shared" si="86"/>
        <v>804311.06682650081</v>
      </c>
      <c r="W944" s="69">
        <f t="shared" si="87"/>
        <v>851059.4285171862</v>
      </c>
      <c r="X944" s="69">
        <f t="shared" si="84"/>
        <v>46748.361690685415</v>
      </c>
      <c r="Z944" s="68">
        <f t="shared" si="88"/>
        <v>0</v>
      </c>
      <c r="AA944" s="68">
        <f t="shared" si="89"/>
        <v>1</v>
      </c>
      <c r="AB944" s="68">
        <f t="shared" si="85"/>
        <v>1</v>
      </c>
    </row>
    <row r="945" spans="1:28" x14ac:dyDescent="0.25">
      <c r="A945">
        <v>940</v>
      </c>
      <c r="C945" s="24">
        <v>1.0828874360888419E-2</v>
      </c>
      <c r="D945" s="24">
        <v>1.6538509356867949E-5</v>
      </c>
      <c r="E945" s="24">
        <v>1.2668582763307106E-33</v>
      </c>
      <c r="F945" s="24">
        <v>5.0959236830294685E-14</v>
      </c>
      <c r="G945" s="24">
        <v>0.47046100210341735</v>
      </c>
      <c r="H945" s="24">
        <v>0.1678157531420007</v>
      </c>
      <c r="I945" s="53">
        <v>1722.8137809039026</v>
      </c>
      <c r="J945" s="53">
        <v>6828.8868175756243</v>
      </c>
      <c r="K945" s="24">
        <v>0.70364421541446043</v>
      </c>
      <c r="L945" s="24">
        <v>0.97910729146737085</v>
      </c>
      <c r="M945" s="24">
        <v>0.83781516066355732</v>
      </c>
      <c r="O945" s="53">
        <v>4.644506772805947</v>
      </c>
      <c r="P945" s="54">
        <v>12975.66948209892</v>
      </c>
      <c r="Q945" s="54">
        <v>4.8399813278388653</v>
      </c>
      <c r="R945" s="54">
        <v>23377.294559215956</v>
      </c>
      <c r="S945" s="54">
        <v>0.19547455503291822</v>
      </c>
      <c r="T945" s="54">
        <v>10401.625077117036</v>
      </c>
      <c r="V945" s="69">
        <f t="shared" si="86"/>
        <v>915925.68507909053</v>
      </c>
      <c r="W945" s="69">
        <f t="shared" si="87"/>
        <v>944618.97100855701</v>
      </c>
      <c r="X945" s="69">
        <f t="shared" si="84"/>
        <v>28693.285929466605</v>
      </c>
      <c r="Z945" s="68">
        <f t="shared" si="88"/>
        <v>0</v>
      </c>
      <c r="AA945" s="68">
        <f t="shared" si="89"/>
        <v>1</v>
      </c>
      <c r="AB945" s="68">
        <f t="shared" si="85"/>
        <v>1</v>
      </c>
    </row>
    <row r="946" spans="1:28" x14ac:dyDescent="0.25">
      <c r="A946">
        <v>941</v>
      </c>
      <c r="C946" s="24">
        <v>5.1387690927129914E-2</v>
      </c>
      <c r="D946" s="24">
        <v>7.8079249472475529E-4</v>
      </c>
      <c r="E946" s="24">
        <v>5.8335548508916274E-30</v>
      </c>
      <c r="F946" s="24">
        <v>8.090588431821246E-27</v>
      </c>
      <c r="G946" s="24">
        <v>0.51655361575676861</v>
      </c>
      <c r="H946" s="24">
        <v>0.22296960453532111</v>
      </c>
      <c r="I946" s="53">
        <v>1834.0215174325658</v>
      </c>
      <c r="J946" s="53">
        <v>5438.871742044048</v>
      </c>
      <c r="K946" s="24">
        <v>0.66086061670218732</v>
      </c>
      <c r="L946" s="24">
        <v>0.91214239707805356</v>
      </c>
      <c r="M946" s="24">
        <v>0.8492114860707396</v>
      </c>
      <c r="O946" s="53">
        <v>4.2755346669644201</v>
      </c>
      <c r="P946" s="54">
        <v>18184.943229224929</v>
      </c>
      <c r="Q946" s="54">
        <v>4.4883481363022657</v>
      </c>
      <c r="R946" s="54">
        <v>32927.101610500555</v>
      </c>
      <c r="S946" s="54">
        <v>0.21281346933784562</v>
      </c>
      <c r="T946" s="54">
        <v>14742.158381275625</v>
      </c>
      <c r="V946" s="69">
        <f t="shared" si="86"/>
        <v>836921.99016365909</v>
      </c>
      <c r="W946" s="69">
        <f t="shared" si="87"/>
        <v>864742.52564995259</v>
      </c>
      <c r="X946" s="69">
        <f t="shared" si="84"/>
        <v>27820.535486293495</v>
      </c>
      <c r="Z946" s="68">
        <f t="shared" si="88"/>
        <v>0</v>
      </c>
      <c r="AA946" s="68">
        <f t="shared" si="89"/>
        <v>1</v>
      </c>
      <c r="AB946" s="68">
        <f t="shared" si="85"/>
        <v>1</v>
      </c>
    </row>
    <row r="947" spans="1:28" x14ac:dyDescent="0.25">
      <c r="A947">
        <v>942</v>
      </c>
      <c r="C947" s="24">
        <v>1.9488787567448549E-8</v>
      </c>
      <c r="D947" s="24">
        <v>1.5269400111363285E-4</v>
      </c>
      <c r="E947" s="24">
        <v>6.0853862390131946E-23</v>
      </c>
      <c r="F947" s="24">
        <v>1.6178691719659355E-10</v>
      </c>
      <c r="G947" s="24">
        <v>0.42178596383003331</v>
      </c>
      <c r="H947" s="24">
        <v>0.24633096378319996</v>
      </c>
      <c r="I947" s="53">
        <v>2693.8617796429007</v>
      </c>
      <c r="J947" s="53">
        <v>4933.5358253147087</v>
      </c>
      <c r="K947" s="24">
        <v>0.62110356604053696</v>
      </c>
      <c r="L947" s="24">
        <v>0.73166127514655799</v>
      </c>
      <c r="M947" s="24">
        <v>0.96319043592460662</v>
      </c>
      <c r="O947" s="53">
        <v>3.5787352061630635</v>
      </c>
      <c r="P947" s="54">
        <v>15020.464170028965</v>
      </c>
      <c r="Q947" s="54">
        <v>3.6224234287241348</v>
      </c>
      <c r="R947" s="54">
        <v>34825.003543472194</v>
      </c>
      <c r="S947" s="54">
        <v>4.3688222561071299E-2</v>
      </c>
      <c r="T947" s="54">
        <v>19804.539373443229</v>
      </c>
      <c r="V947" s="69">
        <f t="shared" si="86"/>
        <v>700726.57706258376</v>
      </c>
      <c r="W947" s="69">
        <f t="shared" si="87"/>
        <v>689659.68220135476</v>
      </c>
      <c r="X947" s="69">
        <f t="shared" si="84"/>
        <v>-11066.89486122897</v>
      </c>
      <c r="Z947" s="68">
        <f t="shared" si="88"/>
        <v>1</v>
      </c>
      <c r="AA947" s="68">
        <f t="shared" si="89"/>
        <v>0</v>
      </c>
      <c r="AB947" s="68">
        <f t="shared" si="85"/>
        <v>0</v>
      </c>
    </row>
    <row r="948" spans="1:28" x14ac:dyDescent="0.25">
      <c r="A948">
        <v>943</v>
      </c>
      <c r="C948" s="24">
        <v>1.0524014202827336E-3</v>
      </c>
      <c r="D948" s="24">
        <v>2.0362199870763135E-4</v>
      </c>
      <c r="E948" s="24">
        <v>4.0073769238424539E-5</v>
      </c>
      <c r="F948" s="24">
        <v>1.768180619750425E-24</v>
      </c>
      <c r="G948" s="24">
        <v>0.61580081333690662</v>
      </c>
      <c r="H948" s="24">
        <v>0.22013883698746561</v>
      </c>
      <c r="I948" s="53">
        <v>2300.1031179201887</v>
      </c>
      <c r="J948" s="53">
        <v>4926.1462234532491</v>
      </c>
      <c r="K948" s="24">
        <v>0.71701989425167101</v>
      </c>
      <c r="L948" s="24">
        <v>0.94648370076597543</v>
      </c>
      <c r="M948" s="24">
        <v>0.83389043110681438</v>
      </c>
      <c r="O948" s="53">
        <v>4.3957578212017694</v>
      </c>
      <c r="P948" s="54">
        <v>22932.194319595448</v>
      </c>
      <c r="Q948" s="54">
        <v>4.667540360575031</v>
      </c>
      <c r="R948" s="54">
        <v>23515.695357813238</v>
      </c>
      <c r="S948" s="54">
        <v>0.27178253937326158</v>
      </c>
      <c r="T948" s="54">
        <v>583.50103821778976</v>
      </c>
      <c r="V948" s="69">
        <f t="shared" si="86"/>
        <v>856219.36992075841</v>
      </c>
      <c r="W948" s="69">
        <f t="shared" si="87"/>
        <v>909992.37675719289</v>
      </c>
      <c r="X948" s="69">
        <f t="shared" si="84"/>
        <v>53773.006836434521</v>
      </c>
      <c r="Z948" s="68">
        <f t="shared" si="88"/>
        <v>0</v>
      </c>
      <c r="AA948" s="68">
        <f t="shared" si="89"/>
        <v>1</v>
      </c>
      <c r="AB948" s="68">
        <f t="shared" si="85"/>
        <v>1</v>
      </c>
    </row>
    <row r="949" spans="1:28" x14ac:dyDescent="0.25">
      <c r="A949">
        <v>944</v>
      </c>
      <c r="C949" s="24">
        <v>2.8983625546091361E-19</v>
      </c>
      <c r="D949" s="24">
        <v>3.2868721097859543E-3</v>
      </c>
      <c r="E949" s="24">
        <v>2.3243846191900452E-5</v>
      </c>
      <c r="F949" s="24">
        <v>2.9533974335157048E-42</v>
      </c>
      <c r="G949" s="24">
        <v>0.55777080334038365</v>
      </c>
      <c r="H949" s="24">
        <v>0.30799889391149582</v>
      </c>
      <c r="I949" s="53">
        <v>1949.6871156577768</v>
      </c>
      <c r="J949" s="53">
        <v>5793.3369947185465</v>
      </c>
      <c r="K949" s="24">
        <v>0.62841184627757829</v>
      </c>
      <c r="L949" s="24">
        <v>0.96422629250997649</v>
      </c>
      <c r="M949" s="24">
        <v>0.84947829364627625</v>
      </c>
      <c r="O949" s="53">
        <v>4.4202513649616604</v>
      </c>
      <c r="P949" s="54">
        <v>17171.688139782753</v>
      </c>
      <c r="Q949" s="54">
        <v>4.6695967244441778</v>
      </c>
      <c r="R949" s="54">
        <v>50027.011969886546</v>
      </c>
      <c r="S949" s="54">
        <v>0.24934535948251746</v>
      </c>
      <c r="T949" s="54">
        <v>32855.323830103793</v>
      </c>
      <c r="V949" s="69">
        <f t="shared" si="86"/>
        <v>866878.58485254936</v>
      </c>
      <c r="W949" s="69">
        <f t="shared" si="87"/>
        <v>883892.33291894896</v>
      </c>
      <c r="X949" s="69">
        <f t="shared" si="84"/>
        <v>17013.748066399698</v>
      </c>
      <c r="Z949" s="68">
        <f t="shared" si="88"/>
        <v>0</v>
      </c>
      <c r="AA949" s="68">
        <f t="shared" si="89"/>
        <v>1</v>
      </c>
      <c r="AB949" s="68">
        <f t="shared" si="85"/>
        <v>1</v>
      </c>
    </row>
    <row r="950" spans="1:28" x14ac:dyDescent="0.25">
      <c r="A950">
        <v>945</v>
      </c>
      <c r="C950" s="24">
        <v>1.3942064226882117E-25</v>
      </c>
      <c r="D950" s="24">
        <v>3.5487181350702789E-4</v>
      </c>
      <c r="E950" s="24">
        <v>2.9952291468515746E-5</v>
      </c>
      <c r="F950" s="24">
        <v>2.1604971447430898E-6</v>
      </c>
      <c r="G950" s="24">
        <v>0.66327472047355274</v>
      </c>
      <c r="H950" s="24">
        <v>0.2121498986699778</v>
      </c>
      <c r="I950" s="53">
        <v>1964.721776968938</v>
      </c>
      <c r="J950" s="53">
        <v>5944.7794569677317</v>
      </c>
      <c r="K950" s="24">
        <v>0.69653929128172642</v>
      </c>
      <c r="L950" s="24">
        <v>0.88495854384518691</v>
      </c>
      <c r="M950" s="24">
        <v>0.94266277325240111</v>
      </c>
      <c r="O950" s="53">
        <v>4.1010340251660731</v>
      </c>
      <c r="P950" s="54">
        <v>17277.996026860867</v>
      </c>
      <c r="Q950" s="54">
        <v>4.374189037416353</v>
      </c>
      <c r="R950" s="54">
        <v>27943.578124343225</v>
      </c>
      <c r="S950" s="54">
        <v>0.27315501225027994</v>
      </c>
      <c r="T950" s="54">
        <v>10665.582097482358</v>
      </c>
      <c r="V950" s="69">
        <f t="shared" si="86"/>
        <v>802928.80900635372</v>
      </c>
      <c r="W950" s="69">
        <f t="shared" si="87"/>
        <v>846894.22935892746</v>
      </c>
      <c r="X950" s="69">
        <f t="shared" si="84"/>
        <v>43965.42035257363</v>
      </c>
      <c r="Z950" s="68">
        <f t="shared" si="88"/>
        <v>0</v>
      </c>
      <c r="AA950" s="68">
        <f t="shared" si="89"/>
        <v>1</v>
      </c>
      <c r="AB950" s="68">
        <f t="shared" si="85"/>
        <v>1</v>
      </c>
    </row>
    <row r="951" spans="1:28" x14ac:dyDescent="0.25">
      <c r="A951">
        <v>946</v>
      </c>
      <c r="C951" s="24">
        <v>7.2076097124518235E-3</v>
      </c>
      <c r="D951" s="24">
        <v>7.1886955923589047E-4</v>
      </c>
      <c r="E951" s="24">
        <v>1.276534433714005E-12</v>
      </c>
      <c r="F951" s="24">
        <v>4.4291879731244419E-18</v>
      </c>
      <c r="G951" s="24">
        <v>0.63928897094920967</v>
      </c>
      <c r="H951" s="24">
        <v>0.27781292541626423</v>
      </c>
      <c r="I951" s="53">
        <v>1862.6964550502867</v>
      </c>
      <c r="J951" s="53">
        <v>5370.2016065744592</v>
      </c>
      <c r="K951" s="24">
        <v>0.68230436085160429</v>
      </c>
      <c r="L951" s="24">
        <v>0.84075456194409959</v>
      </c>
      <c r="M951" s="24">
        <v>0.97423049376300408</v>
      </c>
      <c r="O951" s="53">
        <v>3.9620502630503727</v>
      </c>
      <c r="P951" s="54">
        <v>20019.311857839875</v>
      </c>
      <c r="Q951" s="54">
        <v>4.1435339046964463</v>
      </c>
      <c r="R951" s="54">
        <v>38869.066505510193</v>
      </c>
      <c r="S951" s="54">
        <v>0.18148364164607367</v>
      </c>
      <c r="T951" s="54">
        <v>18849.754647670317</v>
      </c>
      <c r="V951" s="69">
        <f t="shared" si="86"/>
        <v>772390.74075223459</v>
      </c>
      <c r="W951" s="69">
        <f t="shared" si="87"/>
        <v>789837.71443377901</v>
      </c>
      <c r="X951" s="69">
        <f t="shared" si="84"/>
        <v>17446.973681544416</v>
      </c>
      <c r="Z951" s="68">
        <f t="shared" si="88"/>
        <v>0</v>
      </c>
      <c r="AA951" s="68">
        <f t="shared" si="89"/>
        <v>1</v>
      </c>
      <c r="AB951" s="68">
        <f t="shared" si="85"/>
        <v>1</v>
      </c>
    </row>
    <row r="952" spans="1:28" x14ac:dyDescent="0.25">
      <c r="A952">
        <v>947</v>
      </c>
      <c r="C952" s="24">
        <v>2.1470765427846761E-3</v>
      </c>
      <c r="D952" s="24">
        <v>1.6376539759096476E-3</v>
      </c>
      <c r="E952" s="24">
        <v>1.3259106756979833E-7</v>
      </c>
      <c r="F952" s="24">
        <v>5.3941335698137749E-7</v>
      </c>
      <c r="G952" s="24">
        <v>0.57528395752978001</v>
      </c>
      <c r="H952" s="24">
        <v>0.33221854663293482</v>
      </c>
      <c r="I952" s="53">
        <v>1790.617526893632</v>
      </c>
      <c r="J952" s="53">
        <v>4202.8442412024187</v>
      </c>
      <c r="K952" s="24">
        <v>0.63132315271039829</v>
      </c>
      <c r="L952" s="24">
        <v>0.75695825481692336</v>
      </c>
      <c r="M952" s="24">
        <v>0.75705480114775858</v>
      </c>
      <c r="O952" s="53">
        <v>3.6253404129869589</v>
      </c>
      <c r="P952" s="54">
        <v>14606.151140106422</v>
      </c>
      <c r="Q952" s="54">
        <v>3.7225395773623426</v>
      </c>
      <c r="R952" s="54">
        <v>48326.927551360852</v>
      </c>
      <c r="S952" s="54">
        <v>9.7199164375383784E-2</v>
      </c>
      <c r="T952" s="54">
        <v>33720.776411254432</v>
      </c>
      <c r="V952" s="69">
        <f t="shared" si="86"/>
        <v>710461.93145728542</v>
      </c>
      <c r="W952" s="69">
        <f t="shared" si="87"/>
        <v>696180.98792110768</v>
      </c>
      <c r="X952" s="69">
        <f t="shared" si="84"/>
        <v>-14280.943536177674</v>
      </c>
      <c r="Z952" s="68">
        <f t="shared" si="88"/>
        <v>1</v>
      </c>
      <c r="AA952" s="68">
        <f t="shared" si="89"/>
        <v>0</v>
      </c>
      <c r="AB952" s="68">
        <f t="shared" si="85"/>
        <v>0</v>
      </c>
    </row>
    <row r="953" spans="1:28" x14ac:dyDescent="0.25">
      <c r="A953">
        <v>948</v>
      </c>
      <c r="C953" s="24">
        <v>2.009071950306196E-3</v>
      </c>
      <c r="D953" s="24">
        <v>6.6421627764571278E-3</v>
      </c>
      <c r="E953" s="24">
        <v>8.9484508015171874E-22</v>
      </c>
      <c r="F953" s="24">
        <v>6.8745116790796079E-21</v>
      </c>
      <c r="G953" s="24">
        <v>0.62558022841397087</v>
      </c>
      <c r="H953" s="24">
        <v>0.20038045001187166</v>
      </c>
      <c r="I953" s="53">
        <v>2187.1270273794544</v>
      </c>
      <c r="J953" s="53">
        <v>4061.3571265636906</v>
      </c>
      <c r="K953" s="24">
        <v>0.73457087299455681</v>
      </c>
      <c r="L953" s="24">
        <v>0.90400177928250181</v>
      </c>
      <c r="M953" s="24">
        <v>0.77503823135724037</v>
      </c>
      <c r="O953" s="53">
        <v>4.2616319552615449</v>
      </c>
      <c r="P953" s="54">
        <v>23713.203486958679</v>
      </c>
      <c r="Q953" s="54">
        <v>4.4724762061685199</v>
      </c>
      <c r="R953" s="54">
        <v>27045.286071517377</v>
      </c>
      <c r="S953" s="54">
        <v>0.21084425090697501</v>
      </c>
      <c r="T953" s="54">
        <v>3332.0825845586987</v>
      </c>
      <c r="V953" s="69">
        <f t="shared" si="86"/>
        <v>828613.18756535032</v>
      </c>
      <c r="W953" s="69">
        <f t="shared" si="87"/>
        <v>867449.95516218664</v>
      </c>
      <c r="X953" s="69">
        <f t="shared" si="84"/>
        <v>38836.767596836304</v>
      </c>
      <c r="Z953" s="68">
        <f t="shared" si="88"/>
        <v>0</v>
      </c>
      <c r="AA953" s="68">
        <f t="shared" si="89"/>
        <v>1</v>
      </c>
      <c r="AB953" s="68">
        <f t="shared" si="85"/>
        <v>1</v>
      </c>
    </row>
    <row r="954" spans="1:28" x14ac:dyDescent="0.25">
      <c r="A954">
        <v>949</v>
      </c>
      <c r="C954" s="24">
        <v>5.0216911327570958E-13</v>
      </c>
      <c r="D954" s="24">
        <v>1.1011524758659131E-4</v>
      </c>
      <c r="E954" s="24">
        <v>1.4531017500374332E-9</v>
      </c>
      <c r="F954" s="24">
        <v>5.8490537601808323E-23</v>
      </c>
      <c r="G954" s="24">
        <v>0.60603020734719193</v>
      </c>
      <c r="H954" s="24">
        <v>0.34594206517293746</v>
      </c>
      <c r="I954" s="53">
        <v>1671.9832242591117</v>
      </c>
      <c r="J954" s="53">
        <v>7601.3951170409446</v>
      </c>
      <c r="K954" s="24">
        <v>0.68411832971860054</v>
      </c>
      <c r="L954" s="24">
        <v>0.86123745792506767</v>
      </c>
      <c r="M954" s="24">
        <v>0.87277119240700363</v>
      </c>
      <c r="O954" s="53">
        <v>4.0560034629640791</v>
      </c>
      <c r="P954" s="54">
        <v>16765.421717305901</v>
      </c>
      <c r="Q954" s="54">
        <v>4.2129789005972205</v>
      </c>
      <c r="R954" s="54">
        <v>58976.210176132729</v>
      </c>
      <c r="S954" s="54">
        <v>0.15697543763314137</v>
      </c>
      <c r="T954" s="54">
        <v>42210.788458826828</v>
      </c>
      <c r="V954" s="69">
        <f t="shared" si="86"/>
        <v>794435.27087550994</v>
      </c>
      <c r="W954" s="69">
        <f t="shared" si="87"/>
        <v>783619.56994331139</v>
      </c>
      <c r="X954" s="69">
        <f t="shared" si="84"/>
        <v>-10815.700932198553</v>
      </c>
      <c r="Z954" s="68">
        <f t="shared" si="88"/>
        <v>1</v>
      </c>
      <c r="AA954" s="68">
        <f t="shared" si="89"/>
        <v>0</v>
      </c>
      <c r="AB954" s="68">
        <f t="shared" si="85"/>
        <v>0</v>
      </c>
    </row>
    <row r="955" spans="1:28" x14ac:dyDescent="0.25">
      <c r="A955">
        <v>950</v>
      </c>
      <c r="C955" s="24">
        <v>1.5170312152268384E-4</v>
      </c>
      <c r="D955" s="24">
        <v>1.0740469482500169E-3</v>
      </c>
      <c r="E955" s="24">
        <v>2.7095103938279408E-11</v>
      </c>
      <c r="F955" s="24">
        <v>4.3298697960381105E-15</v>
      </c>
      <c r="G955" s="24">
        <v>0.50842461231363523</v>
      </c>
      <c r="H955" s="24">
        <v>0.24912629095436523</v>
      </c>
      <c r="I955" s="53">
        <v>2140.7883022221472</v>
      </c>
      <c r="J955" s="53">
        <v>5402.4975612645112</v>
      </c>
      <c r="K955" s="24">
        <v>0.47107261893718427</v>
      </c>
      <c r="L955" s="24">
        <v>0.77517744020478607</v>
      </c>
      <c r="M955" s="24">
        <v>0.81833003002962779</v>
      </c>
      <c r="O955" s="53">
        <v>3.572097615047003</v>
      </c>
      <c r="P955" s="54">
        <v>16604.737928403916</v>
      </c>
      <c r="Q955" s="54">
        <v>3.7753757204277392</v>
      </c>
      <c r="R955" s="54">
        <v>46829.067872555941</v>
      </c>
      <c r="S955" s="54">
        <v>0.20327810538073621</v>
      </c>
      <c r="T955" s="54">
        <v>30224.329944152025</v>
      </c>
      <c r="V955" s="69">
        <f t="shared" si="86"/>
        <v>697814.78508099669</v>
      </c>
      <c r="W955" s="69">
        <f t="shared" si="87"/>
        <v>708246.07621299196</v>
      </c>
      <c r="X955" s="69">
        <f t="shared" si="84"/>
        <v>10431.291131995215</v>
      </c>
      <c r="Z955" s="68">
        <f t="shared" si="88"/>
        <v>0</v>
      </c>
      <c r="AA955" s="68">
        <f t="shared" si="89"/>
        <v>1</v>
      </c>
      <c r="AB955" s="68">
        <f t="shared" si="85"/>
        <v>1</v>
      </c>
    </row>
    <row r="956" spans="1:28" x14ac:dyDescent="0.25">
      <c r="A956">
        <v>951</v>
      </c>
      <c r="C956" s="24">
        <v>1.6365147200148145E-2</v>
      </c>
      <c r="D956" s="24">
        <v>5.2290747793575232E-3</v>
      </c>
      <c r="E956" s="24">
        <v>8.9580593609639436E-6</v>
      </c>
      <c r="F956" s="24">
        <v>1.5559532029474354E-6</v>
      </c>
      <c r="G956" s="24">
        <v>0.57726849604011998</v>
      </c>
      <c r="H956" s="24">
        <v>0.26054900213852039</v>
      </c>
      <c r="I956" s="53">
        <v>1787.9514345170178</v>
      </c>
      <c r="J956" s="53">
        <v>5486.4381099123721</v>
      </c>
      <c r="K956" s="24">
        <v>0.76194564666493325</v>
      </c>
      <c r="L956" s="24">
        <v>0.95663523547072704</v>
      </c>
      <c r="M956" s="24">
        <v>0.80501560083451096</v>
      </c>
      <c r="O956" s="53">
        <v>4.512435280349262</v>
      </c>
      <c r="P956" s="54">
        <v>22673.991365387876</v>
      </c>
      <c r="Q956" s="54">
        <v>4.7096658053273011</v>
      </c>
      <c r="R956" s="54">
        <v>30635.520624483182</v>
      </c>
      <c r="S956" s="54">
        <v>0.19723052497803906</v>
      </c>
      <c r="T956" s="54">
        <v>7961.5292590953068</v>
      </c>
      <c r="V956" s="69">
        <f t="shared" si="86"/>
        <v>879813.06470446452</v>
      </c>
      <c r="W956" s="69">
        <f t="shared" si="87"/>
        <v>911297.64044097695</v>
      </c>
      <c r="X956" s="69">
        <f t="shared" si="84"/>
        <v>31484.575736512506</v>
      </c>
      <c r="Z956" s="68">
        <f t="shared" si="88"/>
        <v>0</v>
      </c>
      <c r="AA956" s="68">
        <f t="shared" si="89"/>
        <v>1</v>
      </c>
      <c r="AB956" s="68">
        <f t="shared" si="85"/>
        <v>1</v>
      </c>
    </row>
    <row r="957" spans="1:28" x14ac:dyDescent="0.25">
      <c r="A957">
        <v>952</v>
      </c>
      <c r="C957" s="24">
        <v>1.0313514989679362E-4</v>
      </c>
      <c r="D957" s="24">
        <v>2.072645996737732E-3</v>
      </c>
      <c r="E957" s="24">
        <v>5.1798565436911304E-11</v>
      </c>
      <c r="F957" s="24">
        <v>1.7207924342121927E-6</v>
      </c>
      <c r="G957" s="24">
        <v>0.53384411872034998</v>
      </c>
      <c r="H957" s="24">
        <v>0.16856700498545918</v>
      </c>
      <c r="I957" s="53">
        <v>1499.3170811689238</v>
      </c>
      <c r="J957" s="53">
        <v>4300.3322977828166</v>
      </c>
      <c r="K957" s="24">
        <v>0.45413072937749838</v>
      </c>
      <c r="L957" s="24">
        <v>0.97508094231638998</v>
      </c>
      <c r="M957" s="24">
        <v>0.98338663026881101</v>
      </c>
      <c r="O957" s="53">
        <v>4.3046843594405688</v>
      </c>
      <c r="P957" s="54">
        <v>18008.561799214447</v>
      </c>
      <c r="Q957" s="54">
        <v>4.7698898579840243</v>
      </c>
      <c r="R957" s="54">
        <v>15321.332849591974</v>
      </c>
      <c r="S957" s="54">
        <v>0.4652054985434555</v>
      </c>
      <c r="T957" s="54">
        <v>-2687.228949622473</v>
      </c>
      <c r="V957" s="69">
        <f t="shared" si="86"/>
        <v>842928.31008889934</v>
      </c>
      <c r="W957" s="69">
        <f t="shared" si="87"/>
        <v>938656.63874721294</v>
      </c>
      <c r="X957" s="69">
        <f t="shared" si="84"/>
        <v>95728.328658313563</v>
      </c>
      <c r="Z957" s="68">
        <f t="shared" si="88"/>
        <v>0</v>
      </c>
      <c r="AA957" s="68">
        <f t="shared" si="89"/>
        <v>1</v>
      </c>
      <c r="AB957" s="68">
        <f t="shared" si="85"/>
        <v>1</v>
      </c>
    </row>
    <row r="958" spans="1:28" x14ac:dyDescent="0.25">
      <c r="A958">
        <v>953</v>
      </c>
      <c r="C958" s="24">
        <v>1.6910913144797202E-2</v>
      </c>
      <c r="D958" s="24">
        <v>2.2275084483176788E-5</v>
      </c>
      <c r="E958" s="24">
        <v>5.4485264522341481E-8</v>
      </c>
      <c r="F958" s="24">
        <v>2.0566664079414722E-22</v>
      </c>
      <c r="G958" s="24">
        <v>0.61224997021434868</v>
      </c>
      <c r="H958" s="24">
        <v>0.23959623483488657</v>
      </c>
      <c r="I958" s="53">
        <v>2315.8606750378835</v>
      </c>
      <c r="J958" s="53">
        <v>4638.5658433430954</v>
      </c>
      <c r="K958" s="24">
        <v>0.61563349825423774</v>
      </c>
      <c r="L958" s="24">
        <v>0.93436945648364655</v>
      </c>
      <c r="M958" s="24">
        <v>0.81875673148116157</v>
      </c>
      <c r="O958" s="53">
        <v>4.19393075146884</v>
      </c>
      <c r="P958" s="54">
        <v>18641.077852302507</v>
      </c>
      <c r="Q958" s="54">
        <v>4.5714799440641283</v>
      </c>
      <c r="R958" s="54">
        <v>32079.379301214598</v>
      </c>
      <c r="S958" s="54">
        <v>0.3775491925952883</v>
      </c>
      <c r="T958" s="54">
        <v>13438.301448912091</v>
      </c>
      <c r="V958" s="69">
        <f t="shared" si="86"/>
        <v>820145.07244146557</v>
      </c>
      <c r="W958" s="69">
        <f t="shared" si="87"/>
        <v>882216.60951161105</v>
      </c>
      <c r="X958" s="69">
        <f t="shared" si="84"/>
        <v>62071.537070145576</v>
      </c>
      <c r="Z958" s="68">
        <f t="shared" si="88"/>
        <v>0</v>
      </c>
      <c r="AA958" s="68">
        <f t="shared" si="89"/>
        <v>1</v>
      </c>
      <c r="AB958" s="68">
        <f t="shared" si="85"/>
        <v>1</v>
      </c>
    </row>
    <row r="959" spans="1:28" x14ac:dyDescent="0.25">
      <c r="A959">
        <v>954</v>
      </c>
      <c r="C959" s="24">
        <v>1.6976970175506051E-7</v>
      </c>
      <c r="D959" s="24">
        <v>7.9517533030725804E-5</v>
      </c>
      <c r="E959" s="24">
        <v>5.092638449176734E-4</v>
      </c>
      <c r="F959" s="24">
        <v>1.0804490126259099E-21</v>
      </c>
      <c r="G959" s="24">
        <v>0.5017321305919068</v>
      </c>
      <c r="H959" s="24">
        <v>0.20904169836663333</v>
      </c>
      <c r="I959" s="53">
        <v>2093.6182919223074</v>
      </c>
      <c r="J959" s="53">
        <v>4543.8871190763921</v>
      </c>
      <c r="K959" s="24">
        <v>0.63714061872576133</v>
      </c>
      <c r="L959" s="24">
        <v>0.97753175880144927</v>
      </c>
      <c r="M959" s="24">
        <v>0.78365201204522872</v>
      </c>
      <c r="O959" s="53">
        <v>4.5517773246354256</v>
      </c>
      <c r="P959" s="54">
        <v>12156.447916816553</v>
      </c>
      <c r="Q959" s="54">
        <v>4.7976407115816277</v>
      </c>
      <c r="R959" s="54">
        <v>30503.543785601832</v>
      </c>
      <c r="S959" s="54">
        <v>0.24586338694620213</v>
      </c>
      <c r="T959" s="54">
        <v>18347.09586878528</v>
      </c>
      <c r="V959" s="69">
        <f t="shared" si="86"/>
        <v>898199.01701026852</v>
      </c>
      <c r="W959" s="69">
        <f t="shared" si="87"/>
        <v>929024.59853072371</v>
      </c>
      <c r="X959" s="69">
        <f t="shared" si="84"/>
        <v>30825.581520455144</v>
      </c>
      <c r="Z959" s="68">
        <f t="shared" si="88"/>
        <v>0</v>
      </c>
      <c r="AA959" s="68">
        <f t="shared" si="89"/>
        <v>1</v>
      </c>
      <c r="AB959" s="68">
        <f t="shared" si="85"/>
        <v>1</v>
      </c>
    </row>
    <row r="960" spans="1:28" x14ac:dyDescent="0.25">
      <c r="A960">
        <v>955</v>
      </c>
      <c r="C960" s="24">
        <v>2.4770486351951224E-10</v>
      </c>
      <c r="D960" s="24">
        <v>6.537430314595265E-7</v>
      </c>
      <c r="E960" s="24">
        <v>2.9784514996522949E-29</v>
      </c>
      <c r="F960" s="24">
        <v>1.4085664283846313E-30</v>
      </c>
      <c r="G960" s="24">
        <v>0.57497156771302027</v>
      </c>
      <c r="H960" s="24">
        <v>0.14440756191148474</v>
      </c>
      <c r="I960" s="53">
        <v>1910.705822323454</v>
      </c>
      <c r="J960" s="53">
        <v>4962.6706961941973</v>
      </c>
      <c r="K960" s="24">
        <v>0.69474046654555932</v>
      </c>
      <c r="L960" s="24">
        <v>0.83978080085303264</v>
      </c>
      <c r="M960" s="24">
        <v>0.85951748964342389</v>
      </c>
      <c r="O960" s="53">
        <v>4.0150253942105101</v>
      </c>
      <c r="P960" s="54">
        <v>18442.029487402175</v>
      </c>
      <c r="Q960" s="54">
        <v>4.1744255931935568</v>
      </c>
      <c r="R960" s="54">
        <v>26338.84367326444</v>
      </c>
      <c r="S960" s="54">
        <v>0.15940019898304669</v>
      </c>
      <c r="T960" s="54">
        <v>7896.8141858622657</v>
      </c>
      <c r="V960" s="69">
        <f t="shared" si="86"/>
        <v>784563.04935469979</v>
      </c>
      <c r="W960" s="69">
        <f t="shared" si="87"/>
        <v>808546.27496544691</v>
      </c>
      <c r="X960" s="69">
        <f t="shared" si="84"/>
        <v>23983.225610747071</v>
      </c>
      <c r="Z960" s="68">
        <f t="shared" si="88"/>
        <v>0</v>
      </c>
      <c r="AA960" s="68">
        <f t="shared" si="89"/>
        <v>1</v>
      </c>
      <c r="AB960" s="68">
        <f t="shared" si="85"/>
        <v>1</v>
      </c>
    </row>
    <row r="961" spans="1:28" x14ac:dyDescent="0.25">
      <c r="A961">
        <v>956</v>
      </c>
      <c r="C961" s="24">
        <v>1.7486337331451551E-4</v>
      </c>
      <c r="D961" s="24">
        <v>2.6299803305482872E-3</v>
      </c>
      <c r="E961" s="24">
        <v>1.285982964303612E-21</v>
      </c>
      <c r="F961" s="24">
        <v>2.3843649781506135E-30</v>
      </c>
      <c r="G961" s="24">
        <v>0.60089347337199239</v>
      </c>
      <c r="H961" s="24">
        <v>0.27420767452270256</v>
      </c>
      <c r="I961" s="53">
        <v>1973.0769822091313</v>
      </c>
      <c r="J961" s="53">
        <v>5148.8860461319036</v>
      </c>
      <c r="K961" s="24">
        <v>0.81814146812016886</v>
      </c>
      <c r="L961" s="24">
        <v>0.65826166937164343</v>
      </c>
      <c r="M961" s="24">
        <v>0.68825139657211898</v>
      </c>
      <c r="O961" s="53">
        <v>3.513212568960522</v>
      </c>
      <c r="P961" s="54">
        <v>15849.838123520869</v>
      </c>
      <c r="Q961" s="54">
        <v>3.3521203908546386</v>
      </c>
      <c r="R961" s="54">
        <v>43833.989212595792</v>
      </c>
      <c r="S961" s="54">
        <v>-0.16109217810588339</v>
      </c>
      <c r="T961" s="54">
        <v>27984.151089074923</v>
      </c>
      <c r="V961" s="69">
        <f t="shared" si="86"/>
        <v>686792.6756685836</v>
      </c>
      <c r="W961" s="69">
        <f t="shared" si="87"/>
        <v>626590.08895833197</v>
      </c>
      <c r="X961" s="69">
        <f t="shared" si="84"/>
        <v>-60202.586710251606</v>
      </c>
      <c r="Z961" s="68">
        <f t="shared" si="88"/>
        <v>1</v>
      </c>
      <c r="AA961" s="68">
        <f t="shared" si="89"/>
        <v>0</v>
      </c>
      <c r="AB961" s="68">
        <f t="shared" si="85"/>
        <v>0</v>
      </c>
    </row>
    <row r="962" spans="1:28" x14ac:dyDescent="0.25">
      <c r="A962">
        <v>957</v>
      </c>
      <c r="C962" s="24">
        <v>5.9671890848560099E-8</v>
      </c>
      <c r="D962" s="24">
        <v>2.657040060276412E-7</v>
      </c>
      <c r="E962" s="24">
        <v>1.7715161282350067E-7</v>
      </c>
      <c r="F962" s="24">
        <v>4.393120289576391E-4</v>
      </c>
      <c r="G962" s="24">
        <v>0.59251628779106968</v>
      </c>
      <c r="H962" s="24">
        <v>0.30701171859383458</v>
      </c>
      <c r="I962" s="53">
        <v>1930.1641256990063</v>
      </c>
      <c r="J962" s="53">
        <v>5000.8879190834696</v>
      </c>
      <c r="K962" s="24">
        <v>0.62321220423733026</v>
      </c>
      <c r="L962" s="24">
        <v>0.87879652611364489</v>
      </c>
      <c r="M962" s="24">
        <v>0.82219781930680458</v>
      </c>
      <c r="O962" s="53">
        <v>4.0494806586424152</v>
      </c>
      <c r="P962" s="54">
        <v>18125.19662510795</v>
      </c>
      <c r="Q962" s="54">
        <v>4.2785215374153704</v>
      </c>
      <c r="R962" s="54">
        <v>37219.426108200336</v>
      </c>
      <c r="S962" s="54">
        <v>0.2290408787729552</v>
      </c>
      <c r="T962" s="54">
        <v>19094.229483092386</v>
      </c>
      <c r="V962" s="69">
        <f t="shared" si="86"/>
        <v>791770.93510337512</v>
      </c>
      <c r="W962" s="69">
        <f t="shared" si="87"/>
        <v>818484.8813748738</v>
      </c>
      <c r="X962" s="69">
        <f t="shared" si="84"/>
        <v>26713.946271498658</v>
      </c>
      <c r="Z962" s="68">
        <f t="shared" si="88"/>
        <v>0</v>
      </c>
      <c r="AA962" s="68">
        <f t="shared" si="89"/>
        <v>1</v>
      </c>
      <c r="AB962" s="68">
        <f t="shared" si="85"/>
        <v>1</v>
      </c>
    </row>
    <row r="963" spans="1:28" x14ac:dyDescent="0.25">
      <c r="A963">
        <v>958</v>
      </c>
      <c r="C963" s="24">
        <v>2.5608291061871569E-3</v>
      </c>
      <c r="D963" s="24">
        <v>6.1170415035801976E-5</v>
      </c>
      <c r="E963" s="24">
        <v>4.41930381178679E-9</v>
      </c>
      <c r="F963" s="24">
        <v>3.2812213723865113E-8</v>
      </c>
      <c r="G963" s="24">
        <v>0.50344238224119764</v>
      </c>
      <c r="H963" s="24">
        <v>0.30962572599289617</v>
      </c>
      <c r="I963" s="53">
        <v>1801.2553467097482</v>
      </c>
      <c r="J963" s="53">
        <v>3422.0731106840876</v>
      </c>
      <c r="K963" s="24">
        <v>0.72250798993618148</v>
      </c>
      <c r="L963" s="24">
        <v>0.73378612827434053</v>
      </c>
      <c r="M963" s="24">
        <v>0.81005747544519191</v>
      </c>
      <c r="O963" s="53">
        <v>3.6594467242083462</v>
      </c>
      <c r="P963" s="54">
        <v>17788.799170804148</v>
      </c>
      <c r="Q963" s="54">
        <v>3.6639175156422756</v>
      </c>
      <c r="R963" s="54">
        <v>38444.148463134858</v>
      </c>
      <c r="S963" s="54">
        <v>4.4707914339294774E-3</v>
      </c>
      <c r="T963" s="54">
        <v>20655.349292330709</v>
      </c>
      <c r="V963" s="69">
        <f t="shared" si="86"/>
        <v>714100.5456708651</v>
      </c>
      <c r="W963" s="69">
        <f t="shared" si="87"/>
        <v>694339.35466532025</v>
      </c>
      <c r="X963" s="69">
        <f t="shared" si="84"/>
        <v>-19761.191005544813</v>
      </c>
      <c r="Z963" s="68">
        <f t="shared" si="88"/>
        <v>1</v>
      </c>
      <c r="AA963" s="68">
        <f t="shared" si="89"/>
        <v>0</v>
      </c>
      <c r="AB963" s="68">
        <f t="shared" si="85"/>
        <v>0</v>
      </c>
    </row>
    <row r="964" spans="1:28" x14ac:dyDescent="0.25">
      <c r="A964">
        <v>959</v>
      </c>
      <c r="C964" s="24">
        <v>4.5744706466100373E-9</v>
      </c>
      <c r="D964" s="24">
        <v>3.5682791094934219E-3</v>
      </c>
      <c r="E964" s="24">
        <v>1.5921292650710815E-22</v>
      </c>
      <c r="F964" s="24">
        <v>1.8389302272611503E-29</v>
      </c>
      <c r="G964" s="24">
        <v>0.55538210082385242</v>
      </c>
      <c r="H964" s="24">
        <v>0.29360975620764629</v>
      </c>
      <c r="I964" s="53">
        <v>1977.5487974562186</v>
      </c>
      <c r="J964" s="53">
        <v>3721.564208564505</v>
      </c>
      <c r="K964" s="24">
        <v>0.74928951834951674</v>
      </c>
      <c r="L964" s="24">
        <v>0.81910648255408358</v>
      </c>
      <c r="M964" s="24">
        <v>0.98194162485001057</v>
      </c>
      <c r="O964" s="53">
        <v>4.0129306333311412</v>
      </c>
      <c r="P964" s="54">
        <v>16978.582252458051</v>
      </c>
      <c r="Q964" s="54">
        <v>4.0703480489237833</v>
      </c>
      <c r="R964" s="54">
        <v>35231.865892297334</v>
      </c>
      <c r="S964" s="54">
        <v>5.7417415592642129E-2</v>
      </c>
      <c r="T964" s="54">
        <v>18253.283639839283</v>
      </c>
      <c r="V964" s="69">
        <f t="shared" si="86"/>
        <v>785607.5444137702</v>
      </c>
      <c r="W964" s="69">
        <f t="shared" si="87"/>
        <v>778837.74389245932</v>
      </c>
      <c r="X964" s="69">
        <f t="shared" si="84"/>
        <v>-6769.8005213108572</v>
      </c>
      <c r="Z964" s="68">
        <f t="shared" si="88"/>
        <v>1</v>
      </c>
      <c r="AA964" s="68">
        <f t="shared" si="89"/>
        <v>0</v>
      </c>
      <c r="AB964" s="68">
        <f t="shared" si="85"/>
        <v>0</v>
      </c>
    </row>
    <row r="965" spans="1:28" x14ac:dyDescent="0.25">
      <c r="A965">
        <v>960</v>
      </c>
      <c r="C965" s="24">
        <v>1.7816351876683383E-5</v>
      </c>
      <c r="D965" s="24">
        <v>2.3420711658196755E-5</v>
      </c>
      <c r="E965" s="24">
        <v>1.0426235141762761E-31</v>
      </c>
      <c r="F965" s="24">
        <v>6.171807465094048E-8</v>
      </c>
      <c r="G965" s="24">
        <v>0.59093782646784987</v>
      </c>
      <c r="H965" s="24">
        <v>0.20458659378695043</v>
      </c>
      <c r="I965" s="53">
        <v>2163.9335231821879</v>
      </c>
      <c r="J965" s="53">
        <v>5866.6706220198203</v>
      </c>
      <c r="K965" s="24">
        <v>0.83202574561950249</v>
      </c>
      <c r="L965" s="24">
        <v>0.82034350341473283</v>
      </c>
      <c r="M965" s="24">
        <v>0.80260065770396016</v>
      </c>
      <c r="O965" s="53">
        <v>4.1173748936414762</v>
      </c>
      <c r="P965" s="54">
        <v>20329.23814079598</v>
      </c>
      <c r="Q965" s="54">
        <v>4.1047184251065696</v>
      </c>
      <c r="R965" s="54">
        <v>27330.817221307811</v>
      </c>
      <c r="S965" s="54">
        <v>-1.2656468534906651E-2</v>
      </c>
      <c r="T965" s="54">
        <v>7001.5790805118304</v>
      </c>
      <c r="V965" s="69">
        <f t="shared" si="86"/>
        <v>803145.74058749934</v>
      </c>
      <c r="W965" s="69">
        <f t="shared" si="87"/>
        <v>793612.86780000618</v>
      </c>
      <c r="X965" s="69">
        <f t="shared" si="84"/>
        <v>-9532.872787493161</v>
      </c>
      <c r="Z965" s="68">
        <f t="shared" si="88"/>
        <v>1</v>
      </c>
      <c r="AA965" s="68">
        <f t="shared" si="89"/>
        <v>0</v>
      </c>
      <c r="AB965" s="68">
        <f t="shared" si="85"/>
        <v>0</v>
      </c>
    </row>
    <row r="966" spans="1:28" x14ac:dyDescent="0.25">
      <c r="A966">
        <v>961</v>
      </c>
      <c r="C966" s="24">
        <v>7.3298291934587034E-5</v>
      </c>
      <c r="D966" s="24">
        <v>8.4856789354600633E-4</v>
      </c>
      <c r="E966" s="24">
        <v>3.0483925370623709E-17</v>
      </c>
      <c r="F966" s="24">
        <v>2.0189524496672107E-9</v>
      </c>
      <c r="G966" s="24">
        <v>0.62097428433215351</v>
      </c>
      <c r="H966" s="24">
        <v>0.25231045360332738</v>
      </c>
      <c r="I966" s="53">
        <v>2055.8286662685096</v>
      </c>
      <c r="J966" s="53">
        <v>3955.1051510548659</v>
      </c>
      <c r="K966" s="24">
        <v>0.60991595373411533</v>
      </c>
      <c r="L966" s="24">
        <v>0.86715389721244029</v>
      </c>
      <c r="M966" s="24">
        <v>0.95947908949693872</v>
      </c>
      <c r="O966" s="53">
        <v>3.9533023119181565</v>
      </c>
      <c r="P966" s="54">
        <v>21167.800832768971</v>
      </c>
      <c r="Q966" s="54">
        <v>4.2495409784329459</v>
      </c>
      <c r="R966" s="54">
        <v>36983.285845111575</v>
      </c>
      <c r="S966" s="54">
        <v>0.29623866651478936</v>
      </c>
      <c r="T966" s="54">
        <v>15815.485012342604</v>
      </c>
      <c r="V966" s="69">
        <f t="shared" si="86"/>
        <v>769492.66155086225</v>
      </c>
      <c r="W966" s="69">
        <f t="shared" si="87"/>
        <v>812924.90984147764</v>
      </c>
      <c r="X966" s="69">
        <f t="shared" si="84"/>
        <v>43432.248290615273</v>
      </c>
      <c r="Z966" s="68">
        <f t="shared" si="88"/>
        <v>0</v>
      </c>
      <c r="AA966" s="68">
        <f t="shared" si="89"/>
        <v>1</v>
      </c>
      <c r="AB966" s="68">
        <f t="shared" si="85"/>
        <v>1</v>
      </c>
    </row>
    <row r="967" spans="1:28" x14ac:dyDescent="0.25">
      <c r="A967">
        <v>962</v>
      </c>
      <c r="C967" s="24">
        <v>1.0706393708609365E-5</v>
      </c>
      <c r="D967" s="24">
        <v>6.3852853518002006E-4</v>
      </c>
      <c r="E967" s="24">
        <v>3.5872161907590794E-9</v>
      </c>
      <c r="F967" s="24">
        <v>4.8402282182280487E-11</v>
      </c>
      <c r="G967" s="24">
        <v>0.56520103734089522</v>
      </c>
      <c r="H967" s="24">
        <v>0.25206373188736486</v>
      </c>
      <c r="I967" s="53">
        <v>2466.0572315768336</v>
      </c>
      <c r="J967" s="53">
        <v>4084.790037747443</v>
      </c>
      <c r="K967" s="24">
        <v>0.81687688332254416</v>
      </c>
      <c r="L967" s="24">
        <v>0.78222304076572413</v>
      </c>
      <c r="M967" s="24">
        <v>0.97367134982636605</v>
      </c>
      <c r="O967" s="53">
        <v>3.9535817252552206</v>
      </c>
      <c r="P967" s="54">
        <v>17084.480807788597</v>
      </c>
      <c r="Q967" s="54">
        <v>3.9235442819814752</v>
      </c>
      <c r="R967" s="54">
        <v>35659.712530483717</v>
      </c>
      <c r="S967" s="54">
        <v>-3.0037443273745357E-2</v>
      </c>
      <c r="T967" s="54">
        <v>18575.23172269512</v>
      </c>
      <c r="V967" s="69">
        <f t="shared" si="86"/>
        <v>773631.86424325558</v>
      </c>
      <c r="W967" s="69">
        <f t="shared" si="87"/>
        <v>749049.14386581129</v>
      </c>
      <c r="X967" s="69">
        <f t="shared" ref="X967:X1005" si="90">S967*cRatio-T967</f>
        <v>-24582.720377444191</v>
      </c>
      <c r="Z967" s="68">
        <f t="shared" si="88"/>
        <v>1</v>
      </c>
      <c r="AA967" s="68">
        <f t="shared" si="89"/>
        <v>0</v>
      </c>
      <c r="AB967" s="68">
        <f t="shared" ref="AB967:AB1005" si="91">IF(X967&gt;0,1,0)</f>
        <v>0</v>
      </c>
    </row>
    <row r="968" spans="1:28" x14ac:dyDescent="0.25">
      <c r="A968">
        <v>963</v>
      </c>
      <c r="C968" s="24">
        <v>5.9521100790366054E-11</v>
      </c>
      <c r="D968" s="24">
        <v>1.2653188181113429E-3</v>
      </c>
      <c r="E968" s="24">
        <v>2.3923751868437648E-11</v>
      </c>
      <c r="F968" s="24">
        <v>1.0549194850995036E-10</v>
      </c>
      <c r="G968" s="24">
        <v>0.57209235692492899</v>
      </c>
      <c r="H968" s="24">
        <v>0.18510986946872399</v>
      </c>
      <c r="I968" s="53">
        <v>2443.9205275108493</v>
      </c>
      <c r="J968" s="53">
        <v>6474.2794297519749</v>
      </c>
      <c r="K968" s="24">
        <v>0.73294123029592484</v>
      </c>
      <c r="L968" s="24">
        <v>0.90204754968496736</v>
      </c>
      <c r="M968" s="24">
        <v>0.77952929516620406</v>
      </c>
      <c r="O968" s="53">
        <v>4.2980055713743823</v>
      </c>
      <c r="P968" s="54">
        <v>12786.665867164953</v>
      </c>
      <c r="Q968" s="54">
        <v>4.4709240299083817</v>
      </c>
      <c r="R968" s="54">
        <v>22260.526919801876</v>
      </c>
      <c r="S968" s="54">
        <v>0.17291845853399934</v>
      </c>
      <c r="T968" s="54">
        <v>9473.861052636923</v>
      </c>
      <c r="V968" s="69">
        <f t="shared" si="86"/>
        <v>846814.44840771146</v>
      </c>
      <c r="W968" s="69">
        <f t="shared" si="87"/>
        <v>871924.27906187449</v>
      </c>
      <c r="X968" s="69">
        <f t="shared" si="90"/>
        <v>25109.830654162943</v>
      </c>
      <c r="Z968" s="68">
        <f t="shared" si="88"/>
        <v>0</v>
      </c>
      <c r="AA968" s="68">
        <f t="shared" si="89"/>
        <v>1</v>
      </c>
      <c r="AB968" s="68">
        <f t="shared" si="91"/>
        <v>1</v>
      </c>
    </row>
    <row r="969" spans="1:28" x14ac:dyDescent="0.25">
      <c r="A969">
        <v>964</v>
      </c>
      <c r="C969" s="24">
        <v>2.187567430941928E-2</v>
      </c>
      <c r="D969" s="24">
        <v>1.0054490667015226E-3</v>
      </c>
      <c r="E969" s="24">
        <v>4.0856007243705969E-29</v>
      </c>
      <c r="F969" s="24">
        <v>6.5378430837401441E-20</v>
      </c>
      <c r="G969" s="24">
        <v>0.57187573892533705</v>
      </c>
      <c r="H969" s="24">
        <v>0.2981755897238092</v>
      </c>
      <c r="I969" s="53">
        <v>2091.9410120873263</v>
      </c>
      <c r="J969" s="53">
        <v>6983.8503623596089</v>
      </c>
      <c r="K969" s="24">
        <v>0.67016511530168466</v>
      </c>
      <c r="L969" s="24">
        <v>0.94348713446614474</v>
      </c>
      <c r="M969" s="24">
        <v>0.88720160682664895</v>
      </c>
      <c r="O969" s="53">
        <v>4.3638982461386444</v>
      </c>
      <c r="P969" s="54">
        <v>16603.537793879575</v>
      </c>
      <c r="Q969" s="54">
        <v>4.6012173758810926</v>
      </c>
      <c r="R969" s="54">
        <v>44253.61367733997</v>
      </c>
      <c r="S969" s="54">
        <v>0.23731912974244818</v>
      </c>
      <c r="T969" s="54">
        <v>27650.075883460395</v>
      </c>
      <c r="V969" s="69">
        <f t="shared" si="86"/>
        <v>856176.1114338492</v>
      </c>
      <c r="W969" s="69">
        <f t="shared" si="87"/>
        <v>875989.86149887857</v>
      </c>
      <c r="X969" s="69">
        <f t="shared" si="90"/>
        <v>19813.750065029239</v>
      </c>
      <c r="Z969" s="68">
        <f t="shared" si="88"/>
        <v>0</v>
      </c>
      <c r="AA969" s="68">
        <f t="shared" si="89"/>
        <v>1</v>
      </c>
      <c r="AB969" s="68">
        <f t="shared" si="91"/>
        <v>1</v>
      </c>
    </row>
    <row r="970" spans="1:28" x14ac:dyDescent="0.25">
      <c r="A970">
        <v>965</v>
      </c>
      <c r="C970" s="24">
        <v>9.3371741007434728E-2</v>
      </c>
      <c r="D970" s="24">
        <v>6.0422690674821755E-3</v>
      </c>
      <c r="E970" s="24">
        <v>5.7774316434246404E-30</v>
      </c>
      <c r="F970" s="24">
        <v>1.6551282654977063E-26</v>
      </c>
      <c r="G970" s="24">
        <v>0.5266011876674509</v>
      </c>
      <c r="H970" s="24">
        <v>0.22484731403520675</v>
      </c>
      <c r="I970" s="53">
        <v>2019.96513513385</v>
      </c>
      <c r="J970" s="53">
        <v>6249.8045371534381</v>
      </c>
      <c r="K970" s="24">
        <v>0.67070098438855663</v>
      </c>
      <c r="L970" s="24">
        <v>0.94630643715678298</v>
      </c>
      <c r="M970" s="24">
        <v>0.9248290311893852</v>
      </c>
      <c r="O970" s="53">
        <v>4.4207089715467012</v>
      </c>
      <c r="P970" s="54">
        <v>21680.366335644427</v>
      </c>
      <c r="Q970" s="54">
        <v>4.6508451500576484</v>
      </c>
      <c r="R970" s="54">
        <v>34050.271836536747</v>
      </c>
      <c r="S970" s="54">
        <v>0.23013617851094725</v>
      </c>
      <c r="T970" s="54">
        <v>12369.905500892321</v>
      </c>
      <c r="V970" s="69">
        <f t="shared" ref="V970:V1005" si="92">O970*cRatio-P970</f>
        <v>862461.4279736958</v>
      </c>
      <c r="W970" s="69">
        <f t="shared" ref="W970:W1005" si="93">Q970*cRatio-R970</f>
        <v>896118.75817499298</v>
      </c>
      <c r="X970" s="69">
        <f t="shared" si="90"/>
        <v>33657.330201297125</v>
      </c>
      <c r="Z970" s="68">
        <f t="shared" ref="Z970:Z1005" si="94">IF(MAX(V970:W970)=V970,1,0)</f>
        <v>0</v>
      </c>
      <c r="AA970" s="68">
        <f t="shared" ref="AA970:AA1005" si="95">IF(MAX(V970:W970)=W970,1,0)</f>
        <v>1</v>
      </c>
      <c r="AB970" s="68">
        <f t="shared" si="91"/>
        <v>1</v>
      </c>
    </row>
    <row r="971" spans="1:28" x14ac:dyDescent="0.25">
      <c r="A971">
        <v>966</v>
      </c>
      <c r="C971" s="24">
        <v>5.9918408410917223E-3</v>
      </c>
      <c r="D971" s="24">
        <v>5.4531691500052696E-4</v>
      </c>
      <c r="E971" s="24">
        <v>2.9231557276724329E-3</v>
      </c>
      <c r="F971" s="24">
        <v>5.6043959287304421E-24</v>
      </c>
      <c r="G971" s="24">
        <v>0.553419278358108</v>
      </c>
      <c r="H971" s="24">
        <v>0.3206545784036029</v>
      </c>
      <c r="I971" s="53">
        <v>1850.5160881038391</v>
      </c>
      <c r="J971" s="53">
        <v>5981.5066012624939</v>
      </c>
      <c r="K971" s="24">
        <v>0.83978891352691398</v>
      </c>
      <c r="L971" s="24">
        <v>0.93724214694310226</v>
      </c>
      <c r="M971" s="24">
        <v>0.9548292654232976</v>
      </c>
      <c r="O971" s="53">
        <v>4.549148669367626</v>
      </c>
      <c r="P971" s="54">
        <v>18229.720381641066</v>
      </c>
      <c r="Q971" s="54">
        <v>4.6404321768715455</v>
      </c>
      <c r="R971" s="54">
        <v>36421.119880948121</v>
      </c>
      <c r="S971" s="54">
        <v>9.1283507503919559E-2</v>
      </c>
      <c r="T971" s="54">
        <v>18191.399499307056</v>
      </c>
      <c r="V971" s="69">
        <f t="shared" si="92"/>
        <v>891600.01349188411</v>
      </c>
      <c r="W971" s="69">
        <f t="shared" si="93"/>
        <v>891665.31549336098</v>
      </c>
      <c r="X971" s="69">
        <f t="shared" si="90"/>
        <v>65.302001476855366</v>
      </c>
      <c r="Z971" s="68">
        <f t="shared" si="94"/>
        <v>0</v>
      </c>
      <c r="AA971" s="68">
        <f t="shared" si="95"/>
        <v>1</v>
      </c>
      <c r="AB971" s="68">
        <f t="shared" si="91"/>
        <v>1</v>
      </c>
    </row>
    <row r="972" spans="1:28" x14ac:dyDescent="0.25">
      <c r="A972">
        <v>967</v>
      </c>
      <c r="C972" s="24">
        <v>2.200475098503398E-11</v>
      </c>
      <c r="D972" s="24">
        <v>1.0124341566994394E-3</v>
      </c>
      <c r="E972" s="24">
        <v>1.104624483892499E-13</v>
      </c>
      <c r="F972" s="24">
        <v>1.4876218952449072E-33</v>
      </c>
      <c r="G972" s="24">
        <v>0.53329922271645036</v>
      </c>
      <c r="H972" s="24">
        <v>0.34627238306267694</v>
      </c>
      <c r="I972" s="53">
        <v>2319.4151354115252</v>
      </c>
      <c r="J972" s="53">
        <v>5466.314403219103</v>
      </c>
      <c r="K972" s="24">
        <v>0.68830692748281019</v>
      </c>
      <c r="L972" s="24">
        <v>0.91515258693747903</v>
      </c>
      <c r="M972" s="24">
        <v>0.942512124394291</v>
      </c>
      <c r="O972" s="53">
        <v>4.3277282335577736</v>
      </c>
      <c r="P972" s="54">
        <v>16714.237827508161</v>
      </c>
      <c r="Q972" s="54">
        <v>4.4563929848403809</v>
      </c>
      <c r="R972" s="54">
        <v>40582.836683013149</v>
      </c>
      <c r="S972" s="54">
        <v>0.12866475128260735</v>
      </c>
      <c r="T972" s="54">
        <v>23868.598855504988</v>
      </c>
      <c r="V972" s="69">
        <f t="shared" si="92"/>
        <v>848831.4088840466</v>
      </c>
      <c r="W972" s="69">
        <f t="shared" si="93"/>
        <v>850695.76028506306</v>
      </c>
      <c r="X972" s="69">
        <f t="shared" si="90"/>
        <v>1864.3514010164799</v>
      </c>
      <c r="Z972" s="68">
        <f t="shared" si="94"/>
        <v>0</v>
      </c>
      <c r="AA972" s="68">
        <f t="shared" si="95"/>
        <v>1</v>
      </c>
      <c r="AB972" s="68">
        <f t="shared" si="91"/>
        <v>1</v>
      </c>
    </row>
    <row r="973" spans="1:28" x14ac:dyDescent="0.25">
      <c r="A973">
        <v>968</v>
      </c>
      <c r="C973" s="24">
        <v>3.5107789523647348E-4</v>
      </c>
      <c r="D973" s="24">
        <v>8.2062981828731063E-3</v>
      </c>
      <c r="E973" s="24">
        <v>3.0702107522984079E-12</v>
      </c>
      <c r="F973" s="24">
        <v>9.9106492548965793E-21</v>
      </c>
      <c r="G973" s="24">
        <v>0.67630138158564801</v>
      </c>
      <c r="H973" s="24">
        <v>0.26321219355221104</v>
      </c>
      <c r="I973" s="53">
        <v>1879.3330397298243</v>
      </c>
      <c r="J973" s="53">
        <v>4562.2985411743184</v>
      </c>
      <c r="K973" s="24">
        <v>0.7862573747554199</v>
      </c>
      <c r="L973" s="24">
        <v>0.81225447848156884</v>
      </c>
      <c r="M973" s="24">
        <v>0.92396380535316691</v>
      </c>
      <c r="O973" s="53">
        <v>4.0150299646363514</v>
      </c>
      <c r="P973" s="54">
        <v>22189.85539518221</v>
      </c>
      <c r="Q973" s="54">
        <v>4.0577739801300812</v>
      </c>
      <c r="R973" s="54">
        <v>29798.051338123871</v>
      </c>
      <c r="S973" s="54">
        <v>4.2744015493729748E-2</v>
      </c>
      <c r="T973" s="54">
        <v>7608.1959429416602</v>
      </c>
      <c r="V973" s="69">
        <f t="shared" si="92"/>
        <v>780816.13753208797</v>
      </c>
      <c r="W973" s="69">
        <f t="shared" si="93"/>
        <v>781756.74468789238</v>
      </c>
      <c r="X973" s="69">
        <f t="shared" si="90"/>
        <v>940.6071558042895</v>
      </c>
      <c r="Z973" s="68">
        <f t="shared" si="94"/>
        <v>0</v>
      </c>
      <c r="AA973" s="68">
        <f t="shared" si="95"/>
        <v>1</v>
      </c>
      <c r="AB973" s="68">
        <f t="shared" si="91"/>
        <v>1</v>
      </c>
    </row>
    <row r="974" spans="1:28" x14ac:dyDescent="0.25">
      <c r="A974">
        <v>969</v>
      </c>
      <c r="C974" s="24">
        <v>6.5813199378093127E-6</v>
      </c>
      <c r="D974" s="24">
        <v>1.4921778957885655E-4</v>
      </c>
      <c r="E974" s="24">
        <v>1.7937783957649988E-19</v>
      </c>
      <c r="F974" s="24">
        <v>6.4004701538777908E-10</v>
      </c>
      <c r="G974" s="24">
        <v>0.62548810755841533</v>
      </c>
      <c r="H974" s="24">
        <v>0.26829261787179848</v>
      </c>
      <c r="I974" s="53">
        <v>2163.6497621494022</v>
      </c>
      <c r="J974" s="53">
        <v>4810.4519476119831</v>
      </c>
      <c r="K974" s="24">
        <v>0.56229819940813108</v>
      </c>
      <c r="L974" s="24">
        <v>0.97673452210865541</v>
      </c>
      <c r="M974" s="24">
        <v>0.79998406557671076</v>
      </c>
      <c r="O974" s="53">
        <v>4.2577625970651924</v>
      </c>
      <c r="P974" s="54">
        <v>19187.96921795954</v>
      </c>
      <c r="Q974" s="54">
        <v>4.7317568839069155</v>
      </c>
      <c r="R974" s="54">
        <v>30177.5263264235</v>
      </c>
      <c r="S974" s="54">
        <v>0.47399428684172307</v>
      </c>
      <c r="T974" s="54">
        <v>10989.55710846396</v>
      </c>
      <c r="V974" s="69">
        <f t="shared" si="92"/>
        <v>832364.55019507895</v>
      </c>
      <c r="W974" s="69">
        <f t="shared" si="93"/>
        <v>916173.85045495955</v>
      </c>
      <c r="X974" s="69">
        <f t="shared" si="90"/>
        <v>83809.300259880663</v>
      </c>
      <c r="Z974" s="68">
        <f t="shared" si="94"/>
        <v>0</v>
      </c>
      <c r="AA974" s="68">
        <f t="shared" si="95"/>
        <v>1</v>
      </c>
      <c r="AB974" s="68">
        <f t="shared" si="91"/>
        <v>1</v>
      </c>
    </row>
    <row r="975" spans="1:28" x14ac:dyDescent="0.25">
      <c r="A975">
        <v>970</v>
      </c>
      <c r="C975" s="24">
        <v>5.9977704486002814E-4</v>
      </c>
      <c r="D975" s="24">
        <v>1.7925685269646774E-2</v>
      </c>
      <c r="E975" s="24">
        <v>3.5190420103107168E-26</v>
      </c>
      <c r="F975" s="24">
        <v>8.4919119469617499E-6</v>
      </c>
      <c r="G975" s="24">
        <v>0.57689310913464109</v>
      </c>
      <c r="H975" s="24">
        <v>0.31253143831891395</v>
      </c>
      <c r="I975" s="53">
        <v>1963.6148333851208</v>
      </c>
      <c r="J975" s="53">
        <v>5715.727850420838</v>
      </c>
      <c r="K975" s="24">
        <v>0.61690396230161781</v>
      </c>
      <c r="L975" s="24">
        <v>0.83586224049979518</v>
      </c>
      <c r="M975" s="24">
        <v>0.95026728232730029</v>
      </c>
      <c r="O975" s="53">
        <v>3.900448100182131</v>
      </c>
      <c r="P975" s="54">
        <v>22027.772986988733</v>
      </c>
      <c r="Q975" s="54">
        <v>4.0935834071549353</v>
      </c>
      <c r="R975" s="54">
        <v>46070.507234181714</v>
      </c>
      <c r="S975" s="54">
        <v>0.19313530697280434</v>
      </c>
      <c r="T975" s="54">
        <v>24042.734247192981</v>
      </c>
      <c r="V975" s="69">
        <f t="shared" si="92"/>
        <v>758061.84704943746</v>
      </c>
      <c r="W975" s="69">
        <f t="shared" si="93"/>
        <v>772646.17419680534</v>
      </c>
      <c r="X975" s="69">
        <f t="shared" si="90"/>
        <v>14584.327147367891</v>
      </c>
      <c r="Z975" s="68">
        <f t="shared" si="94"/>
        <v>0</v>
      </c>
      <c r="AA975" s="68">
        <f t="shared" si="95"/>
        <v>1</v>
      </c>
      <c r="AB975" s="68">
        <f t="shared" si="91"/>
        <v>1</v>
      </c>
    </row>
    <row r="976" spans="1:28" x14ac:dyDescent="0.25">
      <c r="A976">
        <v>971</v>
      </c>
      <c r="C976" s="24">
        <v>2.6723670703559188E-2</v>
      </c>
      <c r="D976" s="24">
        <v>2.5673110065521643E-3</v>
      </c>
      <c r="E976" s="24">
        <v>5.2787613766255359E-18</v>
      </c>
      <c r="F976" s="24">
        <v>1.4228836817675727E-6</v>
      </c>
      <c r="G976" s="24">
        <v>0.4779294998887671</v>
      </c>
      <c r="H976" s="24">
        <v>0.39469716087247964</v>
      </c>
      <c r="I976" s="53">
        <v>2466.8219229204947</v>
      </c>
      <c r="J976" s="53">
        <v>5081.5531653083935</v>
      </c>
      <c r="K976" s="24">
        <v>0.62748541340508646</v>
      </c>
      <c r="L976" s="24">
        <v>0.94761403498289276</v>
      </c>
      <c r="M976" s="24">
        <v>0.81070686531779113</v>
      </c>
      <c r="O976" s="53">
        <v>4.4235316153706155</v>
      </c>
      <c r="P976" s="54">
        <v>14683.766407969024</v>
      </c>
      <c r="Q976" s="54">
        <v>4.5287868223340491</v>
      </c>
      <c r="R976" s="54">
        <v>65739.329281888102</v>
      </c>
      <c r="S976" s="54">
        <v>0.1052552069634336</v>
      </c>
      <c r="T976" s="54">
        <v>51055.56287391908</v>
      </c>
      <c r="V976" s="69">
        <f t="shared" si="92"/>
        <v>870022.55666615407</v>
      </c>
      <c r="W976" s="69">
        <f t="shared" si="93"/>
        <v>840018.0351849217</v>
      </c>
      <c r="X976" s="69">
        <f t="shared" si="90"/>
        <v>-30004.521481232361</v>
      </c>
      <c r="Z976" s="68">
        <f t="shared" si="94"/>
        <v>1</v>
      </c>
      <c r="AA976" s="68">
        <f t="shared" si="95"/>
        <v>0</v>
      </c>
      <c r="AB976" s="68">
        <f t="shared" si="91"/>
        <v>0</v>
      </c>
    </row>
    <row r="977" spans="1:28" x14ac:dyDescent="0.25">
      <c r="A977">
        <v>972</v>
      </c>
      <c r="C977" s="24">
        <v>9.1584441589678267E-3</v>
      </c>
      <c r="D977" s="24">
        <v>3.3145183068458998E-4</v>
      </c>
      <c r="E977" s="24">
        <v>3.2422977785670273E-26</v>
      </c>
      <c r="F977" s="24">
        <v>3.2886490197725493E-8</v>
      </c>
      <c r="G977" s="24">
        <v>0.58259357086975982</v>
      </c>
      <c r="H977" s="24">
        <v>0.22616690354239377</v>
      </c>
      <c r="I977" s="53">
        <v>1644.2505480015745</v>
      </c>
      <c r="J977" s="53">
        <v>3292.7027926243841</v>
      </c>
      <c r="K977" s="24">
        <v>0.64629709888822917</v>
      </c>
      <c r="L977" s="24">
        <v>0.83677360213270335</v>
      </c>
      <c r="M977" s="24">
        <v>0.98252922511215113</v>
      </c>
      <c r="O977" s="53">
        <v>3.9476806841941712</v>
      </c>
      <c r="P977" s="54">
        <v>15864.428298085604</v>
      </c>
      <c r="Q977" s="54">
        <v>4.128524455879357</v>
      </c>
      <c r="R977" s="54">
        <v>33560.765847581162</v>
      </c>
      <c r="S977" s="54">
        <v>0.18084377168518584</v>
      </c>
      <c r="T977" s="54">
        <v>17696.337549495558</v>
      </c>
      <c r="V977" s="69">
        <f t="shared" si="92"/>
        <v>773671.70854074869</v>
      </c>
      <c r="W977" s="69">
        <f t="shared" si="93"/>
        <v>792144.12532829016</v>
      </c>
      <c r="X977" s="69">
        <f t="shared" si="90"/>
        <v>18472.416787541613</v>
      </c>
      <c r="Z977" s="68">
        <f t="shared" si="94"/>
        <v>0</v>
      </c>
      <c r="AA977" s="68">
        <f t="shared" si="95"/>
        <v>1</v>
      </c>
      <c r="AB977" s="68">
        <f t="shared" si="91"/>
        <v>1</v>
      </c>
    </row>
    <row r="978" spans="1:28" x14ac:dyDescent="0.25">
      <c r="A978">
        <v>973</v>
      </c>
      <c r="C978" s="24">
        <v>1.1750986009249603E-5</v>
      </c>
      <c r="D978" s="24">
        <v>1.3572710312260705E-3</v>
      </c>
      <c r="E978" s="24">
        <v>7.6528943404596816E-8</v>
      </c>
      <c r="F978" s="24">
        <v>4.6913276049542763E-4</v>
      </c>
      <c r="G978" s="24">
        <v>0.5337605493943488</v>
      </c>
      <c r="H978" s="24">
        <v>0.2978006790379949</v>
      </c>
      <c r="I978" s="53">
        <v>2016.3102913186347</v>
      </c>
      <c r="J978" s="53">
        <v>4334.2296284633658</v>
      </c>
      <c r="K978" s="24">
        <v>0.53407139539499371</v>
      </c>
      <c r="L978" s="24">
        <v>0.90518957670943911</v>
      </c>
      <c r="M978" s="24">
        <v>0.75726110056409046</v>
      </c>
      <c r="O978" s="53">
        <v>4.1194759475307148</v>
      </c>
      <c r="P978" s="54">
        <v>17080.424259633608</v>
      </c>
      <c r="Q978" s="54">
        <v>4.3648498524032568</v>
      </c>
      <c r="R978" s="54">
        <v>50282.903815120793</v>
      </c>
      <c r="S978" s="54">
        <v>0.24537390487254207</v>
      </c>
      <c r="T978" s="54">
        <v>33202.479555487182</v>
      </c>
      <c r="V978" s="69">
        <f t="shared" si="92"/>
        <v>806814.76524650934</v>
      </c>
      <c r="W978" s="69">
        <f t="shared" si="93"/>
        <v>822687.06666553055</v>
      </c>
      <c r="X978" s="69">
        <f t="shared" si="90"/>
        <v>15872.301419021234</v>
      </c>
      <c r="Z978" s="68">
        <f t="shared" si="94"/>
        <v>0</v>
      </c>
      <c r="AA978" s="68">
        <f t="shared" si="95"/>
        <v>1</v>
      </c>
      <c r="AB978" s="68">
        <f t="shared" si="91"/>
        <v>1</v>
      </c>
    </row>
    <row r="979" spans="1:28" x14ac:dyDescent="0.25">
      <c r="A979">
        <v>974</v>
      </c>
      <c r="C979" s="24">
        <v>1.1473101360081506E-2</v>
      </c>
      <c r="D979" s="24">
        <v>6.3387874217722961E-3</v>
      </c>
      <c r="E979" s="24">
        <v>3.1012303836064348E-11</v>
      </c>
      <c r="F979" s="24">
        <v>6.7135186299083216E-13</v>
      </c>
      <c r="G979" s="24">
        <v>0.54809436563789127</v>
      </c>
      <c r="H979" s="24">
        <v>0.18525275252484619</v>
      </c>
      <c r="I979" s="53">
        <v>2475.5854399672648</v>
      </c>
      <c r="J979" s="53">
        <v>4425.6840020963673</v>
      </c>
      <c r="K979" s="24">
        <v>0.614112856752145</v>
      </c>
      <c r="L979" s="24">
        <v>0.85585277840455209</v>
      </c>
      <c r="M979" s="24">
        <v>0.90642896668141459</v>
      </c>
      <c r="O979" s="53">
        <v>4.005511344095531</v>
      </c>
      <c r="P979" s="54">
        <v>12917.413624085508</v>
      </c>
      <c r="Q979" s="54">
        <v>4.2261883707212595</v>
      </c>
      <c r="R979" s="54">
        <v>25419.19222657003</v>
      </c>
      <c r="S979" s="54">
        <v>0.22067702662572852</v>
      </c>
      <c r="T979" s="54">
        <v>12501.778602484523</v>
      </c>
      <c r="V979" s="69">
        <f t="shared" si="92"/>
        <v>788184.85519502067</v>
      </c>
      <c r="W979" s="69">
        <f t="shared" si="93"/>
        <v>819818.48191768187</v>
      </c>
      <c r="X979" s="69">
        <f t="shared" si="90"/>
        <v>31633.626722661185</v>
      </c>
      <c r="Z979" s="68">
        <f t="shared" si="94"/>
        <v>0</v>
      </c>
      <c r="AA979" s="68">
        <f t="shared" si="95"/>
        <v>1</v>
      </c>
      <c r="AB979" s="68">
        <f t="shared" si="91"/>
        <v>1</v>
      </c>
    </row>
    <row r="980" spans="1:28" x14ac:dyDescent="0.25">
      <c r="A980">
        <v>975</v>
      </c>
      <c r="C980" s="24">
        <v>4.4411822221543627E-9</v>
      </c>
      <c r="D980" s="24">
        <v>8.2551059281142918E-4</v>
      </c>
      <c r="E980" s="24">
        <v>1.6484146176490246E-15</v>
      </c>
      <c r="F980" s="24">
        <v>8.8793619124061252E-9</v>
      </c>
      <c r="G980" s="24">
        <v>0.57890215098088527</v>
      </c>
      <c r="H980" s="24">
        <v>0.28559865974691556</v>
      </c>
      <c r="I980" s="53">
        <v>2187.7891320195677</v>
      </c>
      <c r="J980" s="53">
        <v>4220.7810693065112</v>
      </c>
      <c r="K980" s="24">
        <v>0.52928181657460871</v>
      </c>
      <c r="L980" s="24">
        <v>0.95000100073154514</v>
      </c>
      <c r="M980" s="24">
        <v>0.68635022759547404</v>
      </c>
      <c r="O980" s="53">
        <v>4.2092279492319173</v>
      </c>
      <c r="P980" s="54">
        <v>18304.791184933529</v>
      </c>
      <c r="Q980" s="54">
        <v>4.5807304749071065</v>
      </c>
      <c r="R980" s="54">
        <v>45175.869469866098</v>
      </c>
      <c r="S980" s="54">
        <v>0.37150252567518915</v>
      </c>
      <c r="T980" s="54">
        <v>26871.07828493257</v>
      </c>
      <c r="V980" s="69">
        <f t="shared" si="92"/>
        <v>823540.79866144992</v>
      </c>
      <c r="W980" s="69">
        <f t="shared" si="93"/>
        <v>870970.22551155509</v>
      </c>
      <c r="X980" s="69">
        <f t="shared" si="90"/>
        <v>47429.426850105265</v>
      </c>
      <c r="Z980" s="68">
        <f t="shared" si="94"/>
        <v>0</v>
      </c>
      <c r="AA980" s="68">
        <f t="shared" si="95"/>
        <v>1</v>
      </c>
      <c r="AB980" s="68">
        <f t="shared" si="91"/>
        <v>1</v>
      </c>
    </row>
    <row r="981" spans="1:28" x14ac:dyDescent="0.25">
      <c r="A981">
        <v>976</v>
      </c>
      <c r="C981" s="24">
        <v>4.640091298301224E-8</v>
      </c>
      <c r="D981" s="24">
        <v>7.3663115323382099E-5</v>
      </c>
      <c r="E981" s="24">
        <v>1.060438614722492E-3</v>
      </c>
      <c r="F981" s="24">
        <v>5.6928250240196343E-28</v>
      </c>
      <c r="G981" s="24">
        <v>0.69458409945357591</v>
      </c>
      <c r="H981" s="24">
        <v>0.31186164588546128</v>
      </c>
      <c r="I981" s="53">
        <v>2027.1015859165198</v>
      </c>
      <c r="J981" s="53">
        <v>5445.0046105399288</v>
      </c>
      <c r="K981" s="24">
        <v>0.72758027242411671</v>
      </c>
      <c r="L981" s="24">
        <v>0.99007409879876063</v>
      </c>
      <c r="M981" s="24">
        <v>0.8192494874288696</v>
      </c>
      <c r="O981" s="53">
        <v>4.4392774578633443</v>
      </c>
      <c r="P981" s="54">
        <v>23346.116820547595</v>
      </c>
      <c r="Q981" s="54">
        <v>4.8316770623050456</v>
      </c>
      <c r="R981" s="54">
        <v>37516.123053553623</v>
      </c>
      <c r="S981" s="54">
        <v>0.3923996044417013</v>
      </c>
      <c r="T981" s="54">
        <v>14170.006233006028</v>
      </c>
      <c r="V981" s="69">
        <f t="shared" si="92"/>
        <v>864509.37475212128</v>
      </c>
      <c r="W981" s="69">
        <f t="shared" si="93"/>
        <v>928819.28940745548</v>
      </c>
      <c r="X981" s="69">
        <f t="shared" si="90"/>
        <v>64309.914655334229</v>
      </c>
      <c r="Z981" s="68">
        <f t="shared" si="94"/>
        <v>0</v>
      </c>
      <c r="AA981" s="68">
        <f t="shared" si="95"/>
        <v>1</v>
      </c>
      <c r="AB981" s="68">
        <f t="shared" si="91"/>
        <v>1</v>
      </c>
    </row>
    <row r="982" spans="1:28" x14ac:dyDescent="0.25">
      <c r="A982">
        <v>977</v>
      </c>
      <c r="C982" s="24">
        <v>9.0346978603728708E-11</v>
      </c>
      <c r="D982" s="24">
        <v>2.0400752744603602E-7</v>
      </c>
      <c r="E982" s="24">
        <v>6.0750848795976253E-11</v>
      </c>
      <c r="F982" s="24">
        <v>8.3565479306877965E-45</v>
      </c>
      <c r="G982" s="24">
        <v>0.58444833927123607</v>
      </c>
      <c r="H982" s="24">
        <v>0.25640855927646822</v>
      </c>
      <c r="I982" s="53">
        <v>1908.3271401473114</v>
      </c>
      <c r="J982" s="53">
        <v>5137.8245604800477</v>
      </c>
      <c r="K982" s="24">
        <v>0.73746903461240687</v>
      </c>
      <c r="L982" s="24">
        <v>0.91553799813452752</v>
      </c>
      <c r="M982" s="24">
        <v>0.90412815878508712</v>
      </c>
      <c r="O982" s="53">
        <v>4.3443248533393417</v>
      </c>
      <c r="P982" s="54">
        <v>16743.144949646707</v>
      </c>
      <c r="Q982" s="54">
        <v>4.516355485051756</v>
      </c>
      <c r="R982" s="54">
        <v>51032.752249121397</v>
      </c>
      <c r="S982" s="54">
        <v>0.17203063171241428</v>
      </c>
      <c r="T982" s="54">
        <v>34289.607299474694</v>
      </c>
      <c r="V982" s="69">
        <f t="shared" si="92"/>
        <v>852121.82571822172</v>
      </c>
      <c r="W982" s="69">
        <f t="shared" si="93"/>
        <v>852238.34476122982</v>
      </c>
      <c r="X982" s="69">
        <f t="shared" si="90"/>
        <v>116.51904300816386</v>
      </c>
      <c r="Z982" s="68">
        <f t="shared" si="94"/>
        <v>0</v>
      </c>
      <c r="AA982" s="68">
        <f t="shared" si="95"/>
        <v>1</v>
      </c>
      <c r="AB982" s="68">
        <f t="shared" si="91"/>
        <v>1</v>
      </c>
    </row>
    <row r="983" spans="1:28" x14ac:dyDescent="0.25">
      <c r="A983">
        <v>978</v>
      </c>
      <c r="C983" s="24">
        <v>8.355728016780084E-4</v>
      </c>
      <c r="D983" s="24">
        <v>1.0258872917259466E-3</v>
      </c>
      <c r="E983" s="24">
        <v>1.0307724433853492E-18</v>
      </c>
      <c r="F983" s="24">
        <v>3.5875147588293466E-5</v>
      </c>
      <c r="G983" s="24">
        <v>0.5711966896972831</v>
      </c>
      <c r="H983" s="24">
        <v>0.34432953955500722</v>
      </c>
      <c r="I983" s="53">
        <v>1820.7415243450041</v>
      </c>
      <c r="J983" s="53">
        <v>4970.4196589768708</v>
      </c>
      <c r="K983" s="24">
        <v>0.65687131852894298</v>
      </c>
      <c r="L983" s="24">
        <v>0.82232240802695222</v>
      </c>
      <c r="M983" s="24">
        <v>0.76682154803401348</v>
      </c>
      <c r="O983" s="53">
        <v>3.9042145473008678</v>
      </c>
      <c r="P983" s="54">
        <v>14845.267379818928</v>
      </c>
      <c r="Q983" s="54">
        <v>4.0245546388753919</v>
      </c>
      <c r="R983" s="54">
        <v>58646.568674418559</v>
      </c>
      <c r="S983" s="54">
        <v>0.12034009157452408</v>
      </c>
      <c r="T983" s="54">
        <v>43801.301294599631</v>
      </c>
      <c r="V983" s="69">
        <f t="shared" si="92"/>
        <v>765997.64208035462</v>
      </c>
      <c r="W983" s="69">
        <f t="shared" si="93"/>
        <v>746264.35910065973</v>
      </c>
      <c r="X983" s="69">
        <f t="shared" si="90"/>
        <v>-19733.282979694814</v>
      </c>
      <c r="Z983" s="68">
        <f t="shared" si="94"/>
        <v>1</v>
      </c>
      <c r="AA983" s="68">
        <f t="shared" si="95"/>
        <v>0</v>
      </c>
      <c r="AB983" s="68">
        <f t="shared" si="91"/>
        <v>0</v>
      </c>
    </row>
    <row r="984" spans="1:28" x14ac:dyDescent="0.25">
      <c r="A984">
        <v>979</v>
      </c>
      <c r="C984" s="24">
        <v>4.2785605284833973E-9</v>
      </c>
      <c r="D984" s="24">
        <v>1.8529467200241179E-3</v>
      </c>
      <c r="E984" s="24">
        <v>3.0530321694758174E-41</v>
      </c>
      <c r="F984" s="24">
        <v>2.1373732069315526E-55</v>
      </c>
      <c r="G984" s="24">
        <v>0.56722890424011907</v>
      </c>
      <c r="H984" s="24">
        <v>0.26513991674715032</v>
      </c>
      <c r="I984" s="53">
        <v>1691.2029088502122</v>
      </c>
      <c r="J984" s="53">
        <v>5813.5342498973032</v>
      </c>
      <c r="K984" s="24">
        <v>0.7506022463109483</v>
      </c>
      <c r="L984" s="24">
        <v>0.97198587294936489</v>
      </c>
      <c r="M984" s="24">
        <v>0.67812953256025477</v>
      </c>
      <c r="O984" s="53">
        <v>4.5868027038267751</v>
      </c>
      <c r="P984" s="54">
        <v>15076.944526120831</v>
      </c>
      <c r="Q984" s="54">
        <v>4.7767202939822466</v>
      </c>
      <c r="R984" s="54">
        <v>34652.537001606368</v>
      </c>
      <c r="S984" s="54">
        <v>0.18991759015547149</v>
      </c>
      <c r="T984" s="54">
        <v>19575.592475485537</v>
      </c>
      <c r="V984" s="69">
        <f t="shared" si="92"/>
        <v>902283.5962392342</v>
      </c>
      <c r="W984" s="69">
        <f t="shared" si="93"/>
        <v>920691.52179484302</v>
      </c>
      <c r="X984" s="69">
        <f t="shared" si="90"/>
        <v>18407.925555608759</v>
      </c>
      <c r="Z984" s="68">
        <f t="shared" si="94"/>
        <v>0</v>
      </c>
      <c r="AA984" s="68">
        <f t="shared" si="95"/>
        <v>1</v>
      </c>
      <c r="AB984" s="68">
        <f t="shared" si="91"/>
        <v>1</v>
      </c>
    </row>
    <row r="985" spans="1:28" x14ac:dyDescent="0.25">
      <c r="A985">
        <v>980</v>
      </c>
      <c r="C985" s="24">
        <v>8.1402938817502161E-11</v>
      </c>
      <c r="D985" s="24">
        <v>4.6687056122629807E-5</v>
      </c>
      <c r="E985" s="24">
        <v>1.8914212529291623E-26</v>
      </c>
      <c r="F985" s="24">
        <v>3.9366297131749883E-68</v>
      </c>
      <c r="G985" s="24">
        <v>0.60743475218749177</v>
      </c>
      <c r="H985" s="24">
        <v>0.24188661771064202</v>
      </c>
      <c r="I985" s="53">
        <v>1930.2195506240905</v>
      </c>
      <c r="J985" s="53">
        <v>4061.198478769134</v>
      </c>
      <c r="K985" s="24">
        <v>0.80189885982271381</v>
      </c>
      <c r="L985" s="24">
        <v>0.90972903960499052</v>
      </c>
      <c r="M985" s="24">
        <v>0.66048001342172191</v>
      </c>
      <c r="O985" s="53">
        <v>4.3955927893074911</v>
      </c>
      <c r="P985" s="54">
        <v>19318.529258778741</v>
      </c>
      <c r="Q985" s="54">
        <v>4.5141971142279749</v>
      </c>
      <c r="R985" s="54">
        <v>33938.603897190005</v>
      </c>
      <c r="S985" s="54">
        <v>0.11860432492048378</v>
      </c>
      <c r="T985" s="54">
        <v>14620.074638411264</v>
      </c>
      <c r="V985" s="69">
        <f t="shared" si="92"/>
        <v>859800.02860271942</v>
      </c>
      <c r="W985" s="69">
        <f t="shared" si="93"/>
        <v>868900.81894840498</v>
      </c>
      <c r="X985" s="69">
        <f t="shared" si="90"/>
        <v>9100.790345685491</v>
      </c>
      <c r="Z985" s="68">
        <f t="shared" si="94"/>
        <v>0</v>
      </c>
      <c r="AA985" s="68">
        <f t="shared" si="95"/>
        <v>1</v>
      </c>
      <c r="AB985" s="68">
        <f t="shared" si="91"/>
        <v>1</v>
      </c>
    </row>
    <row r="986" spans="1:28" x14ac:dyDescent="0.25">
      <c r="A986">
        <v>981</v>
      </c>
      <c r="C986" s="24">
        <v>1.6746545078187169E-11</v>
      </c>
      <c r="D986" s="24">
        <v>2.474693155489649E-3</v>
      </c>
      <c r="E986" s="24">
        <v>8.2530264541538426E-28</v>
      </c>
      <c r="F986" s="24">
        <v>1.9651227593350167E-42</v>
      </c>
      <c r="G986" s="24">
        <v>0.59185917764479479</v>
      </c>
      <c r="H986" s="24">
        <v>0.18516685619521123</v>
      </c>
      <c r="I986" s="53">
        <v>1917.1184327428273</v>
      </c>
      <c r="J986" s="53">
        <v>5074.0816141049572</v>
      </c>
      <c r="K986" s="24">
        <v>0.58142072595297256</v>
      </c>
      <c r="L986" s="24">
        <v>0.96942672820027842</v>
      </c>
      <c r="M986" s="24">
        <v>0.90134421322221092</v>
      </c>
      <c r="O986" s="53">
        <v>4.3253364629240458</v>
      </c>
      <c r="P986" s="54">
        <v>15609.405463762869</v>
      </c>
      <c r="Q986" s="54">
        <v>4.7579934890112288</v>
      </c>
      <c r="R986" s="54">
        <v>26876.368676190115</v>
      </c>
      <c r="S986" s="54">
        <v>0.43265702608718293</v>
      </c>
      <c r="T986" s="54">
        <v>11266.963212427247</v>
      </c>
      <c r="V986" s="69">
        <f t="shared" si="92"/>
        <v>849457.88712104631</v>
      </c>
      <c r="W986" s="69">
        <f t="shared" si="93"/>
        <v>924722.32912605559</v>
      </c>
      <c r="X986" s="69">
        <f t="shared" si="90"/>
        <v>75264.442005009332</v>
      </c>
      <c r="Z986" s="68">
        <f t="shared" si="94"/>
        <v>0</v>
      </c>
      <c r="AA986" s="68">
        <f t="shared" si="95"/>
        <v>1</v>
      </c>
      <c r="AB986" s="68">
        <f t="shared" si="91"/>
        <v>1</v>
      </c>
    </row>
    <row r="987" spans="1:28" x14ac:dyDescent="0.25">
      <c r="A987">
        <v>982</v>
      </c>
      <c r="C987" s="24">
        <v>1.2656392488740176E-3</v>
      </c>
      <c r="D987" s="24">
        <v>6.6111364961413089E-4</v>
      </c>
      <c r="E987" s="24">
        <v>4.8229063169480391E-5</v>
      </c>
      <c r="F987" s="24">
        <v>6.1300706557207353E-31</v>
      </c>
      <c r="G987" s="24">
        <v>0.51475042614035749</v>
      </c>
      <c r="H987" s="24">
        <v>0.27215791030391479</v>
      </c>
      <c r="I987" s="53">
        <v>2041.135888037503</v>
      </c>
      <c r="J987" s="53">
        <v>5483.2764894651282</v>
      </c>
      <c r="K987" s="24">
        <v>0.60670388672519682</v>
      </c>
      <c r="L987" s="24">
        <v>0.82221423379136382</v>
      </c>
      <c r="M987" s="24">
        <v>0.8368954499704272</v>
      </c>
      <c r="O987" s="53">
        <v>3.8905480497567622</v>
      </c>
      <c r="P987" s="54">
        <v>15810.530795044775</v>
      </c>
      <c r="Q987" s="54">
        <v>4.0306686161595939</v>
      </c>
      <c r="R987" s="54">
        <v>40535.346176066625</v>
      </c>
      <c r="S987" s="54">
        <v>0.14012056640283177</v>
      </c>
      <c r="T987" s="54">
        <v>24724.81538102185</v>
      </c>
      <c r="V987" s="69">
        <f t="shared" si="92"/>
        <v>762299.07915630774</v>
      </c>
      <c r="W987" s="69">
        <f t="shared" si="93"/>
        <v>765598.37705585209</v>
      </c>
      <c r="X987" s="69">
        <f t="shared" si="90"/>
        <v>3299.2978995445046</v>
      </c>
      <c r="Z987" s="68">
        <f t="shared" si="94"/>
        <v>0</v>
      </c>
      <c r="AA987" s="68">
        <f t="shared" si="95"/>
        <v>1</v>
      </c>
      <c r="AB987" s="68">
        <f t="shared" si="91"/>
        <v>1</v>
      </c>
    </row>
    <row r="988" spans="1:28" x14ac:dyDescent="0.25">
      <c r="A988">
        <v>983</v>
      </c>
      <c r="C988" s="24">
        <v>3.5975885382510953E-4</v>
      </c>
      <c r="D988" s="24">
        <v>3.6172946166212826E-4</v>
      </c>
      <c r="E988" s="24">
        <v>3.0317191829710759E-25</v>
      </c>
      <c r="F988" s="24">
        <v>8.0551626695176393E-24</v>
      </c>
      <c r="G988" s="24">
        <v>0.56876134389144106</v>
      </c>
      <c r="H988" s="24">
        <v>0.28007981859276054</v>
      </c>
      <c r="I988" s="53">
        <v>1884.4198777200934</v>
      </c>
      <c r="J988" s="53">
        <v>4804.8562660987045</v>
      </c>
      <c r="K988" s="24">
        <v>0.58939349013437259</v>
      </c>
      <c r="L988" s="24">
        <v>0.94032159612698263</v>
      </c>
      <c r="M988" s="24">
        <v>0.81491322152092704</v>
      </c>
      <c r="O988" s="53">
        <v>4.2659224318262687</v>
      </c>
      <c r="P988" s="54">
        <v>14449.649823094973</v>
      </c>
      <c r="Q988" s="54">
        <v>4.5650266123998158</v>
      </c>
      <c r="R988" s="54">
        <v>34968.261601992941</v>
      </c>
      <c r="S988" s="54">
        <v>0.29910418057354704</v>
      </c>
      <c r="T988" s="54">
        <v>20518.611778897968</v>
      </c>
      <c r="V988" s="69">
        <f t="shared" si="92"/>
        <v>838734.83654215885</v>
      </c>
      <c r="W988" s="69">
        <f t="shared" si="93"/>
        <v>878037.06087797019</v>
      </c>
      <c r="X988" s="69">
        <f t="shared" si="90"/>
        <v>39302.224335811443</v>
      </c>
      <c r="Z988" s="68">
        <f t="shared" si="94"/>
        <v>0</v>
      </c>
      <c r="AA988" s="68">
        <f t="shared" si="95"/>
        <v>1</v>
      </c>
      <c r="AB988" s="68">
        <f t="shared" si="91"/>
        <v>1</v>
      </c>
    </row>
    <row r="989" spans="1:28" x14ac:dyDescent="0.25">
      <c r="A989">
        <v>984</v>
      </c>
      <c r="C989" s="24">
        <v>5.4303721841033603E-3</v>
      </c>
      <c r="D989" s="24">
        <v>1.0230061062219832E-3</v>
      </c>
      <c r="E989" s="24">
        <v>6.4877696567773561E-17</v>
      </c>
      <c r="F989" s="24">
        <v>2.8114431671610873E-8</v>
      </c>
      <c r="G989" s="24">
        <v>0.55075009689280519</v>
      </c>
      <c r="H989" s="24">
        <v>0.19174268309237741</v>
      </c>
      <c r="I989" s="53">
        <v>1496.667826612563</v>
      </c>
      <c r="J989" s="53">
        <v>5700.1350855141591</v>
      </c>
      <c r="K989" s="24">
        <v>0.60999603805415259</v>
      </c>
      <c r="L989" s="24">
        <v>0.95789713616393435</v>
      </c>
      <c r="M989" s="24">
        <v>0.78090039419006485</v>
      </c>
      <c r="O989" s="53">
        <v>4.3763869807579301</v>
      </c>
      <c r="P989" s="54">
        <v>14983.674016542847</v>
      </c>
      <c r="Q989" s="54">
        <v>4.7059074342832652</v>
      </c>
      <c r="R989" s="54">
        <v>28836.857418113741</v>
      </c>
      <c r="S989" s="54">
        <v>0.3295204535253351</v>
      </c>
      <c r="T989" s="54">
        <v>13853.183401570894</v>
      </c>
      <c r="V989" s="69">
        <f t="shared" si="92"/>
        <v>860293.72213504312</v>
      </c>
      <c r="W989" s="69">
        <f t="shared" si="93"/>
        <v>912344.62943853927</v>
      </c>
      <c r="X989" s="69">
        <f t="shared" si="90"/>
        <v>52050.907303496126</v>
      </c>
      <c r="Z989" s="68">
        <f t="shared" si="94"/>
        <v>0</v>
      </c>
      <c r="AA989" s="68">
        <f t="shared" si="95"/>
        <v>1</v>
      </c>
      <c r="AB989" s="68">
        <f t="shared" si="91"/>
        <v>1</v>
      </c>
    </row>
    <row r="990" spans="1:28" x14ac:dyDescent="0.25">
      <c r="A990">
        <v>985</v>
      </c>
      <c r="C990" s="24">
        <v>4.2126398705440336E-8</v>
      </c>
      <c r="D990" s="24">
        <v>1.8996139594977812E-3</v>
      </c>
      <c r="E990" s="24">
        <v>2.5159977374075124E-24</v>
      </c>
      <c r="F990" s="24">
        <v>1.3248265928744729E-8</v>
      </c>
      <c r="G990" s="24">
        <v>0.48261503240762715</v>
      </c>
      <c r="H990" s="24">
        <v>0.26962888774702898</v>
      </c>
      <c r="I990" s="53">
        <v>1830.0209966905975</v>
      </c>
      <c r="J990" s="53">
        <v>4595.9988995133344</v>
      </c>
      <c r="K990" s="24">
        <v>0.72544362761718317</v>
      </c>
      <c r="L990" s="24">
        <v>0.86293233339368292</v>
      </c>
      <c r="M990" s="24">
        <v>0.68447852872973047</v>
      </c>
      <c r="O990" s="53">
        <v>4.1897704120962356</v>
      </c>
      <c r="P990" s="54">
        <v>15515.302300227784</v>
      </c>
      <c r="Q990" s="54">
        <v>4.2618280446662586</v>
      </c>
      <c r="R990" s="54">
        <v>42312.217628408711</v>
      </c>
      <c r="S990" s="54">
        <v>7.2057632570023067E-2</v>
      </c>
      <c r="T990" s="54">
        <v>26796.915328180927</v>
      </c>
      <c r="V990" s="69">
        <f t="shared" si="92"/>
        <v>822438.78011901933</v>
      </c>
      <c r="W990" s="69">
        <f t="shared" si="93"/>
        <v>810053.39130484301</v>
      </c>
      <c r="X990" s="69">
        <f t="shared" si="90"/>
        <v>-12385.388814176313</v>
      </c>
      <c r="Z990" s="68">
        <f t="shared" si="94"/>
        <v>1</v>
      </c>
      <c r="AA990" s="68">
        <f t="shared" si="95"/>
        <v>0</v>
      </c>
      <c r="AB990" s="68">
        <f t="shared" si="91"/>
        <v>0</v>
      </c>
    </row>
    <row r="991" spans="1:28" x14ac:dyDescent="0.25">
      <c r="A991">
        <v>986</v>
      </c>
      <c r="C991" s="24">
        <v>1.3702468461561645E-2</v>
      </c>
      <c r="D991" s="24">
        <v>1.1053689656011705E-4</v>
      </c>
      <c r="E991" s="24">
        <v>1.6628750427548761E-45</v>
      </c>
      <c r="F991" s="24">
        <v>3.6139979897598096E-12</v>
      </c>
      <c r="G991" s="24">
        <v>0.55710464094257595</v>
      </c>
      <c r="H991" s="24">
        <v>0.27004976452161944</v>
      </c>
      <c r="I991" s="53">
        <v>1717.2460770164751</v>
      </c>
      <c r="J991" s="53">
        <v>3327.9235114468997</v>
      </c>
      <c r="K991" s="24">
        <v>0.6558026267207715</v>
      </c>
      <c r="L991" s="24">
        <v>0.92561743026150234</v>
      </c>
      <c r="M991" s="24">
        <v>0.48711147352552253</v>
      </c>
      <c r="O991" s="53">
        <v>4.2552244314183119</v>
      </c>
      <c r="P991" s="54">
        <v>15151.175547059238</v>
      </c>
      <c r="Q991" s="54">
        <v>4.5281033137853202</v>
      </c>
      <c r="R991" s="54">
        <v>41274.357562829828</v>
      </c>
      <c r="S991" s="54">
        <v>0.2728788823670083</v>
      </c>
      <c r="T991" s="54">
        <v>26123.182015770588</v>
      </c>
      <c r="V991" s="69">
        <f t="shared" si="92"/>
        <v>835893.71073660313</v>
      </c>
      <c r="W991" s="69">
        <f t="shared" si="93"/>
        <v>864346.30519423413</v>
      </c>
      <c r="X991" s="69">
        <f t="shared" si="90"/>
        <v>28452.594457631072</v>
      </c>
      <c r="Z991" s="68">
        <f t="shared" si="94"/>
        <v>0</v>
      </c>
      <c r="AA991" s="68">
        <f t="shared" si="95"/>
        <v>1</v>
      </c>
      <c r="AB991" s="68">
        <f t="shared" si="91"/>
        <v>1</v>
      </c>
    </row>
    <row r="992" spans="1:28" x14ac:dyDescent="0.25">
      <c r="A992">
        <v>987</v>
      </c>
      <c r="C992" s="24">
        <v>4.5453211454415943E-4</v>
      </c>
      <c r="D992" s="24">
        <v>2.0659282615730122E-4</v>
      </c>
      <c r="E992" s="24">
        <v>4.0095555133142637E-41</v>
      </c>
      <c r="F992" s="24">
        <v>2.2100110630418612E-8</v>
      </c>
      <c r="G992" s="24">
        <v>0.46140228672832739</v>
      </c>
      <c r="H992" s="24">
        <v>0.24367644570916158</v>
      </c>
      <c r="I992" s="53">
        <v>1900.629639708824</v>
      </c>
      <c r="J992" s="53">
        <v>4386.8363377350906</v>
      </c>
      <c r="K992" s="24">
        <v>0.62241110497101537</v>
      </c>
      <c r="L992" s="24">
        <v>0.94323762820922108</v>
      </c>
      <c r="M992" s="24">
        <v>0.50463110064274574</v>
      </c>
      <c r="O992" s="53">
        <v>4.4455519158063606</v>
      </c>
      <c r="P992" s="54">
        <v>11772.136188875273</v>
      </c>
      <c r="Q992" s="54">
        <v>4.6123507115017786</v>
      </c>
      <c r="R992" s="54">
        <v>35439.238521006839</v>
      </c>
      <c r="S992" s="54">
        <v>0.166798795695418</v>
      </c>
      <c r="T992" s="54">
        <v>23667.102332131566</v>
      </c>
      <c r="V992" s="69">
        <f t="shared" si="92"/>
        <v>877338.24697239685</v>
      </c>
      <c r="W992" s="69">
        <f t="shared" si="93"/>
        <v>887030.90377934882</v>
      </c>
      <c r="X992" s="69">
        <f t="shared" si="90"/>
        <v>9692.6568069520363</v>
      </c>
      <c r="Z992" s="68">
        <f t="shared" si="94"/>
        <v>0</v>
      </c>
      <c r="AA992" s="68">
        <f t="shared" si="95"/>
        <v>1</v>
      </c>
      <c r="AB992" s="68">
        <f t="shared" si="91"/>
        <v>1</v>
      </c>
    </row>
    <row r="993" spans="1:28" x14ac:dyDescent="0.25">
      <c r="A993">
        <v>988</v>
      </c>
      <c r="C993" s="24">
        <v>1.5704496542989776E-3</v>
      </c>
      <c r="D993" s="24">
        <v>1.4246483864809312E-3</v>
      </c>
      <c r="E993" s="24">
        <v>8.8280434090703963E-6</v>
      </c>
      <c r="F993" s="24">
        <v>1.8777602545094751E-6</v>
      </c>
      <c r="G993" s="24">
        <v>0.63297906048789709</v>
      </c>
      <c r="H993" s="24">
        <v>0.21152043679505816</v>
      </c>
      <c r="I993" s="53">
        <v>1652.5572971064626</v>
      </c>
      <c r="J993" s="53">
        <v>4891.3291131605574</v>
      </c>
      <c r="K993" s="24">
        <v>0.53034091396347138</v>
      </c>
      <c r="L993" s="24">
        <v>0.70461274264534068</v>
      </c>
      <c r="M993" s="24">
        <v>0.84363184861026108</v>
      </c>
      <c r="O993" s="53">
        <v>3.2550418633650793</v>
      </c>
      <c r="P993" s="54">
        <v>19452.915922402579</v>
      </c>
      <c r="Q993" s="54">
        <v>3.4775133284114346</v>
      </c>
      <c r="R993" s="54">
        <v>29370.021286941508</v>
      </c>
      <c r="S993" s="54">
        <v>0.22247146504635529</v>
      </c>
      <c r="T993" s="54">
        <v>9917.1053645389293</v>
      </c>
      <c r="V993" s="69">
        <f t="shared" si="92"/>
        <v>631555.45675061317</v>
      </c>
      <c r="W993" s="69">
        <f t="shared" si="93"/>
        <v>666132.64439534547</v>
      </c>
      <c r="X993" s="69">
        <f t="shared" si="90"/>
        <v>34577.187644732127</v>
      </c>
      <c r="Z993" s="68">
        <f t="shared" si="94"/>
        <v>0</v>
      </c>
      <c r="AA993" s="68">
        <f t="shared" si="95"/>
        <v>1</v>
      </c>
      <c r="AB993" s="68">
        <f t="shared" si="91"/>
        <v>1</v>
      </c>
    </row>
    <row r="994" spans="1:28" x14ac:dyDescent="0.25">
      <c r="A994">
        <v>989</v>
      </c>
      <c r="C994" s="24">
        <v>7.6464846725079472E-3</v>
      </c>
      <c r="D994" s="24">
        <v>1.9012105866678765E-4</v>
      </c>
      <c r="E994" s="24">
        <v>1.6784454330359632E-62</v>
      </c>
      <c r="F994" s="24">
        <v>1.1127547779832403E-15</v>
      </c>
      <c r="G994" s="24">
        <v>0.6122973406669614</v>
      </c>
      <c r="H994" s="24">
        <v>0.3697499644557537</v>
      </c>
      <c r="I994" s="53">
        <v>2129.5495299630729</v>
      </c>
      <c r="J994" s="53">
        <v>4848.0344523087479</v>
      </c>
      <c r="K994" s="24">
        <v>0.82325685042839369</v>
      </c>
      <c r="L994" s="24">
        <v>0.80287741583073569</v>
      </c>
      <c r="M994" s="24">
        <v>0.82592456699036654</v>
      </c>
      <c r="O994" s="53">
        <v>4.0454189777835055</v>
      </c>
      <c r="P994" s="54">
        <v>16886.322503618241</v>
      </c>
      <c r="Q994" s="54">
        <v>4.0262912033158722</v>
      </c>
      <c r="R994" s="54">
        <v>60227.989262537943</v>
      </c>
      <c r="S994" s="54">
        <v>-1.9127774467633252E-2</v>
      </c>
      <c r="T994" s="54">
        <v>43341.666758919702</v>
      </c>
      <c r="V994" s="69">
        <f t="shared" si="92"/>
        <v>792197.47305308294</v>
      </c>
      <c r="W994" s="69">
        <f t="shared" si="93"/>
        <v>745030.25140063651</v>
      </c>
      <c r="X994" s="69">
        <f t="shared" si="90"/>
        <v>-47167.221652446351</v>
      </c>
      <c r="Z994" s="68">
        <f t="shared" si="94"/>
        <v>1</v>
      </c>
      <c r="AA994" s="68">
        <f t="shared" si="95"/>
        <v>0</v>
      </c>
      <c r="AB994" s="68">
        <f t="shared" si="91"/>
        <v>0</v>
      </c>
    </row>
    <row r="995" spans="1:28" x14ac:dyDescent="0.25">
      <c r="A995">
        <v>990</v>
      </c>
      <c r="C995" s="24">
        <v>2.228444867306556E-3</v>
      </c>
      <c r="D995" s="24">
        <v>1.3728766616313798E-5</v>
      </c>
      <c r="E995" s="24">
        <v>5.4860064389909335E-44</v>
      </c>
      <c r="F995" s="24">
        <v>1.9675031546422237E-16</v>
      </c>
      <c r="G995" s="24">
        <v>0.51254550143405708</v>
      </c>
      <c r="H995" s="24">
        <v>0.22352208248551864</v>
      </c>
      <c r="I995" s="53">
        <v>2194.1065303446421</v>
      </c>
      <c r="J995" s="53">
        <v>4489.5390265548203</v>
      </c>
      <c r="K995" s="24">
        <v>0.59396000298527196</v>
      </c>
      <c r="L995" s="24">
        <v>0.98449009243277252</v>
      </c>
      <c r="M995" s="24">
        <v>0.86529020646506105</v>
      </c>
      <c r="O995" s="53">
        <v>4.5241714193999432</v>
      </c>
      <c r="P995" s="54">
        <v>12205.573407880665</v>
      </c>
      <c r="Q995" s="54">
        <v>4.8100826755024935</v>
      </c>
      <c r="R995" s="54">
        <v>40028.960785886651</v>
      </c>
      <c r="S995" s="54">
        <v>0.2859112561025503</v>
      </c>
      <c r="T995" s="54">
        <v>27823.387378005988</v>
      </c>
      <c r="V995" s="69">
        <f t="shared" si="92"/>
        <v>892628.71047210798</v>
      </c>
      <c r="W995" s="69">
        <f t="shared" si="93"/>
        <v>921987.57431461208</v>
      </c>
      <c r="X995" s="69">
        <f t="shared" si="90"/>
        <v>29358.86384250407</v>
      </c>
      <c r="Z995" s="68">
        <f t="shared" si="94"/>
        <v>0</v>
      </c>
      <c r="AA995" s="68">
        <f t="shared" si="95"/>
        <v>1</v>
      </c>
      <c r="AB995" s="68">
        <f t="shared" si="91"/>
        <v>1</v>
      </c>
    </row>
    <row r="996" spans="1:28" x14ac:dyDescent="0.25">
      <c r="A996">
        <v>991</v>
      </c>
      <c r="C996" s="24">
        <v>3.4135952955531845E-3</v>
      </c>
      <c r="D996" s="24">
        <v>5.6333883147655214E-4</v>
      </c>
      <c r="E996" s="24">
        <v>2.6413158762971867E-15</v>
      </c>
      <c r="F996" s="24">
        <v>3.6090101684926879E-8</v>
      </c>
      <c r="G996" s="24">
        <v>0.56536400614194615</v>
      </c>
      <c r="H996" s="24">
        <v>0.33545287044492755</v>
      </c>
      <c r="I996" s="53">
        <v>2365.0209004001072</v>
      </c>
      <c r="J996" s="53">
        <v>5527.0439677120939</v>
      </c>
      <c r="K996" s="24">
        <v>0.61096877780563463</v>
      </c>
      <c r="L996" s="24">
        <v>0.97773799559293795</v>
      </c>
      <c r="M996" s="24">
        <v>0.89659441219809644</v>
      </c>
      <c r="O996" s="53">
        <v>4.4367573207796163</v>
      </c>
      <c r="P996" s="54">
        <v>18270.958938049327</v>
      </c>
      <c r="Q996" s="54">
        <v>4.7040275133309164</v>
      </c>
      <c r="R996" s="54">
        <v>52896.636845213492</v>
      </c>
      <c r="S996" s="54">
        <v>0.26727019255130013</v>
      </c>
      <c r="T996" s="54">
        <v>34625.677907164165</v>
      </c>
      <c r="V996" s="69">
        <f t="shared" si="92"/>
        <v>869080.50521787396</v>
      </c>
      <c r="W996" s="69">
        <f t="shared" si="93"/>
        <v>887908.8658209698</v>
      </c>
      <c r="X996" s="69">
        <f t="shared" si="90"/>
        <v>18828.360603095862</v>
      </c>
      <c r="Z996" s="68">
        <f t="shared" si="94"/>
        <v>0</v>
      </c>
      <c r="AA996" s="68">
        <f t="shared" si="95"/>
        <v>1</v>
      </c>
      <c r="AB996" s="68">
        <f t="shared" si="91"/>
        <v>1</v>
      </c>
    </row>
    <row r="997" spans="1:28" x14ac:dyDescent="0.25">
      <c r="A997">
        <v>992</v>
      </c>
      <c r="C997" s="24">
        <v>3.8046391513936295E-2</v>
      </c>
      <c r="D997" s="24">
        <v>5.3884172566490696E-3</v>
      </c>
      <c r="E997" s="24">
        <v>5.4891602374596005E-10</v>
      </c>
      <c r="F997" s="24">
        <v>5.2713519464249814E-19</v>
      </c>
      <c r="G997" s="24">
        <v>0.49060714990616139</v>
      </c>
      <c r="H997" s="24">
        <v>0.18003213277665397</v>
      </c>
      <c r="I997" s="53">
        <v>1513.1264605141698</v>
      </c>
      <c r="J997" s="53">
        <v>5854.7097407003012</v>
      </c>
      <c r="K997" s="24">
        <v>0.7184063168567193</v>
      </c>
      <c r="L997" s="24">
        <v>0.93515961446364115</v>
      </c>
      <c r="M997" s="24">
        <v>0.95609951670500493</v>
      </c>
      <c r="O997" s="53">
        <v>4.4793283721701576</v>
      </c>
      <c r="P997" s="54">
        <v>14944.528264882871</v>
      </c>
      <c r="Q997" s="54">
        <v>4.6288745475201845</v>
      </c>
      <c r="R997" s="54">
        <v>26798.044057557916</v>
      </c>
      <c r="S997" s="54">
        <v>0.1495461753500269</v>
      </c>
      <c r="T997" s="54">
        <v>11853.515792675045</v>
      </c>
      <c r="V997" s="69">
        <f t="shared" si="92"/>
        <v>880921.14616914862</v>
      </c>
      <c r="W997" s="69">
        <f t="shared" si="93"/>
        <v>898976.86544647894</v>
      </c>
      <c r="X997" s="69">
        <f t="shared" si="90"/>
        <v>18055.719277330332</v>
      </c>
      <c r="Z997" s="68">
        <f t="shared" si="94"/>
        <v>0</v>
      </c>
      <c r="AA997" s="68">
        <f t="shared" si="95"/>
        <v>1</v>
      </c>
      <c r="AB997" s="68">
        <f t="shared" si="91"/>
        <v>1</v>
      </c>
    </row>
    <row r="998" spans="1:28" x14ac:dyDescent="0.25">
      <c r="A998">
        <v>993</v>
      </c>
      <c r="C998" s="24">
        <v>2.8490949379403242E-12</v>
      </c>
      <c r="D998" s="24">
        <v>1.7790439676158565E-3</v>
      </c>
      <c r="E998" s="24">
        <v>1.52024016096324E-16</v>
      </c>
      <c r="F998" s="24">
        <v>4.2188474935755949E-15</v>
      </c>
      <c r="G998" s="24">
        <v>0.58015362069346521</v>
      </c>
      <c r="H998" s="24">
        <v>0.31090558578543526</v>
      </c>
      <c r="I998" s="53">
        <v>2341.3219064970608</v>
      </c>
      <c r="J998" s="53">
        <v>6243.5135992571768</v>
      </c>
      <c r="K998" s="24">
        <v>0.52573746695601431</v>
      </c>
      <c r="L998" s="24">
        <v>0.91692996212747024</v>
      </c>
      <c r="M998" s="24">
        <v>0.90972393527802975</v>
      </c>
      <c r="O998" s="53">
        <v>4.0796177702224643</v>
      </c>
      <c r="P998" s="54">
        <v>15561.020979618968</v>
      </c>
      <c r="Q998" s="54">
        <v>4.4085796718570558</v>
      </c>
      <c r="R998" s="54">
        <v>34754.94406424195</v>
      </c>
      <c r="S998" s="54">
        <v>0.32896190163459149</v>
      </c>
      <c r="T998" s="54">
        <v>19193.923084622984</v>
      </c>
      <c r="V998" s="69">
        <f t="shared" si="92"/>
        <v>800362.53306487389</v>
      </c>
      <c r="W998" s="69">
        <f t="shared" si="93"/>
        <v>846960.99030716915</v>
      </c>
      <c r="X998" s="69">
        <f t="shared" si="90"/>
        <v>46598.457242295313</v>
      </c>
      <c r="Z998" s="68">
        <f t="shared" si="94"/>
        <v>0</v>
      </c>
      <c r="AA998" s="68">
        <f t="shared" si="95"/>
        <v>1</v>
      </c>
      <c r="AB998" s="68">
        <f t="shared" si="91"/>
        <v>1</v>
      </c>
    </row>
    <row r="999" spans="1:28" x14ac:dyDescent="0.25">
      <c r="A999">
        <v>994</v>
      </c>
      <c r="C999" s="24">
        <v>1.0217477326619484E-3</v>
      </c>
      <c r="D999" s="24">
        <v>3.0351064207917444E-3</v>
      </c>
      <c r="E999" s="24">
        <v>7.3565096738255138E-38</v>
      </c>
      <c r="F999" s="24">
        <v>5.6776472412423118E-11</v>
      </c>
      <c r="G999" s="24">
        <v>0.66966285600953124</v>
      </c>
      <c r="H999" s="24">
        <v>0.33402279737547824</v>
      </c>
      <c r="I999" s="53">
        <v>1509.3905914550999</v>
      </c>
      <c r="J999" s="53">
        <v>5269.9291663718877</v>
      </c>
      <c r="K999" s="24">
        <v>0.78213802012243583</v>
      </c>
      <c r="L999" s="24">
        <v>0.87033085148565059</v>
      </c>
      <c r="M999" s="24">
        <v>0.78953439565914896</v>
      </c>
      <c r="O999" s="53">
        <v>4.1961352909424532</v>
      </c>
      <c r="P999" s="54">
        <v>18366.209289401173</v>
      </c>
      <c r="Q999" s="54">
        <v>4.305947623267226</v>
      </c>
      <c r="R999" s="54">
        <v>61366.360480012605</v>
      </c>
      <c r="S999" s="54">
        <v>0.10981233232477283</v>
      </c>
      <c r="T999" s="54">
        <v>43000.151190611432</v>
      </c>
      <c r="V999" s="69">
        <f t="shared" si="92"/>
        <v>820860.8488990895</v>
      </c>
      <c r="W999" s="69">
        <f t="shared" si="93"/>
        <v>799823.16417343263</v>
      </c>
      <c r="X999" s="69">
        <f t="shared" si="90"/>
        <v>-21037.684725656865</v>
      </c>
      <c r="Z999" s="68">
        <f t="shared" si="94"/>
        <v>1</v>
      </c>
      <c r="AA999" s="68">
        <f t="shared" si="95"/>
        <v>0</v>
      </c>
      <c r="AB999" s="68">
        <f t="shared" si="91"/>
        <v>0</v>
      </c>
    </row>
    <row r="1000" spans="1:28" x14ac:dyDescent="0.25">
      <c r="A1000">
        <v>995</v>
      </c>
      <c r="C1000" s="24">
        <v>1.4080556900197827E-4</v>
      </c>
      <c r="D1000" s="24">
        <v>4.265435088688263E-3</v>
      </c>
      <c r="E1000" s="24">
        <v>4.3576697805747244E-11</v>
      </c>
      <c r="F1000" s="24">
        <v>9.8978341140630286E-18</v>
      </c>
      <c r="G1000" s="24">
        <v>0.55790879894125012</v>
      </c>
      <c r="H1000" s="24">
        <v>0.31713933744038358</v>
      </c>
      <c r="I1000" s="53">
        <v>1645.1890547454038</v>
      </c>
      <c r="J1000" s="53">
        <v>6224.477492515025</v>
      </c>
      <c r="K1000" s="24">
        <v>0.67263663420176911</v>
      </c>
      <c r="L1000" s="24">
        <v>0.78983851677885997</v>
      </c>
      <c r="M1000" s="24">
        <v>0.83155375678048871</v>
      </c>
      <c r="O1000" s="53">
        <v>3.8093318046906854</v>
      </c>
      <c r="P1000" s="54">
        <v>14758.46231029543</v>
      </c>
      <c r="Q1000" s="54">
        <v>3.8961176453818154</v>
      </c>
      <c r="R1000" s="54">
        <v>49149.365486049319</v>
      </c>
      <c r="S1000" s="54">
        <v>8.6785840691129934E-2</v>
      </c>
      <c r="T1000" s="54">
        <v>34390.903175753891</v>
      </c>
      <c r="V1000" s="69">
        <f t="shared" si="92"/>
        <v>747107.89862784161</v>
      </c>
      <c r="W1000" s="69">
        <f t="shared" si="93"/>
        <v>730074.16359031375</v>
      </c>
      <c r="X1000" s="69">
        <f t="shared" si="90"/>
        <v>-17033.735037527902</v>
      </c>
      <c r="Z1000" s="68">
        <f t="shared" si="94"/>
        <v>1</v>
      </c>
      <c r="AA1000" s="68">
        <f t="shared" si="95"/>
        <v>0</v>
      </c>
      <c r="AB1000" s="68">
        <f t="shared" si="91"/>
        <v>0</v>
      </c>
    </row>
    <row r="1001" spans="1:28" x14ac:dyDescent="0.25">
      <c r="A1001">
        <v>996</v>
      </c>
      <c r="C1001" s="24">
        <v>6.9125302841854808E-4</v>
      </c>
      <c r="D1001" s="24">
        <v>4.1439724999156146E-6</v>
      </c>
      <c r="E1001" s="24">
        <v>1.3910207642981083E-20</v>
      </c>
      <c r="F1001" s="24">
        <v>1.9587105786252221E-44</v>
      </c>
      <c r="G1001" s="24">
        <v>0.55987187102179425</v>
      </c>
      <c r="H1001" s="24">
        <v>0.26147427494398789</v>
      </c>
      <c r="I1001" s="53">
        <v>1882.9997260836722</v>
      </c>
      <c r="J1001" s="53">
        <v>3825.5030999827131</v>
      </c>
      <c r="K1001" s="24">
        <v>0.61255185194608797</v>
      </c>
      <c r="L1001" s="24">
        <v>0.87348248627400382</v>
      </c>
      <c r="M1001" s="24">
        <v>0.95220243387672387</v>
      </c>
      <c r="O1001" s="53">
        <v>4.0542201281159462</v>
      </c>
      <c r="P1001" s="54">
        <v>15850.866189971572</v>
      </c>
      <c r="Q1001" s="54">
        <v>4.2751451706683525</v>
      </c>
      <c r="R1001" s="54">
        <v>31203.788469663421</v>
      </c>
      <c r="S1001" s="54">
        <v>0.2209250425524063</v>
      </c>
      <c r="T1001" s="54">
        <v>15352.922279691849</v>
      </c>
      <c r="V1001" s="69">
        <f t="shared" si="92"/>
        <v>794993.15943321772</v>
      </c>
      <c r="W1001" s="69">
        <f t="shared" si="93"/>
        <v>823825.24566400703</v>
      </c>
      <c r="X1001" s="69">
        <f t="shared" si="90"/>
        <v>28832.086230789413</v>
      </c>
      <c r="Z1001" s="68">
        <f t="shared" si="94"/>
        <v>0</v>
      </c>
      <c r="AA1001" s="68">
        <f t="shared" si="95"/>
        <v>1</v>
      </c>
      <c r="AB1001" s="68">
        <f t="shared" si="91"/>
        <v>1</v>
      </c>
    </row>
    <row r="1002" spans="1:28" x14ac:dyDescent="0.25">
      <c r="A1002">
        <v>997</v>
      </c>
      <c r="C1002" s="24">
        <v>1.9961513253014523E-9</v>
      </c>
      <c r="D1002" s="24">
        <v>3.26408511677961E-4</v>
      </c>
      <c r="E1002" s="24">
        <v>1.0259911047785337E-21</v>
      </c>
      <c r="F1002" s="24">
        <v>3.8414826875055041E-12</v>
      </c>
      <c r="G1002" s="24">
        <v>0.60924786965592137</v>
      </c>
      <c r="H1002" s="24">
        <v>0.26806882445495273</v>
      </c>
      <c r="I1002" s="53">
        <v>2842.3159349079924</v>
      </c>
      <c r="J1002" s="53">
        <v>3534.0522818078061</v>
      </c>
      <c r="K1002" s="24">
        <v>0.51043825485385108</v>
      </c>
      <c r="L1002" s="24">
        <v>0.75966355922214712</v>
      </c>
      <c r="M1002" s="24">
        <v>0.91582193174354209</v>
      </c>
      <c r="O1002" s="53">
        <v>3.442351718830893</v>
      </c>
      <c r="P1002" s="54">
        <v>18464.847764579721</v>
      </c>
      <c r="Q1002" s="54">
        <v>3.7074884433751314</v>
      </c>
      <c r="R1002" s="54">
        <v>41438.779559604263</v>
      </c>
      <c r="S1002" s="54">
        <v>0.26513672454423842</v>
      </c>
      <c r="T1002" s="54">
        <v>22973.931795024542</v>
      </c>
      <c r="V1002" s="69">
        <f t="shared" si="92"/>
        <v>670005.49600159889</v>
      </c>
      <c r="W1002" s="69">
        <f t="shared" si="93"/>
        <v>700058.90911542205</v>
      </c>
      <c r="X1002" s="69">
        <f t="shared" si="90"/>
        <v>30053.413113823142</v>
      </c>
      <c r="Z1002" s="68">
        <f t="shared" si="94"/>
        <v>0</v>
      </c>
      <c r="AA1002" s="68">
        <f t="shared" si="95"/>
        <v>1</v>
      </c>
      <c r="AB1002" s="68">
        <f t="shared" si="91"/>
        <v>1</v>
      </c>
    </row>
    <row r="1003" spans="1:28" x14ac:dyDescent="0.25">
      <c r="A1003">
        <v>998</v>
      </c>
      <c r="C1003" s="24">
        <v>2.4463762581009574E-3</v>
      </c>
      <c r="D1003" s="24">
        <v>5.6288747423281305E-4</v>
      </c>
      <c r="E1003" s="24">
        <v>9.7238792801063776E-27</v>
      </c>
      <c r="F1003" s="24">
        <v>2.3080008070608393E-3</v>
      </c>
      <c r="G1003" s="24">
        <v>0.6221363380280609</v>
      </c>
      <c r="H1003" s="24">
        <v>0.16214055726050935</v>
      </c>
      <c r="I1003" s="53">
        <v>2031.745747701555</v>
      </c>
      <c r="J1003" s="53">
        <v>4830.6704197286135</v>
      </c>
      <c r="K1003" s="24">
        <v>0.49097344438891738</v>
      </c>
      <c r="L1003" s="24">
        <v>0.8279646559169197</v>
      </c>
      <c r="M1003" s="24">
        <v>0.58834975271020318</v>
      </c>
      <c r="O1003" s="53">
        <v>3.6312538571317283</v>
      </c>
      <c r="P1003" s="54">
        <v>14130.681196656158</v>
      </c>
      <c r="Q1003" s="54">
        <v>4.0628807097598676</v>
      </c>
      <c r="R1003" s="54">
        <v>23054.123928807636</v>
      </c>
      <c r="S1003" s="54">
        <v>0.43162685262813927</v>
      </c>
      <c r="T1003" s="54">
        <v>8923.4427321514777</v>
      </c>
      <c r="V1003" s="69">
        <f t="shared" si="92"/>
        <v>712120.09022968949</v>
      </c>
      <c r="W1003" s="69">
        <f t="shared" si="93"/>
        <v>789522.01802316587</v>
      </c>
      <c r="X1003" s="69">
        <f t="shared" si="90"/>
        <v>77401.927793476367</v>
      </c>
      <c r="Z1003" s="68">
        <f t="shared" si="94"/>
        <v>0</v>
      </c>
      <c r="AA1003" s="68">
        <f t="shared" si="95"/>
        <v>1</v>
      </c>
      <c r="AB1003" s="68">
        <f t="shared" si="91"/>
        <v>1</v>
      </c>
    </row>
    <row r="1004" spans="1:28" x14ac:dyDescent="0.25">
      <c r="A1004">
        <v>999</v>
      </c>
      <c r="C1004" s="24">
        <v>1.6433218159995766E-3</v>
      </c>
      <c r="D1004" s="24">
        <v>1.3988100021081307E-2</v>
      </c>
      <c r="E1004" s="24">
        <v>5.6035204637772118E-4</v>
      </c>
      <c r="F1004" s="24">
        <v>1.8285119992149547E-30</v>
      </c>
      <c r="G1004" s="24">
        <v>0.469951161735635</v>
      </c>
      <c r="H1004" s="24">
        <v>0.18703144074001887</v>
      </c>
      <c r="I1004" s="53">
        <v>2139.1485952308226</v>
      </c>
      <c r="J1004" s="53">
        <v>3806.2940751086589</v>
      </c>
      <c r="K1004" s="24">
        <v>0.6156644884453365</v>
      </c>
      <c r="L1004" s="24">
        <v>0.9161983523302899</v>
      </c>
      <c r="M1004" s="24">
        <v>0.95136073874671179</v>
      </c>
      <c r="O1004" s="53">
        <v>4.3170875932639374</v>
      </c>
      <c r="P1004" s="54">
        <v>12469.391659457779</v>
      </c>
      <c r="Q1004" s="54">
        <v>4.5147527022274048</v>
      </c>
      <c r="R1004" s="54">
        <v>34756.07105993115</v>
      </c>
      <c r="S1004" s="54">
        <v>0.19766510896346734</v>
      </c>
      <c r="T1004" s="54">
        <v>22286.679400473371</v>
      </c>
      <c r="V1004" s="69">
        <f t="shared" si="92"/>
        <v>850948.12699332961</v>
      </c>
      <c r="W1004" s="69">
        <f t="shared" si="93"/>
        <v>868194.46938554978</v>
      </c>
      <c r="X1004" s="69">
        <f t="shared" si="90"/>
        <v>17246.3423922201</v>
      </c>
      <c r="Z1004" s="68">
        <f t="shared" si="94"/>
        <v>0</v>
      </c>
      <c r="AA1004" s="68">
        <f t="shared" si="95"/>
        <v>1</v>
      </c>
      <c r="AB1004" s="68">
        <f t="shared" si="91"/>
        <v>1</v>
      </c>
    </row>
    <row r="1005" spans="1:28" x14ac:dyDescent="0.25">
      <c r="A1005">
        <v>1000</v>
      </c>
      <c r="C1005" s="24">
        <v>1.5926166984959744E-3</v>
      </c>
      <c r="D1005" s="24">
        <v>1.8012358246515621E-4</v>
      </c>
      <c r="E1005" s="24">
        <v>2.6506578832363847E-2</v>
      </c>
      <c r="F1005" s="24">
        <v>4.3218983607629626E-18</v>
      </c>
      <c r="G1005" s="24">
        <v>0.48187754431624397</v>
      </c>
      <c r="H1005" s="24">
        <v>0.26043460420304665</v>
      </c>
      <c r="I1005" s="53">
        <v>1656.2639839066326</v>
      </c>
      <c r="J1005" s="53">
        <v>5498.1573050315619</v>
      </c>
      <c r="K1005" s="24">
        <v>0.65127820131763348</v>
      </c>
      <c r="L1005" s="24">
        <v>0.81612887884991758</v>
      </c>
      <c r="M1005" s="24">
        <v>0.719028085585802</v>
      </c>
      <c r="O1005" s="53">
        <v>3.7591486418474878</v>
      </c>
      <c r="P1005" s="54">
        <v>12729.751260557339</v>
      </c>
      <c r="Q1005" s="54">
        <v>4.0225525982286934</v>
      </c>
      <c r="R1005" s="54">
        <v>41011.539006110725</v>
      </c>
      <c r="S1005" s="54">
        <v>0.26340395638120562</v>
      </c>
      <c r="T1005" s="54">
        <v>28281.787745553385</v>
      </c>
      <c r="V1005" s="69">
        <f t="shared" si="92"/>
        <v>739099.97710894025</v>
      </c>
      <c r="W1005" s="69">
        <f t="shared" si="93"/>
        <v>763498.9806396279</v>
      </c>
      <c r="X1005" s="69">
        <f t="shared" si="90"/>
        <v>24399.003530687736</v>
      </c>
      <c r="Z1005" s="68">
        <f t="shared" si="94"/>
        <v>0</v>
      </c>
      <c r="AA1005" s="68">
        <f t="shared" si="95"/>
        <v>1</v>
      </c>
      <c r="AB1005" s="68">
        <f t="shared" si="91"/>
        <v>1</v>
      </c>
    </row>
    <row r="1007" spans="1:28" x14ac:dyDescent="0.25">
      <c r="O1007" s="66">
        <f t="shared" ref="O1007:T1007" si="96">AVERAGE(O6:O1005)</f>
        <v>4.0273748831705278</v>
      </c>
      <c r="P1007" s="66">
        <f t="shared" si="96"/>
        <v>17132.639630051781</v>
      </c>
      <c r="Q1007" s="66">
        <f t="shared" si="96"/>
        <v>4.2297345264576469</v>
      </c>
      <c r="R1007" s="66">
        <f t="shared" si="96"/>
        <v>39281.341060516897</v>
      </c>
      <c r="S1007" s="66">
        <f t="shared" si="96"/>
        <v>0.20235964328711395</v>
      </c>
      <c r="T1007" s="66">
        <f t="shared" si="96"/>
        <v>22148.701430465095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21</vt:i4>
      </vt:variant>
    </vt:vector>
  </HeadingPairs>
  <TitlesOfParts>
    <vt:vector size="31" baseType="lpstr">
      <vt:lpstr>Title</vt:lpstr>
      <vt:lpstr>Analysis</vt:lpstr>
      <vt:lpstr>Model</vt:lpstr>
      <vt:lpstr>Search</vt:lpstr>
      <vt:lpstr>Parameters</vt:lpstr>
      <vt:lpstr>FEIBAtrace</vt:lpstr>
      <vt:lpstr>rFIIatrace</vt:lpstr>
      <vt:lpstr>Simulation</vt:lpstr>
      <vt:lpstr>CEA curve</vt:lpstr>
      <vt:lpstr>inc CE plane</vt:lpstr>
      <vt:lpstr>cBleedingCont</vt:lpstr>
      <vt:lpstr>cFEIBA</vt:lpstr>
      <vt:lpstr>cICUday</vt:lpstr>
      <vt:lpstr>cRatio</vt:lpstr>
      <vt:lpstr>crFVIIa</vt:lpstr>
      <vt:lpstr>FEIBAcost</vt:lpstr>
      <vt:lpstr>FEIBAQALY</vt:lpstr>
      <vt:lpstr>pContBleedFEIBA</vt:lpstr>
      <vt:lpstr>pContBleedrFVIIa</vt:lpstr>
      <vt:lpstr>pDeathFEIBA</vt:lpstr>
      <vt:lpstr>pDeathrFVIIa</vt:lpstr>
      <vt:lpstr>prob</vt:lpstr>
      <vt:lpstr>pStopBleedFEIBA</vt:lpstr>
      <vt:lpstr>pStopBleedrFVIIa</vt:lpstr>
      <vt:lpstr>pThrombosisFEIBA</vt:lpstr>
      <vt:lpstr>pThrombosisrFVIIa2</vt:lpstr>
      <vt:lpstr>rFVIIaCost</vt:lpstr>
      <vt:lpstr>rFVIIaQALY</vt:lpstr>
      <vt:lpstr>uBleedingCont</vt:lpstr>
      <vt:lpstr>uBleedingStop</vt:lpstr>
      <vt:lpstr>uThrombosis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ck</dc:creator>
  <cp:lastModifiedBy>ck</cp:lastModifiedBy>
  <dcterms:created xsi:type="dcterms:W3CDTF">2017-07-17T01:58:27Z</dcterms:created>
  <dcterms:modified xsi:type="dcterms:W3CDTF">2017-11-25T02:41:29Z</dcterms:modified>
</cp:coreProperties>
</file>